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idades" sheetId="1" state="visible" r:id="rId3"/>
    <sheet name="Duplicidades por tema" sheetId="2" state="visible" r:id="rId4"/>
    <sheet name="Hoja 1" sheetId="3" state="visible" r:id="rId5"/>
    <sheet name="Cambios 12-10-2026" sheetId="4" state="visible" r:id="rId6"/>
    <sheet name="Verificación y pendientes" sheetId="5" state="visible" r:id="rId7"/>
    <sheet name="Gasto CNMC y CSIC" sheetId="6" state="visible" r:id="rId8"/>
  </sheets>
  <definedNames>
    <definedName function="false" hidden="true" localSheetId="3" name="_xlnm._FilterDatabase" vbProcedure="false">'Cambios 12-10-2026'!$A$1:$F$2819</definedName>
    <definedName function="false" hidden="true" localSheetId="1" name="_xlnm._FilterDatabase" vbProcedure="false">'Duplicidades por tema'!$A$1:$Y$22</definedName>
    <definedName function="false" hidden="true" localSheetId="2" name="_xlnm._FilterDatabase" vbProcedure="false">'Hoja 1'!$A$1:$CS$136</definedName>
    <definedName function="false" hidden="true" localSheetId="4" name="_xlnm._FilterDatabase" vbProcedure="false">'Verificación y pendientes'!$A$1:$F$136</definedName>
    <definedName function="false" hidden="true" localSheetId="2" name="Z_D49185CE_8533_4DA8_8E7C_B34CF7A4F58A_.wvu.FilterData" vbProcedure="false">'Hoja 1'!$A$1:$BU$126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K2" authorId="0">
      <text>
        <r>
          <rPr>
            <sz val="10"/>
            <rFont val="Arial"/>
            <family val="2"/>
          </rPr>
          <t xml:space="preserve">======
ID#AAACIkoVlLU
Nota    (2026-10-11 21:13:25)
Sin presupuesto propio actual: supresión/extinción; no cuantificar sustituto; vacío no significa cero.</t>
        </r>
      </text>
    </comment>
    <comment ref="K9" authorId="0">
      <text>
        <r>
          <rPr>
            <sz val="10"/>
            <rFont val="Arial"/>
            <family val="2"/>
          </rPr>
          <t xml:space="preserve">======
ID#AAACIkIZM1U
Nota    (2026-10-11 21:13:24)
Sin cifra propia actual verificada; vacío no significa cero.</t>
        </r>
      </text>
    </comment>
    <comment ref="K10" authorId="0">
      <text>
        <r>
          <rPr>
            <sz val="10"/>
            <rFont val="Arial"/>
            <family val="2"/>
          </rPr>
          <t xml:space="preserve">======
ID#AAACIkIY6Y4
Nota    (2026-10-11 21:13:24)
Sin cifra propia actual verificada; vacío no significa cero.</t>
        </r>
      </text>
    </comment>
    <comment ref="K11" authorId="0">
      <text>
        <r>
          <rPr>
            <sz val="10"/>
            <rFont val="Arial"/>
            <family val="2"/>
          </rPr>
          <t xml:space="preserve">======
ID#AAACIkIZM1Q
Nota    (2026-10-11 21:13:24)
Sin cifra propia actual verificada; vacío no significa cero.</t>
        </r>
      </text>
    </comment>
    <comment ref="K12" authorId="0">
      <text>
        <r>
          <rPr>
            <sz val="10"/>
            <rFont val="Arial"/>
            <family val="2"/>
          </rPr>
          <t xml:space="preserve">======
ID#AAACIkIZM2I
Nota    (2026-10-11 21:13:24)
Sin cifra propia actual verificada; vacío no significa cero.</t>
        </r>
      </text>
    </comment>
    <comment ref="K13" authorId="0">
      <text>
        <r>
          <rPr>
            <sz val="10"/>
            <rFont val="Arial"/>
            <family val="2"/>
          </rPr>
          <t xml:space="preserve">======
ID#AAACIkIZM1E
Nota    (2026-10-11 21:13:24)
Sin cifra propia actual verificada; vacío no significa cero.</t>
        </r>
      </text>
    </comment>
    <comment ref="K14" authorId="0">
      <text>
        <r>
          <rPr>
            <sz val="10"/>
            <rFont val="Arial"/>
            <family val="2"/>
          </rPr>
          <t xml:space="preserve">======
ID#AAACIkIZM0o
Nota    (2026-10-11 21:13:24)
Sin cifra propia actual verificada; vacío no significa cero.</t>
        </r>
      </text>
    </comment>
    <comment ref="K15" authorId="0">
      <text>
        <r>
          <rPr>
            <sz val="10"/>
            <rFont val="Arial"/>
            <family val="2"/>
          </rPr>
          <t xml:space="preserve">======
ID#AAACIkIZM2A
Nota    (2026-10-11 21:13:24)
Sin cifra propia actual verificada; vacío no significa cero.</t>
        </r>
      </text>
    </comment>
    <comment ref="K16" authorId="0">
      <text>
        <r>
          <rPr>
            <sz val="10"/>
            <rFont val="Arial"/>
            <family val="2"/>
          </rPr>
          <t xml:space="preserve">======
ID#AAACIkIZM0g
Nota    (2026-10-11 21:13:24)
Sin cifra propia actual verificada; vacío no significa cero.</t>
        </r>
      </text>
    </comment>
    <comment ref="K17" authorId="0">
      <text>
        <r>
          <rPr>
            <sz val="10"/>
            <rFont val="Arial"/>
            <family val="2"/>
          </rPr>
          <t xml:space="preserve">======
ID#AAACIkoVlLY
Nota    (2026-10-11 21:13:25)
Sin cifra propia actual verificada; vacío no significa cero.</t>
        </r>
      </text>
    </comment>
    <comment ref="K18" authorId="0">
      <text>
        <r>
          <rPr>
            <sz val="10"/>
            <rFont val="Arial"/>
            <family val="2"/>
          </rPr>
          <t xml:space="preserve">======
ID#AAACIkoVlKA
Nota    (2026-10-11 21:13:25)
Sin cifra propia actual verificada; vacío no significa cero.</t>
        </r>
      </text>
    </comment>
    <comment ref="K19" authorId="0">
      <text>
        <r>
          <rPr>
            <sz val="10"/>
            <rFont val="Arial"/>
            <family val="2"/>
          </rPr>
          <t xml:space="preserve">======
ID#AAACIkoVlJ0
Nota    (2026-10-11 21:13:25)
Sin cifra propia actual verificada; vacío no significa cero.</t>
        </r>
      </text>
    </comment>
    <comment ref="K20" authorId="0">
      <text>
        <r>
          <rPr>
            <sz val="10"/>
            <rFont val="Arial"/>
            <family val="2"/>
          </rPr>
          <t xml:space="preserve">======
ID#AAACIkIZM1s
Nota    (2026-10-11 21:13:24)
Sin cifra propia actual verificada; vacío no significa cero.</t>
        </r>
      </text>
    </comment>
    <comment ref="K21" authorId="0">
      <text>
        <r>
          <rPr>
            <sz val="10"/>
            <rFont val="Arial"/>
            <family val="2"/>
          </rPr>
          <t xml:space="preserve">======
ID#AAACIkoVlKg
Nota    (2026-10-11 21:13:25)
Sin cifra propia actual verificada; vacío no significa cero.</t>
        </r>
      </text>
    </comment>
    <comment ref="K22" authorId="0">
      <text>
        <r>
          <rPr>
            <sz val="10"/>
            <rFont val="Arial"/>
            <family val="2"/>
          </rPr>
          <t xml:space="preserve">======
ID#AAACIkIY6ZA
Nota    (2026-10-11 21:13:24)
Sin cifra propia actual verificada; vacío no significa cero.</t>
        </r>
      </text>
    </comment>
    <comment ref="K23" authorId="0">
      <text>
        <r>
          <rPr>
            <sz val="10"/>
            <rFont val="Arial"/>
            <family val="2"/>
          </rPr>
          <t xml:space="preserve">======
ID#AAACIkoVlKw
Nota    (2026-10-11 21:13:25)
Sin cifra propia actual verificada; vacío no significa cero.</t>
        </r>
      </text>
    </comment>
    <comment ref="K24" authorId="0">
      <text>
        <r>
          <rPr>
            <sz val="10"/>
            <rFont val="Arial"/>
            <family val="2"/>
          </rPr>
          <t xml:space="preserve">======
ID#AAACIkIY6Ys
Nota    (2026-10-11 21:13:24)
Sin cifra propia actual verificada; vacío no significa cero.</t>
        </r>
      </text>
    </comment>
    <comment ref="K26" authorId="0">
      <text>
        <r>
          <rPr>
            <sz val="10"/>
            <rFont val="Arial"/>
            <family val="2"/>
          </rPr>
          <t xml:space="preserve">======
ID#AAACIkIZM0Y
Nota    (2026-10-11 21:13:24)
Sin presupuesto propio actual: supresión/extinción; no cuantificar sustituto; vacío no significa cero.</t>
        </r>
      </text>
    </comment>
    <comment ref="K27" authorId="0">
      <text>
        <r>
          <rPr>
            <sz val="10"/>
            <rFont val="Arial"/>
            <family val="2"/>
          </rPr>
          <t xml:space="preserve">======
ID#AAACIkIZM10
Nota    (2026-10-11 21:13:24)
Sin presupuesto propio actual: supresión/extinción; no cuantificar sustituto; vacío no significa cero.</t>
        </r>
      </text>
    </comment>
    <comment ref="K28" authorId="0">
      <text>
        <r>
          <rPr>
            <sz val="10"/>
            <rFont val="Arial"/>
            <family val="2"/>
          </rPr>
          <t xml:space="preserve">======
ID#AAACIkoVlJo
Nota    (2026-10-11 21:13:25)
Denominación sustituida; importe sucesor fuera del total propio; vacío no significa cero.</t>
        </r>
      </text>
    </comment>
    <comment ref="K30" authorId="0">
      <text>
        <r>
          <rPr>
            <sz val="10"/>
            <rFont val="Arial"/>
            <family val="2"/>
          </rPr>
          <t xml:space="preserve">======
ID#AAACIkIY6Yo
Nota    (2026-10-11 21:13:24)
Sin cifra propia actual verificada; vacío no significa cero.</t>
        </r>
      </text>
    </comment>
    <comment ref="K45" authorId="0">
      <text>
        <r>
          <rPr>
            <sz val="10"/>
            <rFont val="Arial"/>
            <family val="2"/>
          </rPr>
          <t xml:space="preserve">======
ID#AAACIkIZM2E
Nota    (2026-10-11 21:13:24)
Sin cifra propia actual verificada; vacío no significa cero.</t>
        </r>
      </text>
    </comment>
    <comment ref="K46" authorId="0">
      <text>
        <r>
          <rPr>
            <sz val="10"/>
            <rFont val="Arial"/>
            <family val="2"/>
          </rPr>
          <t xml:space="preserve">======
ID#AAACIkIZM0w
Nota    (2026-10-11 21:13:24)
Sin cifra propia actual verificada; vacío no significa cero.</t>
        </r>
      </text>
    </comment>
    <comment ref="K47" authorId="0">
      <text>
        <r>
          <rPr>
            <sz val="10"/>
            <rFont val="Arial"/>
            <family val="2"/>
          </rPr>
          <t xml:space="preserve">======
ID#AAACIkoVlJQ
Nota    (2026-10-11 21:13:25)
Sin cifra propia actual verificada; vacío no significa cero.</t>
        </r>
      </text>
    </comment>
    <comment ref="K48" authorId="0">
      <text>
        <r>
          <rPr>
            <sz val="10"/>
            <rFont val="Arial"/>
            <family val="2"/>
          </rPr>
          <t xml:space="preserve">======
ID#AAACIkoVlKE
Nota    (2026-10-11 21:13:25)
Sin cifra propia actual verificada; vacío no significa cero.</t>
        </r>
      </text>
    </comment>
    <comment ref="K49" authorId="0">
      <text>
        <r>
          <rPr>
            <sz val="10"/>
            <rFont val="Arial"/>
            <family val="2"/>
          </rPr>
          <t xml:space="preserve">======
ID#AAACIkoVlKs
Nota    (2026-10-11 21:13:25)
Sin cifra propia actual verificada; vacío no significa cero.</t>
        </r>
      </text>
    </comment>
    <comment ref="K50" authorId="0">
      <text>
        <r>
          <rPr>
            <sz val="10"/>
            <rFont val="Arial"/>
            <family val="2"/>
          </rPr>
          <t xml:space="preserve">======
ID#AAACIkIZM00
Nota    (2026-10-11 21:13:24)
Sin cifra propia actual verificada; vacío no significa cero.</t>
        </r>
      </text>
    </comment>
    <comment ref="K51" authorId="0">
      <text>
        <r>
          <rPr>
            <sz val="10"/>
            <rFont val="Arial"/>
            <family val="2"/>
          </rPr>
          <t xml:space="preserve">======
ID#AAACIkIY6ZY
Nota    (2026-10-11 21:13:24)
Sin cifra propia actual verificada; vacío no significa cero.</t>
        </r>
      </text>
    </comment>
    <comment ref="K52" authorId="0">
      <text>
        <r>
          <rPr>
            <sz val="10"/>
            <rFont val="Arial"/>
            <family val="2"/>
          </rPr>
          <t xml:space="preserve">======
ID#AAACIkIZM1Y
Nota    (2026-10-11 21:13:24)
Sin cifra propia actual verificada; vacío no significa cero.</t>
        </r>
      </text>
    </comment>
    <comment ref="K53" authorId="0">
      <text>
        <r>
          <rPr>
            <sz val="10"/>
            <rFont val="Arial"/>
            <family val="2"/>
          </rPr>
          <t xml:space="preserve">======
ID#AAACIkIZM1I
Nota    (2026-10-11 21:13:24)
Sin cifra propia actual verificada; vacío no significa cero.</t>
        </r>
      </text>
    </comment>
    <comment ref="K54" authorId="0">
      <text>
        <r>
          <rPr>
            <sz val="10"/>
            <rFont val="Arial"/>
            <family val="2"/>
          </rPr>
          <t xml:space="preserve">======
ID#AAACIkoVlJU
Nota    (2026-10-11 21:13:25)
Sin cifra propia actual verificada; vacío no significa cero.</t>
        </r>
      </text>
    </comment>
    <comment ref="K55" authorId="0">
      <text>
        <r>
          <rPr>
            <sz val="10"/>
            <rFont val="Arial"/>
            <family val="2"/>
          </rPr>
          <t xml:space="preserve">======
ID#AAACIkIY6Yw
Nota    (2026-10-11 21:13:24)
Sin cifra propia actual verificada; vacío no significa cero.</t>
        </r>
      </text>
    </comment>
    <comment ref="K56" authorId="0">
      <text>
        <r>
          <rPr>
            <sz val="10"/>
            <rFont val="Arial"/>
            <family val="2"/>
          </rPr>
          <t xml:space="preserve">======
ID#AAACIkoVlKU
Nota    (2026-10-11 21:13:25)
Sin cifra propia actual verificada; vacío no significa cero.</t>
        </r>
      </text>
    </comment>
    <comment ref="K57" authorId="0">
      <text>
        <r>
          <rPr>
            <sz val="10"/>
            <rFont val="Arial"/>
            <family val="2"/>
          </rPr>
          <t xml:space="preserve">======
ID#AAACIkIZM18
Nota    (2026-10-11 21:13:24)
Sin cifra propia actual verificada; vacío no significa cero.</t>
        </r>
      </text>
    </comment>
    <comment ref="K58" authorId="0">
      <text>
        <r>
          <rPr>
            <sz val="10"/>
            <rFont val="Arial"/>
            <family val="2"/>
          </rPr>
          <t xml:space="preserve">======
ID#AAACIkoVlJ4
Nota    (2026-10-11 21:13:25)
Sin cifra propia actual verificada; vacío no significa cero.</t>
        </r>
      </text>
    </comment>
    <comment ref="K59" authorId="0">
      <text>
        <r>
          <rPr>
            <sz val="10"/>
            <rFont val="Arial"/>
            <family val="2"/>
          </rPr>
          <t xml:space="preserve">======
ID#AAACIkIZM0M
Nota    (2026-10-11 21:13:24)
Sin cifra propia actual verificada; vacío no significa cero.</t>
        </r>
      </text>
    </comment>
    <comment ref="K60" authorId="0">
      <text>
        <r>
          <rPr>
            <sz val="10"/>
            <rFont val="Arial"/>
            <family val="2"/>
          </rPr>
          <t xml:space="preserve">======
ID#AAACIkoVlLM
Nota    (2026-10-11 21:13:25)
Sin cifra propia actual verificada; vacío no significa cero.</t>
        </r>
      </text>
    </comment>
    <comment ref="K61" authorId="0">
      <text>
        <r>
          <rPr>
            <sz val="10"/>
            <rFont val="Arial"/>
            <family val="2"/>
          </rPr>
          <t xml:space="preserve">======
ID#AAACIkoVlKM
Nota    (2026-10-11 21:13:25)
Sin cifra propia actual verificada; vacío no significa cero.</t>
        </r>
      </text>
    </comment>
    <comment ref="K62" authorId="0">
      <text>
        <r>
          <rPr>
            <sz val="10"/>
            <rFont val="Arial"/>
            <family val="2"/>
          </rPr>
          <t xml:space="preserve">======
ID#AAACIkIZM1w
Nota    (2026-10-11 21:13:24)
Sin cifra propia actual verificada; vacío no significa cero.</t>
        </r>
      </text>
    </comment>
    <comment ref="K63" authorId="0">
      <text>
        <r>
          <rPr>
            <sz val="10"/>
            <rFont val="Arial"/>
            <family val="2"/>
          </rPr>
          <t xml:space="preserve">======
ID#AAACIkoVlJY
Nota    (2026-10-11 21:13:25)
Sin cifra propia actual verificada; vacío no significa cero.</t>
        </r>
      </text>
    </comment>
    <comment ref="K64" authorId="0">
      <text>
        <r>
          <rPr>
            <sz val="10"/>
            <rFont val="Arial"/>
            <family val="2"/>
          </rPr>
          <t xml:space="preserve">======
ID#AAACIkoVlKo
Nota    (2026-10-11 21:13:25)
Sin cifra propia actual verificada; vacío no significa cero.</t>
        </r>
      </text>
    </comment>
    <comment ref="K65" authorId="0">
      <text>
        <r>
          <rPr>
            <sz val="10"/>
            <rFont val="Arial"/>
            <family val="2"/>
          </rPr>
          <t xml:space="preserve">======
ID#AAACIkoVlLc
Nota    (2026-10-11 21:13:25)
Sin cifra propia actual verificada; vacío no significa cero.</t>
        </r>
      </text>
    </comment>
    <comment ref="K66" authorId="0">
      <text>
        <r>
          <rPr>
            <sz val="10"/>
            <rFont val="Arial"/>
            <family val="2"/>
          </rPr>
          <t xml:space="preserve">======
ID#AAACIkIZM0k
Nota    (2026-10-11 21:13:24)
Sin cifra propia actual verificada; vacío no significa cero.</t>
        </r>
      </text>
    </comment>
    <comment ref="K67" authorId="0">
      <text>
        <r>
          <rPr>
            <sz val="10"/>
            <rFont val="Arial"/>
            <family val="2"/>
          </rPr>
          <t xml:space="preserve">======
ID#AAACIkIY6ZM
Nota    (2026-10-11 21:13:24)
Sin cifra propia actual verificada; vacío no significa cero.</t>
        </r>
      </text>
    </comment>
    <comment ref="K68" authorId="0">
      <text>
        <r>
          <rPr>
            <sz val="10"/>
            <rFont val="Arial"/>
            <family val="2"/>
          </rPr>
          <t xml:space="preserve">======
ID#AAACIkoVlJc
Nota    (2026-10-11 21:13:25)
Sin cifra propia actual verificada; vacío no significa cero.</t>
        </r>
      </text>
    </comment>
    <comment ref="K69" authorId="0">
      <text>
        <r>
          <rPr>
            <sz val="10"/>
            <rFont val="Arial"/>
            <family val="2"/>
          </rPr>
          <t xml:space="preserve">======
ID#AAACIkoVlJ8
Nota    (2026-10-11 21:13:25)
Sin cifra propia actual verificada; vacío no significa cero.</t>
        </r>
      </text>
    </comment>
    <comment ref="K70" authorId="0">
      <text>
        <r>
          <rPr>
            <sz val="10"/>
            <rFont val="Arial"/>
            <family val="2"/>
          </rPr>
          <t xml:space="preserve">======
ID#AAACIkoVlJs
Nota    (2026-10-11 21:13:25)
Sin cifra propia actual verificada; vacío no significa cero.</t>
        </r>
      </text>
    </comment>
    <comment ref="K71" authorId="0">
      <text>
        <r>
          <rPr>
            <sz val="10"/>
            <rFont val="Arial"/>
            <family val="2"/>
          </rPr>
          <t xml:space="preserve">======
ID#AAACIkoVlJw
Nota    (2026-10-11 21:13:25)
Sin presupuesto propio actual: supresión/extinción; no cuantificar sustituto; vacío no significa cero.</t>
        </r>
      </text>
    </comment>
    <comment ref="K72" authorId="0">
      <text>
        <r>
          <rPr>
            <sz val="10"/>
            <rFont val="Arial"/>
            <family val="2"/>
          </rPr>
          <t xml:space="preserve">======
ID#AAACIkoVlLE
Nota    (2026-10-11 21:13:25)
Sin presupuesto propio actual: supresión/extinción; no cuantificar sustituto; vacío no significa cero.</t>
        </r>
      </text>
    </comment>
    <comment ref="K73" authorId="0">
      <text>
        <r>
          <rPr>
            <sz val="10"/>
            <rFont val="Arial"/>
            <family val="2"/>
          </rPr>
          <t xml:space="preserve">======
ID#AAACIkIZM08
Nota    (2026-10-11 21:13:24)
Sin presupuesto propio actual: supresión/extinción; no cuantificar sustituto; vacío no significa cero.</t>
        </r>
      </text>
    </comment>
    <comment ref="K75" authorId="0">
      <text>
        <r>
          <rPr>
            <sz val="10"/>
            <rFont val="Arial"/>
            <family val="2"/>
          </rPr>
          <t xml:space="preserve">======
ID#AAACIkoVlJg
Nota    (2026-10-11 21:13:25)
Sin cifra propia actual verificada; vacío no significa cero.</t>
        </r>
      </text>
    </comment>
    <comment ref="K77" authorId="0">
      <text>
        <r>
          <rPr>
            <sz val="10"/>
            <rFont val="Arial"/>
            <family val="2"/>
          </rPr>
          <t xml:space="preserve">======
ID#AAACIkoVlKY
Nota    (2026-10-11 21:13:25)
Sin cifra propia actual verificada; vacío no significa cero.</t>
        </r>
      </text>
    </comment>
    <comment ref="K78" authorId="0">
      <text>
        <r>
          <rPr>
            <sz val="10"/>
            <rFont val="Arial"/>
            <family val="2"/>
          </rPr>
          <t xml:space="preserve">======
ID#AAACIkoVlLo
Nota    (2026-10-11 21:13:25)
Sin cifra propia actual verificada; vacío no significa cero.</t>
        </r>
      </text>
    </comment>
    <comment ref="K79" authorId="0">
      <text>
        <r>
          <rPr>
            <sz val="10"/>
            <rFont val="Arial"/>
            <family val="2"/>
          </rPr>
          <t xml:space="preserve">======
ID#AAACIkIY6Y8
Nota    (2026-10-11 21:13:24)
Sin cifra propia actual verificada; vacío no significa cero.</t>
        </r>
      </text>
    </comment>
    <comment ref="K83" authorId="0">
      <text>
        <r>
          <rPr>
            <sz val="10"/>
            <rFont val="Arial"/>
            <family val="2"/>
          </rPr>
          <t xml:space="preserve">======
ID#AAACIkoVlK8
Nota    (2026-10-11 21:13:25)
Sin cifra propia actual verificada; vacío no significa cero.</t>
        </r>
      </text>
    </comment>
    <comment ref="K85" authorId="0">
      <text>
        <r>
          <rPr>
            <sz val="10"/>
            <rFont val="Arial"/>
            <family val="2"/>
          </rPr>
          <t xml:space="preserve">======
ID#AAACIkIZM1o
Nota    (2026-10-11 21:13:24)
Sin cifra propia actual verificada; vacío no significa cero.</t>
        </r>
      </text>
    </comment>
    <comment ref="K86" authorId="0">
      <text>
        <r>
          <rPr>
            <sz val="10"/>
            <rFont val="Arial"/>
            <family val="2"/>
          </rPr>
          <t xml:space="preserve">======
ID#AAACIkoVlLw
Nota    (2026-10-11 21:13:25)
Sin cifra propia actual verificada; vacío no significa cero.</t>
        </r>
      </text>
    </comment>
    <comment ref="K88" authorId="0">
      <text>
        <r>
          <rPr>
            <sz val="10"/>
            <rFont val="Arial"/>
            <family val="2"/>
          </rPr>
          <t xml:space="preserve">======
ID#AAACIkIY6ZQ
Nota    (2026-10-11 21:13:24)
Sin cifra propia actual verificada; vacío no significa cero.</t>
        </r>
      </text>
    </comment>
    <comment ref="K89" authorId="0">
      <text>
        <r>
          <rPr>
            <sz val="10"/>
            <rFont val="Arial"/>
            <family val="2"/>
          </rPr>
          <t xml:space="preserve">======
ID#AAACIkIZM1M
Nota    (2026-10-11 21:13:24)
Sin cifra propia actual verificada; vacío no significa cero.</t>
        </r>
      </text>
    </comment>
    <comment ref="K91" authorId="0">
      <text>
        <r>
          <rPr>
            <sz val="10"/>
            <rFont val="Arial"/>
            <family val="2"/>
          </rPr>
          <t xml:space="preserve">======
ID#AAACIkoVlKQ
Nota    (2026-10-11 21:13:25)
Sin presupuesto propio actual: supresión/extinción; no cuantificar sustituto; vacío no significa cero.</t>
        </r>
      </text>
    </comment>
    <comment ref="K92" authorId="0">
      <text>
        <r>
          <rPr>
            <sz val="10"/>
            <rFont val="Arial"/>
            <family val="2"/>
          </rPr>
          <t xml:space="preserve">======
ID#AAACIkoVlKI
Nota    (2026-10-11 21:13:25)
Sin cifra propia actual verificada; vacío no significa cero.</t>
        </r>
      </text>
    </comment>
    <comment ref="K93" authorId="0">
      <text>
        <r>
          <rPr>
            <sz val="10"/>
            <rFont val="Arial"/>
            <family val="2"/>
          </rPr>
          <t xml:space="preserve">======
ID#AAACIkIZM1c
Nota    (2026-10-11 21:13:24)
Sin cifra propia actual verificada; vacío no significa cero.</t>
        </r>
      </text>
    </comment>
    <comment ref="K95" authorId="0">
      <text>
        <r>
          <rPr>
            <sz val="10"/>
            <rFont val="Arial"/>
            <family val="2"/>
          </rPr>
          <t xml:space="preserve">======
ID#AAACIkIZM1k
Nota    (2026-10-11 21:13:24)
Sin presupuesto propio actual: supresión/extinción; no cuantificar sustituto; vacío no significa cero.</t>
        </r>
      </text>
    </comment>
    <comment ref="K96" authorId="0">
      <text>
        <r>
          <rPr>
            <sz val="10"/>
            <rFont val="Arial"/>
            <family val="2"/>
          </rPr>
          <t xml:space="preserve">======
ID#AAACIkoVlLg
Nota    (2026-10-11 21:13:25)
Sin cifra propia actual verificada; vacío no significa cero.</t>
        </r>
      </text>
    </comment>
    <comment ref="K97" authorId="0">
      <text>
        <r>
          <rPr>
            <sz val="10"/>
            <rFont val="Arial"/>
            <family val="2"/>
          </rPr>
          <t xml:space="preserve">======
ID#AAACIkIZM04
Nota    (2026-10-11 21:13:24)
No se ha verificado importe propio actual. No significa cero.</t>
        </r>
      </text>
    </comment>
    <comment ref="K99" authorId="0">
      <text>
        <r>
          <rPr>
            <sz val="10"/>
            <rFont val="Arial"/>
            <family val="2"/>
          </rPr>
          <t xml:space="preserve">======
ID#AAACIkIZM1A
Nota    (2026-10-11 21:13:24)
No se ha verificado importe propio actual. No significa cero.</t>
        </r>
      </text>
    </comment>
    <comment ref="K103" authorId="0">
      <text>
        <r>
          <rPr>
            <sz val="10"/>
            <rFont val="Arial"/>
            <family val="2"/>
          </rPr>
          <t xml:space="preserve">======
ID#AAACIkoVlKc
Nota    (2026-10-11 21:13:25)
No se ha verificado importe propio actual. No significa cero.</t>
        </r>
      </text>
    </comment>
    <comment ref="K104" authorId="0">
      <text>
        <r>
          <rPr>
            <sz val="10"/>
            <rFont val="Arial"/>
            <family val="2"/>
          </rPr>
          <t xml:space="preserve">======
ID#AAACIkoVlL0
Nota    (2026-10-11 21:13:25)
No se ha verificado importe propio actual. No significa cero.</t>
        </r>
      </text>
    </comment>
    <comment ref="K105" authorId="0">
      <text>
        <r>
          <rPr>
            <sz val="10"/>
            <rFont val="Arial"/>
            <family val="2"/>
          </rPr>
          <t xml:space="preserve">======
ID#AAACIkIZM14
Nota    (2026-10-11 21:13:24)
No se ha verificado importe propio actual. No significa cero.</t>
        </r>
      </text>
    </comment>
    <comment ref="K106" authorId="0">
      <text>
        <r>
          <rPr>
            <sz val="10"/>
            <rFont val="Arial"/>
            <family val="2"/>
          </rPr>
          <t xml:space="preserve">======
ID#AAACIkoVlLQ
Nota    (2026-10-11 21:13:25)
No se ha verificado importe propio actual. No significa cero.</t>
        </r>
      </text>
    </comment>
    <comment ref="K107" authorId="0">
      <text>
        <r>
          <rPr>
            <sz val="10"/>
            <rFont val="Arial"/>
            <family val="2"/>
          </rPr>
          <t xml:space="preserve">======
ID#AAACIkoVlK0
Nota    (2026-10-11 21:13:25)
No se ha verificado importe propio actual. No significa cero.</t>
        </r>
      </text>
    </comment>
    <comment ref="K108" authorId="0">
      <text>
        <r>
          <rPr>
            <sz val="10"/>
            <rFont val="Arial"/>
            <family val="2"/>
          </rPr>
          <t xml:space="preserve">======
ID#AAACIkoVlKk
Nota    (2026-10-11 21:13:25)
No se ha verificado importe propio actual. No significa cero.</t>
        </r>
      </text>
    </comment>
    <comment ref="K109" authorId="0">
      <text>
        <r>
          <rPr>
            <sz val="10"/>
            <rFont val="Arial"/>
            <family val="2"/>
          </rPr>
          <t xml:space="preserve">======
ID#AAACIkIY6ZI
Nota    (2026-10-11 21:13:24)
No se ha verificado importe propio actual. No significa cero.</t>
        </r>
      </text>
    </comment>
    <comment ref="K110" authorId="0">
      <text>
        <r>
          <rPr>
            <sz val="10"/>
            <rFont val="Arial"/>
            <family val="2"/>
          </rPr>
          <t xml:space="preserve">======
ID#AAACIkIZM0c
Nota    (2026-10-11 21:13:24)
No se ha verificado importe propio actual. No significa cero.</t>
        </r>
      </text>
    </comment>
    <comment ref="K111" authorId="0">
      <text>
        <r>
          <rPr>
            <sz val="10"/>
            <rFont val="Arial"/>
            <family val="2"/>
          </rPr>
          <t xml:space="preserve">======
ID#AAACIkIZM1g
Nota    (2026-10-11 21:13:24)
No se ha verificado importe propio actual. No significa cero.</t>
        </r>
      </text>
    </comment>
    <comment ref="K112" authorId="0">
      <text>
        <r>
          <rPr>
            <sz val="10"/>
            <rFont val="Arial"/>
            <family val="2"/>
          </rPr>
          <t xml:space="preserve">======
ID#AAACIkoVlLk
Nota    (2026-10-11 21:13:25)
No se ha verificado importe propio actual. No significa cero.</t>
        </r>
      </text>
    </comment>
    <comment ref="K113" authorId="0">
      <text>
        <r>
          <rPr>
            <sz val="10"/>
            <rFont val="Arial"/>
            <family val="2"/>
          </rPr>
          <t xml:space="preserve">======
ID#AAACIkoVlK4
Nota    (2026-10-11 21:13:25)
No se ha verificado importe propio actual. No significa cero.</t>
        </r>
      </text>
    </comment>
    <comment ref="K114" authorId="0">
      <text>
        <r>
          <rPr>
            <sz val="10"/>
            <rFont val="Arial"/>
            <family val="2"/>
          </rPr>
          <t xml:space="preserve">======
ID#AAACIkoVlL4
Nota    (2026-10-11 21:13:25)
No se ha verificado importe propio actual. No significa cero.</t>
        </r>
      </text>
    </comment>
    <comment ref="K115" authorId="0">
      <text>
        <r>
          <rPr>
            <sz val="10"/>
            <rFont val="Arial"/>
            <family val="2"/>
          </rPr>
          <t xml:space="preserve">======
ID#AAACIkoVlLI
Nota    (2026-10-11 21:13:25)
No se ha verificado importe propio actual. No significa cero.</t>
        </r>
      </text>
    </comment>
    <comment ref="K116" authorId="0">
      <text>
        <r>
          <rPr>
            <sz val="10"/>
            <rFont val="Arial"/>
            <family val="2"/>
          </rPr>
          <t xml:space="preserve">======
ID#AAACIkoVlLs
Nota    (2026-10-11 21:13:25)
No se ha verificado importe propio actual. No significa cero.</t>
        </r>
      </text>
    </comment>
    <comment ref="K117" authorId="0">
      <text>
        <r>
          <rPr>
            <sz val="10"/>
            <rFont val="Arial"/>
            <family val="2"/>
          </rPr>
          <t xml:space="preserve">======
ID#AAACIkIZM0U
Nota    (2026-10-11 21:13:24)
No se ha verificado importe propio actual. No significa cero.</t>
        </r>
      </text>
    </comment>
    <comment ref="K118" authorId="0">
      <text>
        <r>
          <rPr>
            <sz val="10"/>
            <rFont val="Arial"/>
            <family val="2"/>
          </rPr>
          <t xml:space="preserve">======
ID#AAACIkIZM0Q
Nota    (2026-10-11 21:13:24)
No se ha verificado importe propio actual. No significa cero.</t>
        </r>
      </text>
    </comment>
    <comment ref="K119" authorId="0">
      <text>
        <r>
          <rPr>
            <sz val="10"/>
            <rFont val="Arial"/>
            <family val="2"/>
          </rPr>
          <t xml:space="preserve">======
ID#AAACIkIZM0s
Nota    (2026-10-11 21:13:24)
No se ha verificado importe propio actual. No significa cero.</t>
        </r>
      </text>
    </comment>
    <comment ref="K120" authorId="0">
      <text>
        <r>
          <rPr>
            <sz val="10"/>
            <rFont val="Arial"/>
            <family val="2"/>
          </rPr>
          <t xml:space="preserve">======
ID#AAACIkIY6Y0
Nota    (2026-10-11 21:13:24)
No se ha verificado importe propio actual. No significa cero.</t>
        </r>
      </text>
    </comment>
    <comment ref="K121" authorId="0">
      <text>
        <r>
          <rPr>
            <sz val="10"/>
            <rFont val="Arial"/>
            <family val="2"/>
          </rPr>
          <t xml:space="preserve">======
ID#AAACIkIY6ZE
Nota    (2026-10-11 21:13:24)
No se ha verificado importe propio actual. No significa cero.</t>
        </r>
      </text>
    </comment>
    <comment ref="K122" authorId="0">
      <text>
        <r>
          <rPr>
            <sz val="10"/>
            <rFont val="Arial"/>
            <family val="2"/>
          </rPr>
          <t xml:space="preserve">======
ID#AAACIkIY6ZU
Nota    (2026-10-11 21:13:24)
No se ha verificado importe propio actual. No significa cero.</t>
        </r>
      </text>
    </comment>
    <comment ref="K123" authorId="0">
      <text>
        <r>
          <rPr>
            <sz val="10"/>
            <rFont val="Arial"/>
            <family val="2"/>
          </rPr>
          <t xml:space="preserve">======
ID#AAACIkoVlLA
Nota    (2026-10-11 21:13:25)
No se ha verificado importe propio actual. No significa cero.</t>
        </r>
      </text>
    </comment>
    <comment ref="K124" authorId="0">
      <text>
        <r>
          <rPr>
            <sz val="10"/>
            <rFont val="Arial"/>
            <family val="2"/>
          </rPr>
          <t xml:space="preserve">======
ID#AAACIkoVlJk
Nota    (2026-10-11 21:13:25)
No se ha verificado importe propio actual. No significa cero.</t>
        </r>
      </text>
    </comment>
  </commentList>
</comments>
</file>

<file path=xl/sharedStrings.xml><?xml version="1.0" encoding="utf-8"?>
<sst xmlns="http://schemas.openxmlformats.org/spreadsheetml/2006/main" count="19066" uniqueCount="4055">
  <si>
    <t xml:space="preserve">Entidades públicas: poder, presupuesto y posibles duplicidades</t>
  </si>
  <si>
    <t xml:space="preserve">135 registros: 76 estatales + 3 creaciones legales de constitución no confirmada + 3 creaciones anunciadas o en tramitación, no constituidas + 53 autonómicos. Creados o transformados desde 2004. Inventario parcial, no censo exhaustivo. Las filas 127 a 136 de Hoja 1 (fondo verde) son altas del 14/10/2026.</t>
  </si>
  <si>
    <t xml:space="preserve">Columnas numéricas en EUR millones: 44,3 = 44,3 millones de euros. El texto original puede conservar euros. Vacío = sin cifra propia verificada; nunca sustituir por cero. Filtrar año y base antes de sumar. Duplicidad es un juicio de relación, NO una prueba de gasto inútil o doble financiación. Personal ocupado, puestos aprobados, crédito de personal y gasto ejecutado son medidas separadas; no sumar distintos años. Consulta: preceptivo no significa vinculante. No equivale a veto; distinguir ley, reglamento y plan. Pendiente no significa NO. La consulta o audiencia a asociaciones no significa consentimiento obligatorio (Ley 50/1997, art. 26.6). Revisados125 casos de consulta a nivel de las fuentes citadas;0 pendientes de esta pasada. No auditoría exhaustiva de toda la normativa sectorial. Informes preceptivos sectoriales verificados en varios órganos actuales e históricos; no equivalen a vetos. Pasada de consulta finalizada en las fuentes citadas. Personal ejecutado: obligaciones reconocidas cap1 hasta31/08/2026,8meses, no salario puro ni año completo. Pagos separados; ninguna ausencia sustituida por0. Añadido cierre2025:19 entidades con gasto anual cap1, separado de2026parcial. Emergencias: personas y crédito solo programa2.2.B, NO agencia entera.</t>
  </si>
  <si>
    <t xml:space="preserve">Resumen 2026 por base: suma propia verificada EUR millones y número de registros; NO sumar bases mezcladas</t>
  </si>
  <si>
    <t xml:space="preserve">Crédito total actualizado</t>
  </si>
  <si>
    <t xml:space="preserve">Crédito inicial aprobado</t>
  </si>
  <si>
    <t xml:space="preserve">Presupuesto propio aprobado</t>
  </si>
  <si>
    <t xml:space="preserve">Cobertura de campos en Hoja 1 (número de fichas con dato; 135 en total)</t>
  </si>
  <si>
    <t xml:space="preserve">Presupuesto propio (cualquier año/base)</t>
  </si>
  <si>
    <t xml:space="preserve">Sin presupuesto propio verificado en norma (órganos sin dotación)</t>
  </si>
  <si>
    <t xml:space="preserve">Extinguidas / suprimidas</t>
  </si>
  <si>
    <t xml:space="preserve">Sin cifra propia actual verificada (pendientes)</t>
  </si>
  <si>
    <t xml:space="preserve">Crédito de personal (cap. 1 o gastos de personal)</t>
  </si>
  <si>
    <t xml:space="preserve">Gasto de personal ejecutado, columna AQ (año y corte variables; no sumar)</t>
  </si>
  <si>
    <t xml:space="preserve">Gasto de personal 2025 año completo</t>
  </si>
  <si>
    <t xml:space="preserve">Personas ocupadas (fecha variable; no sumar)</t>
  </si>
  <si>
    <t xml:space="preserve">Puestos aprobados / presupuestados</t>
  </si>
  <si>
    <t xml:space="preserve">Celdas con fondo amarillo en Hoja 1: completadas o corregidas el 12/10/2026. Filas con fondo verde: entidades añadidas el 14/10/2026. Detalle celda a celda en la hoja "Cambios 12-10-2026"; fuentes, páginas y huecos pendientes en "Verificación y pendientes".</t>
  </si>
  <si>
    <t xml:space="preserve">Clasificación de las 135 fichas según el P100 de Extramuros (juicio con criterios explícitos; motivo, base en el P100 y destino de cada una en Hoja 1)</t>
  </si>
  <si>
    <t xml:space="preserve">Fichas</t>
  </si>
  <si>
    <t xml:space="preserve">Con presupuesto propio 2026</t>
  </si>
  <si>
    <t xml:space="preserve">Suma de presupuestos propios 2026, EUR millones (bases distintas: orden de magnitud, no total contable)</t>
  </si>
  <si>
    <t xml:space="preserve">Binario</t>
  </si>
  <si>
    <t xml:space="preserve">Útil</t>
  </si>
  <si>
    <t xml:space="preserve">No útil</t>
  </si>
  <si>
    <t xml:space="preserve">Sin decisión en el P100</t>
  </si>
  <si>
    <t xml:space="preserve">Extinguida</t>
  </si>
  <si>
    <t xml:space="preserve">Veredicto</t>
  </si>
  <si>
    <t xml:space="preserve">Mantener</t>
  </si>
  <si>
    <t xml:space="preserve">Reformar</t>
  </si>
  <si>
    <t xml:space="preserve">Integrar</t>
  </si>
  <si>
    <t xml:space="preserve">Suprimir</t>
  </si>
  <si>
    <t xml:space="preserve">Pendiente de decisión</t>
  </si>
  <si>
    <t xml:space="preserve">Función</t>
  </si>
  <si>
    <t xml:space="preserve">Servicio público directo</t>
  </si>
  <si>
    <t xml:space="preserve">Regulación o inspección de terceros</t>
  </si>
  <si>
    <t xml:space="preserve">Financiación y ayudas</t>
  </si>
  <si>
    <t xml:space="preserve">Control interno y cumplimiento</t>
  </si>
  <si>
    <t xml:space="preserve">Consultivo o participación</t>
  </si>
  <si>
    <t xml:space="preserve">Extinguida o no constituida</t>
  </si>
  <si>
    <t xml:space="preserve">Base en el P100</t>
  </si>
  <si>
    <t xml:space="preserve">Explícito: el P100 nombra el organismo o su categoría</t>
  </si>
  <si>
    <t xml:space="preserve">Aplicando el criterio del P100 (deducción nuestra)</t>
  </si>
  <si>
    <t xml:space="preserve">El P100 no trata la materia</t>
  </si>
  <si>
    <t xml:space="preserve">Criterio (alineado con el P100). Útil no es tener un contenido, es a qué sirve ese contenido. Un organismo es útil si cumple las tres condiciones: 1) su función es necesaria y cambia decisiones o mejora un servicio (un informe, un dictamen o un trámite de cumplimiento no cuenta; Costes del Estado 2); 2) nadie más la presta: con un organismo nacional basta, no hacen falta 17 autonómicos iguales (Costes 9, Organización del Estado 5, Impuestos 11 "una sola Agencia Tributaria", Estado 17 "una sola web"); 3) sirve a un fin del P100, no a un fin que el P100 elimina (p. ej. la cooperación al desarrollo autonómica: el P100 limita la cooperación a la humanitaria y a países que colaboren en el control migratorio, Costes 5). Veredictos: Mantener (cumple las tres), Reformar (se queda, con los cambios que pide el P100), Integrar (la función sigue, el organismo sobra: pasa al organismo nacional o a la consejería indicada en "destino"), Suprimir (ni la función ni el organismo), Pendiente de decisión (el P100 no trata la materia), Extinguida (ya no existe). Binario: Útil = Mantener o Reformar; No útil = Integrar o Suprimir (juzga el organismo, no la materia). "Explícito" = el P100 lo dice; "Aplicando el criterio" = deducción nuestra a partir del P100, a validar. "Exigida por la UE": se puede fusionar o redimensionar, no suprimir. Es un juicio, no un dato.</t>
  </si>
  <si>
    <t xml:space="preserve">Coste de personal de los órganos consultivos sin presupuesto propio (ESCENARIO, no dato publicado)</t>
  </si>
  <si>
    <t xml:space="preserve">Órganos consultivos o de participación</t>
  </si>
  <si>
    <t xml:space="preserve">Coste de personal por persona: mediana de la hoja (gasto 2025 / personas), EUR</t>
  </si>
  <si>
    <t xml:space="preserve">Fichas con las que se calcula la mediana</t>
  </si>
  <si>
    <t xml:space="preserve">Si cada órgano ocupa 1 persona a tiempo completo: EUR millones al año</t>
  </si>
  <si>
    <t xml:space="preserve">Si cada órgano ocupa 2 personas a tiempo completo: EUR millones al año</t>
  </si>
  <si>
    <t xml:space="preserve">Si cada órgano ocupa 3 personas a tiempo completo: EUR millones al año</t>
  </si>
  <si>
    <t xml:space="preserve">Las normas de estos órganos dicen que su coste lo absorbe el ministerio o la consejería (secretaría, unidad técnica, apoyo a reuniones), pero no lo publican por separado. Las personas a tiempo completo por órgano son un supuesto; el coste por persona sale de la hoja. Casos documentados en la columna "Coste de apoyo" de Hoja 1 (p. ej. 7 personas en el órgano de trabajo del Observatorio de la Vida Militar, 2015). Suprimir el órgano libera ese coste solo si se amortizan o reasignan los puestos que lo atienden.</t>
  </si>
  <si>
    <t xml:space="preserve">Tema</t>
  </si>
  <si>
    <t xml:space="preserve">Organismo estatal</t>
  </si>
  <si>
    <t xml:space="preserve">Andalucía</t>
  </si>
  <si>
    <t xml:space="preserve">Aragón</t>
  </si>
  <si>
    <t xml:space="preserve">Asturias</t>
  </si>
  <si>
    <t xml:space="preserve">Illes Balears</t>
  </si>
  <si>
    <t xml:space="preserve">Canarias</t>
  </si>
  <si>
    <t xml:space="preserve">Cantabria</t>
  </si>
  <si>
    <t xml:space="preserve">Castilla-La Mancha</t>
  </si>
  <si>
    <t xml:space="preserve">Castilla y León</t>
  </si>
  <si>
    <t xml:space="preserve">Cataluña</t>
  </si>
  <si>
    <t xml:space="preserve">Comunitat Valenciana</t>
  </si>
  <si>
    <t xml:space="preserve">Extremadura</t>
  </si>
  <si>
    <t xml:space="preserve">Galicia</t>
  </si>
  <si>
    <t xml:space="preserve">Madrid</t>
  </si>
  <si>
    <t xml:space="preserve">Murcia</t>
  </si>
  <si>
    <t xml:space="preserve">Navarra</t>
  </si>
  <si>
    <t xml:space="preserve">País Vasco</t>
  </si>
  <si>
    <t xml:space="preserve">La Rioja</t>
  </si>
  <si>
    <t xml:space="preserve">CCAA con organismo propio</t>
  </si>
  <si>
    <t xml:space="preserve">CCAA sin verificar</t>
  </si>
  <si>
    <t xml:space="preserve">Organismos en total (Estado + CCAA, verificados)</t>
  </si>
  <si>
    <t xml:space="preserve">¿Cubre el Estado esos territorios?</t>
  </si>
  <si>
    <t xml:space="preserve">Base competencial</t>
  </si>
  <si>
    <t xml:space="preserve">Fuentes</t>
  </si>
  <si>
    <t xml:space="preserve">Agencias tributarias</t>
  </si>
  <si>
    <t xml:space="preserve">Agencia Estatal de Administración Tributaria (AEAT)</t>
  </si>
  <si>
    <t xml:space="preserve">Propio (ente): Agencia Tributaria de Andalucía (ATRIAN)</t>
  </si>
  <si>
    <t xml:space="preserve">Consejería</t>
  </si>
  <si>
    <t xml:space="preserve">Propio (ente): Ente Público de Servicios Tributarios del Principado de Asturias ('Tributas en Asturias')</t>
  </si>
  <si>
    <t xml:space="preserve">Propio (ente): Agencia Tributaria de las Illes Balears (ATIB)</t>
  </si>
  <si>
    <t xml:space="preserve">Propio (ente): Agencia Tributaria Canaria (ATC)</t>
  </si>
  <si>
    <t xml:space="preserve">Propio (ente): Agencia Cántabra de Administración Tributaria (ACAT)</t>
  </si>
  <si>
    <t xml:space="preserve">Propio (ente): Agència Tributària de Catalunya (ATC)</t>
  </si>
  <si>
    <t xml:space="preserve">Propio (ente): Agència Tributària Valenciana (ATV)</t>
  </si>
  <si>
    <t xml:space="preserve">Propio (ente): Axencia Tributaria de Galicia (ATRIGA)</t>
  </si>
  <si>
    <t xml:space="preserve">Propio (ente): Agencia Tributaria de la Región de Murcia (ATRM)</t>
  </si>
  <si>
    <t xml:space="preserve">Propio (ente): Hacienda Foral de Navarra (organismo autónomo)</t>
  </si>
  <si>
    <t xml:space="preserve">Propio (órgano): Haciendas Forales de Álava, Bizkaia y Gipuzkoa (departamentos de Hacienda de las tres diputaciones forales) + Órgano de Coordinación Tributaria de Euskadi</t>
  </si>
  <si>
    <t xml:space="preserve">Parcial. La AEAT cubre en todo el territorio común los tributos estatales no cedidos, pero los tributos cedidos los gestiona cada CA por ley, con agencia o con su DG. La función autonómica existe en las 15 CCAA de régimen común: la 'duplicidad' de las 10 agencias es de forma organizativa, no de función, porque las 6 CCAA sin agencia hacen lo mismo desde una DG. En territorio foral la AEAT no gestiona los tributos concertados o convenidos.</t>
  </si>
  <si>
    <t xml:space="preserve">Tributos cedidos: por la LOFCA y la ley de financiación autonómica, las CCAA de régimen común aplican por delegación los tributos cedidos (ISD, ITPAJD, tributos sobre el juego, etc.) y organizan libremente su administración tributaria (agencia o DG). La AEAT aplica los tributos estatales (IRPF, IVA, IS, IIEE) en todo el territorio común. Navarra (Convenio Económico) y el País Vasco (Concierto Económico, Ley 12/2002) tienen haciendas forales propias por la DA 1ª de la Constitución.</t>
  </si>
  <si>
    <t xml:space="preserve">https://www.boe.es/eli/es-an/l/2007/12/18/23/con
https://laadministracionaldia.inap.es/noticia.asp?id=1232456
https://www.boe.es/eli/es-ib/l/2008/04/14/3
https://boe.es/buscar/act.php?id=BOE-A-2014-9902
https://www.parcan.es/files/documentacion/dosieres/DOSS0221/DOSS0221DOC4682.PDF
https://transparencia.castillalamancha.es/titular/33680
https://www.boe.es/diario_boe/txt.php?id=BOE-A-2007-15212
https://laadministracionaldia.inap.es/noticia.asp?id=1256956
https://doe.juntaex.es/pdfs/doe/2026/790o/26060892.pdf
https://www.es.parlamentodegalicia.gal/sitios/web/BibliotecaLeisdeGalicia/Lei_15_2010.pdf
https://www.comunidad.madrid/transparencia/unidad-organizativa-responsable/direccion-general-tributos
https://www.parcan.es/files/documentacion/dosieres/DOSS0221/DOSS0221DOC4791.PDF
https://laadministracionaldia.inap.es/noticia.asp?id=1239023
https://www.euskadi.eus/gobierno-vasco/contenidos/informacion/fisc_sytribvas/es_3222/indice_c.html
https://larioja.org/tributos/en/enlaces-interes/competencias-direccion-general-tributos
https://www.gobierno.jcyl.es/web/es/consejerias/direccion-general-tributos-financiacion.html
https://gd.aragon.es/cgi-bin/ORGA/BRSCGI?CMD=VERDOC&amp;BASE=ORGA&amp;PIECE=ORGA&amp;SEC=ORGABUSXI&amp;DOCN=653</t>
  </si>
  <si>
    <t xml:space="preserve">Consejos de transparencia</t>
  </si>
  <si>
    <t xml:space="preserve">Consejo de Transparencia y Buen Gobierno (CTBG)</t>
  </si>
  <si>
    <t xml:space="preserve">Propio (ente): Consejo de Transparencia y Protección de Datos de Andalucía (CTPDA)</t>
  </si>
  <si>
    <t xml:space="preserve">Propio (órgano): Consejo de Transparencia de Aragón</t>
  </si>
  <si>
    <t xml:space="preserve">Lo cubre el Estado</t>
  </si>
  <si>
    <t xml:space="preserve">Propio (órgano): Comisionado de Transparencia y Acceso a la Información Pública de Canarias</t>
  </si>
  <si>
    <t xml:space="preserve">Propio (órgano): Consejo Regional de Transparencia y Buen Gobierno de Castilla-La Mancha</t>
  </si>
  <si>
    <t xml:space="preserve">Propio (órgano): Comisionado de Transparencia de Castilla y León (función atribuida al Procurador del Común)</t>
  </si>
  <si>
    <t xml:space="preserve">Propio (órgano): Comissió de Garantia del Dret d'Accés a la Informació Pública (GAIP)</t>
  </si>
  <si>
    <t xml:space="preserve">Propio (órgano): Consell de Transparència de la Comunitat Valenciana</t>
  </si>
  <si>
    <t xml:space="preserve">Propio (órgano): Comisión da Transparencia de Galicia</t>
  </si>
  <si>
    <t xml:space="preserve">Propio (órgano): Consejo de Transparencia y Protección de Datos de la Comunidad de Madrid</t>
  </si>
  <si>
    <t xml:space="preserve">Propio (órgano): Comisionado de Transparencia de la Región de Murcia</t>
  </si>
  <si>
    <t xml:space="preserve">Propio (órgano): Consejo de Transparencia de Navarra</t>
  </si>
  <si>
    <t xml:space="preserve">Propio (órgano): Comisión Vasca de Acceso a la Información Pública</t>
  </si>
  <si>
    <t xml:space="preserve">Sí, por convenio. En 2025-2026 el CTBG resuelve las reclamaciones de Asturias (nuevo convenio de 11/05/2026), Illes Balears (convenio 2025-2029), Cantabria, Extremadura y La Rioja, además de Ceuta y Melilla. La CA paga por reclamación resuelta (192,35 EUR en el convenio asturiano). CLM (hasta 31/10/2023) y Madrid (hasta 02/11/2021) dejaron el convenio al crear su órgano.</t>
  </si>
  <si>
    <t xml:space="preserve">Transparencia: cada administración puede atribuir la resolución de las reclamaciones de acceso a un órgano propio o convenirla con el CTBG (Ley 19/2013, art. 24 y DA 4ª).</t>
  </si>
  <si>
    <t xml:space="preserve">https://consejodetransparencia.es/content/dam/ctransparencia/portal-ctbg/nosotros/cooperacion/acta_constitucion_COTAI.pdf
https://consejodetransparencia.es/content/dam/ctransparencia/portal-ctbg/nosotros/memorias-y-plan-estrategico/memoria-2025/Memoria_2025_CTBG.pdf
https://consejodetransparencia.es/content/dam/ctransparencia/portal-ctbg/nosotros/memorias-y-plan-estrategico/memoria-2025/Resumen_Ejecutivo_Memoria_2025_CTBG.pdf
https://www.asturias.es/bopa/2026/06/26/2026-05300.pdf
https://www.bocm.es/boletin/CM_Orden_BOCM/2024/05/23/BOCM-20240523-1.PDF
https://www.comunidad.madrid/transparencia/sites/default/files/8._main_reglamento_ctpd.pdf
https://boe.es/ccaa/borm/2024/158/s20598-20604.pdf
https://www.boe.es/buscar/act.php?id=BOE-A-2014-7534</t>
  </si>
  <si>
    <t xml:space="preserve">Autoridades de protección de datos</t>
  </si>
  <si>
    <t xml:space="preserve">Agencia Española de Protección de Datos (AEPD)</t>
  </si>
  <si>
    <t xml:space="preserve">Propio (ente): Autoritat Catalana de Protecció de Dades (APDCAT)</t>
  </si>
  <si>
    <t xml:space="preserve">Propio (ente): Autoridad Vasca de Protección de Datos (AVPD)</t>
  </si>
  <si>
    <t xml:space="preserve">Sí, por defecto y por ley: la AEPD supervisa el sector público autonómico y local de las 14 CCAA sin autoridad propia, y a todo el sector privado en toda España. Madrid suprimió su agencia el 01/01/2013 y la AEPD asumió sus funciones.</t>
  </si>
  <si>
    <t xml:space="preserve">Protección de datos: el RGPD y la LOPDGDD (arts. 57-58) permiten a las CCAA crear autoridades de control para los tratamientos de su sector público y de las entidades locales de su territorio. En lo demás, y donde no las hay, es competente la AEPD.</t>
  </si>
  <si>
    <t xml:space="preserve">https://www.aepd.es/la-agencia/transparencia/informacion-de-caracter-institucional-organizativa-y-de-planificacion/historia
https://boe.es/boe/dias/2024/01/18/pdfs/BOE-A-2024-900.pdf
https://www.euskadi.eus/web01-bopv/es/bopv2/datos/2024/12/2405865a.shtml
https://www.comunidad.madrid/transparencia/sites/default/files/8._main_reglamento_ctpd.pdf</t>
  </si>
  <si>
    <t xml:space="preserve">Autoridades de defensa de la competencia</t>
  </si>
  <si>
    <t xml:space="preserve">Comisión Nacional de los Mercados y la Competencia (CNMC)</t>
  </si>
  <si>
    <t xml:space="preserve">Propio (ente): Agencia de la Competencia y de la Regulación Económica de Andalucía (antes Agencia de Defensa de la Competencia de Andalucía)</t>
  </si>
  <si>
    <t xml:space="preserve">Propio (órgano): Tribunal de Defensa de la Competencia de Aragón (resolución) + Servicio de Defensa de la Competencia (instrucción, en el departamento)</t>
  </si>
  <si>
    <t xml:space="preserve">Propio (órgano): Consejo Canario de Defensa de la Competencia (resolución) + Servicio de Defensa de la Competencia (instrucción)</t>
  </si>
  <si>
    <t xml:space="preserve">Propio (órgano): Órgano autonómico de defensa de la competencia de Castilla y León (instrucción + resolución; nombre a confirmar)</t>
  </si>
  <si>
    <t xml:space="preserve">Propio (ente): Autoritat Catalana de la Competència (ACCO)</t>
  </si>
  <si>
    <t xml:space="preserve">Propio (órgano): Comisión de Defensa de la Competencia de la Comunitat Valenciana</t>
  </si>
  <si>
    <t xml:space="preserve">Propio (órgano): Jurado de Defensa de la Competencia de Extremadura</t>
  </si>
  <si>
    <t xml:space="preserve">Propio (órgano): Comisión Galega da Competencia (órgano colegiado independiente adscrito al Instituto Galego do Consumo e da Competencia, OA)</t>
  </si>
  <si>
    <t xml:space="preserve">Propio (ente): Autoridad Vasca de la Competencia (AVC)</t>
  </si>
  <si>
    <t xml:space="preserve">Sí, por defecto: donde no hay órgano autonómico actúa la CNMC, y donde la CA solo instruye (Madrid, Murcia, Navarra) resuelve la CNMC. Los casos se reparten mediante el Consejo de Defensa de la Competencia.</t>
  </si>
  <si>
    <t xml:space="preserve">Defensa de la competencia: legislación estatal (Ley 15/2007). Las CCAA con competencia estatutaria ejecutan sobre conductas que afectan solo a su territorio, con puntos de conexión y asignación de casos según la Ley 1/2002 de coordinación; las conductas supraautonómicas corresponden siempre a la CNMC.</t>
  </si>
  <si>
    <t xml:space="preserve">https://cnmc.es/la-cnmc-y-las-autoridades-de-competencia-autonomicas-han-celebrado-en-madrid-el-consejo-anual-de
https://www.boe.es/buscar/act.php?id=BOE-A-2007-14406
https://derecholocal.es/?p=11702
https://dogv.gva.es/datos/2012/03/26/pdf/2012_3049.pdf
https://laadministracionaldia.inap.es/noticia.asp?id=1057841
https://www.juntaex.es/w/0680923
https://www.lex.gal/es/normativa/detalle/10097/pdf/
https://www.boe.es/buscar/act.php?id=BOE-A-2012-2313
https://cnmc.es/sites/default/files/editor_contenidos/CNMC/Memorias/Resumen-ejecutivo-memoria-2024_.pdf</t>
  </si>
  <si>
    <t xml:space="preserve">Oficinas y agencias antifraude y de protección del informante</t>
  </si>
  <si>
    <t xml:space="preserve">Autoridad Independiente de Protección del Informante, A.A.I. (AIPI)</t>
  </si>
  <si>
    <t xml:space="preserve">Propio (ente): Oficina Andaluza contra el Fraude y la Corrupción (OAAF)</t>
  </si>
  <si>
    <t xml:space="preserve">No existe</t>
  </si>
  <si>
    <t xml:space="preserve">Propio (ente): Consejo de Transparencia y Buen Gobierno del Principado de Asturias</t>
  </si>
  <si>
    <t xml:space="preserve">Propio (órgano): Autoridad Independiente en materia de Corrupción de Castilla y León (AAICyL)</t>
  </si>
  <si>
    <t xml:space="preserve">Propio (ente): Oficina Antifraude de Cataluña (OAC)</t>
  </si>
  <si>
    <t xml:space="preserve">Propio (ente): Agencia de Prevención y Lucha contra el Fraude y la Corrupción de la Comunitat Valenciana (AVAF)</t>
  </si>
  <si>
    <t xml:space="preserve">Propio (ente): Autoridad Gallega de Protección de la Persona Informante (AGPI)</t>
  </si>
  <si>
    <t xml:space="preserve">Propio (órgano): Consejo de Transparencia y Protección de Datos de la Comunidad de Madrid (CTPD)</t>
  </si>
  <si>
    <t xml:space="preserve">Propio (ente): Oficina de Buenas Prácticas y Anticorrupción de la Comunidad Foral de Navarra (OANA)</t>
  </si>
  <si>
    <t xml:space="preserve">Propio (ente): Autoridad Vasca de Transparencia – Gardena</t>
  </si>
  <si>
    <t xml:space="preserve">parcial: la AIPI cubre el sector público estatal; para el sector público de las CCAA sin autoridad propia requiere convenio con la Consejería competente, y el PAA 2026 no cita ninguno firmado (objetivo de 3 en 2026). Hoy hay 8 CCAA sin autoridad propia ni convenio verificado.</t>
  </si>
  <si>
    <t xml:space="preserve">Protección del informante: la Ley 2/2023 (art. 24) permite a cada comunidad designar su propia autoridad independiente para su sector público autonómico y local; si no la designa, la AIPI solo puede actuar en ese territorio mediante convenio (DA 2ª). Las oficinas antifraude previas son creación autonómica por autoorganización (casi todas adscritas al Parlamento).</t>
  </si>
  <si>
    <t xml:space="preserve">https://www.proteccioninformante.gob.es/content/dam/aipi/documentos/PLAN_ACTUACION_ANUAL_2026_AIPI.pdf
https://laadministracionaldia.inap.es/noticia.asp?id=1520499
https://www.cepc.gob.es/sites/default/files/2026-06/20260617-aipi.pdf
https://laadministracionaldia.inap.es/noticia.asp?id=1249714
https://intranet.caib.es/eboibfront/pdf/es/2024/68/1162692
https://www.comunidad.madrid/consejo-transparencia/canal-externo-informante
https://laadministracionaldia.inap.es/noticia.asp?id=1260634
https://www.boe.es/eli/es-ar/l/2017/06/01/5/con</t>
  </si>
  <si>
    <t xml:space="preserve">Agencias de calidad universitaria</t>
  </si>
  <si>
    <t xml:space="preserve">Agencia Nacional de Evaluación de la Calidad y Acreditación (ANECA)</t>
  </si>
  <si>
    <t xml:space="preserve">Propio (ente): Agencia para la Calidad Científica y Universitaria de Andalucía (ACCUA)</t>
  </si>
  <si>
    <t xml:space="preserve">Propio (ente): Agencia de Calidad y Prospectiva Universitaria de Aragón (ACPUA)</t>
  </si>
  <si>
    <t xml:space="preserve">Propio (ente): Agència de Qualitat Universitària de les Illes Balears (AQUIB)</t>
  </si>
  <si>
    <t xml:space="preserve">Propio (ente): Agencia Canaria de Calidad Universitaria y Evaluación Educativa (ACCUEE)</t>
  </si>
  <si>
    <t xml:space="preserve">Propio (ente): Agencia para la Calidad del Sistema Universitario de Castilla y León (ACSUCYL)</t>
  </si>
  <si>
    <t xml:space="preserve">Propio (ente): Agència per a la Qualitat del Sistema Universitari de Catalunya (AQU Catalunya)</t>
  </si>
  <si>
    <t xml:space="preserve">Propio (ente): Agència Valenciana d'Avaluació i Prospectiva (AVAP)</t>
  </si>
  <si>
    <t xml:space="preserve">Propio (ente): Axencia para a Calidade do Sistema Universitario de Galicia (ACSUG)</t>
  </si>
  <si>
    <t xml:space="preserve">Propio (ente): Fundación para el Conocimiento madri+d</t>
  </si>
  <si>
    <t xml:space="preserve">Propio (ente): Agencia de Calidad del Sistema Universitario Vasco (Unibasq)</t>
  </si>
  <si>
    <t xml:space="preserve">sí, por defecto: ANECA evalúa en las 7 CCAA sin agencia propia (Asturias, Cantabria, Castilla-La Mancha, Extremadura, Murcia, Navarra, La Rioja). Además las universidades pueden recurrir a cualquier agencia inscrita en EQAR.</t>
  </si>
  <si>
    <t xml:space="preserve">Garantía de calidad universitaria: la evaluación y acreditación de títulos e instituciones corresponde a ANECA o a las agencias autonómicas inscritas en EQAR, cada una en su ámbito (normativa universitaria estatal: LOSU y RD 822/2021). Las CCAA pueden crear su agencia; si no la crean, actúa ANECA.</t>
  </si>
  <si>
    <t xml:space="preserve">https://eqar.eu/register/agencies
https://www.aneca.es/en/reacu-network
https://dogv.gva.es/datos/2024/01/12/pdf/2024_156.pdf
https://www.inqaahe.org/wp-content/uploads/2025/02/D250.pdf
https://intranet.caib.es/eboibfront/pdf/es/2021/98/1093428</t>
  </si>
  <si>
    <t xml:space="preserve">Evaluación de políticas públicas</t>
  </si>
  <si>
    <t xml:space="preserve">Agencia Estatal de Evaluación de Políticas Públicas</t>
  </si>
  <si>
    <t xml:space="preserve">Sin verificar</t>
  </si>
  <si>
    <t xml:space="preserve">Propio (ente): Institut Català d'Avaluació de Polítiques Públiques (Ivàlua)</t>
  </si>
  <si>
    <t xml:space="preserve">Propio (órgano): Comisión Foral para la Evaluación de las Políticas Públicas y la Calidad de los Servicios Públicos</t>
  </si>
  <si>
    <t xml:space="preserve">no: la Agencia estatal evalúa políticas de la AGE. Las CCAA cooperan en la red voluntaria REDEVAL y no se ha verificado ningún convenio de evaluación por encargo.</t>
  </si>
  <si>
    <t xml:space="preserve">Evaluación de políticas públicas: la Ley 27/2022 regula solo la AGE; cada comunidad organiza la evaluación de sus propias políticas por autoorganización, con ley propia o sin ella. La cooperación se hace por la red voluntaria REDEVAL (constituida en 2025: 13 CCAA y el Gobierno de España).</t>
  </si>
  <si>
    <t xml:space="preserve">https://www.boe.es/diario_boe/txt.php?id=BOE-A-2026-2553
https://laadministracionaldia.inap.es/noticia.asp?id=1518225
https://www.boe.es/boe/dias/2026/07/28/pdfs/BOE-A-2026-16358.pdf
https://laadministracionaldia.inap.es/noticia.asp?id=1516123
https://aecpa.es/files/view/pdf/congress-papers/17-0/3430
https://www.redalyc.org/journal/2815/281573431006/281573431006.pdf
https://europeanevaluation.org/2026/02/05/spains-evaluation-awakening-a-decisive-momentum-from-quiet-reform-to-national-movement/</t>
  </si>
  <si>
    <t xml:space="preserve">Escuelas e institutos de formación de empleados públicos</t>
  </si>
  <si>
    <t xml:space="preserve">Instituto Nacional de Administración Pública (INAP)</t>
  </si>
  <si>
    <t xml:space="preserve">Propio (ente): Instituto Andaluz de Administración Pública (IAAP)</t>
  </si>
  <si>
    <t xml:space="preserve">Propio (órgano): Instituto Aragonés de Administración Pública (IAAP)</t>
  </si>
  <si>
    <t xml:space="preserve">Propio (órgano): Instituto Asturiano de Administración Pública 'Adolfo Posada'</t>
  </si>
  <si>
    <t xml:space="preserve">Propio (ente): Escuela Balear de Administración Pública (EBAP)</t>
  </si>
  <si>
    <t xml:space="preserve">Propio (ente): Instituto Cántabro de Administración Pública 'Rafael de la Sierra' (ICAP)</t>
  </si>
  <si>
    <t xml:space="preserve">Propio (órgano): Escuela de Administración Regional (EAR)</t>
  </si>
  <si>
    <t xml:space="preserve">Propio (órgano): Escuela de Administración Pública de Castilla y León (ECLAP)</t>
  </si>
  <si>
    <t xml:space="preserve">Propio (ente): Escola d'Administració Pública de Catalunya (EAPC)</t>
  </si>
  <si>
    <t xml:space="preserve">Propio (ente): Escola Galega de Administración Pública (EGAP)</t>
  </si>
  <si>
    <t xml:space="preserve">Propio (órgano): Escuela de Formación e Innovación de la Administración Pública de la Región de Murcia (EFIAP)</t>
  </si>
  <si>
    <t xml:space="preserve">Propio (ente): Instituto Vasco de Administración Pública (IVAP)</t>
  </si>
  <si>
    <t xml:space="preserve">Propio (órgano): Escuela Riojana de Administración Pública (ERAP)</t>
  </si>
  <si>
    <t xml:space="preserve">no: el INAP no forma al personal autonómico como servicio sustitutivo. Solo financia en parte (AFEDAP) y colabora con las escuelas autonómicas.</t>
  </si>
  <si>
    <t xml:space="preserve">Formación de empleados públicos: cada administración forma a su propio personal (autoorganización y función pública propia, TREBEP). El Estado coordina y financia en parte mediante el AFEDAP, que gestiona el INAP.</t>
  </si>
  <si>
    <t xml:space="preserve">https://portal.inap.es/documents/10136/2292011/2022-MEMORIA.pdf/1f8338c1-e550-48bb-0c00-eefcbcd684af
https://boe.es/boe/dias/2008/06/11/pdfs/A26873-26873.pdf</t>
  </si>
  <si>
    <t xml:space="preserve">Agencias de ciberseguridad</t>
  </si>
  <si>
    <t xml:space="preserve">INCIBE (S.M.E. Instituto Nacional de Ciberseguridad de España, sociedad mercantil estatal) y CCN-CERT (capacidad de respuesta del Centro Criptológico Nacional, integrado en el CNI)</t>
  </si>
  <si>
    <t xml:space="preserve">Propio (órgano): AndalucíaCERT (Centro de Seguridad TIC de Andalucía)</t>
  </si>
  <si>
    <t xml:space="preserve">Propio (ente): Agencia Balear de Digitalización, Ciberseguridad y Telecomunicaciones (ABDigital)</t>
  </si>
  <si>
    <t xml:space="preserve">Propio (ente): Agència de Ciberseguretat de Catalunya</t>
  </si>
  <si>
    <t xml:space="preserve">Propio (órgano): CSIRT-CV, Centro de Ciberseguridad de la Generalitat</t>
  </si>
  <si>
    <t xml:space="preserve">Propio (órgano): CSIRT.gal (Centro de Respuesta a Incidentes de Ciberseguridad de la Xunta)</t>
  </si>
  <si>
    <t xml:space="preserve">Propio (ente): Agencia de Ciberseguridad de la Comunidad de Madrid</t>
  </si>
  <si>
    <t xml:space="preserve">Propio (ente): Agencia Vasca de Ciberseguridad (Zibersegurtasuneko Euskal Agentzia)</t>
  </si>
  <si>
    <t xml:space="preserve">Sí, por ley y por defecto: el CCN-CERT ya es el CSIRT de referencia de todas las administraciones autonómicas. Varias CCAA sin agencia propia operan SOC o CSIRT integrados en la Red Nacional de SOC del CCN o con convenio con el CCN-CERT (p. ej. Baleares 2022, Galicia, Castilla y León).</t>
  </si>
  <si>
    <t xml:space="preserve">Seguridad pública, defensa y telecomunicaciones son competencias estatales (art. 149.1.21ª, 29ª CE). La normativa NIS (RD-ley 12/2018) designa CSIRT de referencia estatales: el CCN-CERT para el sector público y el INCIBE-CERT para el sector privado. Cada CCAA protege sus propios sistemas por autoorganización, aplicando el Esquema Nacional de Seguridad.</t>
  </si>
  <si>
    <t xml:space="preserve">https://www.boe.es/eli/es-ct/l/2017/07/25/15
https://www.boe.es/diario_boe/txt.php?id=BOE-A-2023-17645
https://www.bocm.es/boletin/CM_Orden_BOCM/2026/07/14/BOCM-20260714-12.PDF
https://www.caib.es/eboibfront/eli/es-ib/d/2025/12/19/63/dof/spa/pdf
https://www.caib.es/sites/dgtic/es/soc/
https://sedian.juntadeandalucia.es/rfc-2350
https://laadministracionaldia.inap.es/noticia.asp?id=1515740
https://www.xunta.gal/hemeroteca/-/nova/157128/centro-respuesta-incidentes-ciberseguridad-xunta-entra-red-nacional-impulsada
https://ast.aragon.es/sites/default/files/ast_memoriaactividad2016_resumen.pdf</t>
  </si>
  <si>
    <t xml:space="preserve">Agencias de administración digital y TIC</t>
  </si>
  <si>
    <t xml:space="preserve">Agencia Estatal de Administración Digital (AEAD)</t>
  </si>
  <si>
    <t xml:space="preserve">Propio (ente): Agencia Digital de Andalucía (ADA)</t>
  </si>
  <si>
    <t xml:space="preserve">Propio (ente): Aragonesa de Servicios Telemáticos (AST)</t>
  </si>
  <si>
    <t xml:space="preserve">Propio (ente): Agencia de Transformación Digital de Castilla-La Mancha</t>
  </si>
  <si>
    <t xml:space="preserve">Propio (ente): Centre de Telecomunicacions i Tecnologies de la Informació (CTTI)</t>
  </si>
  <si>
    <t xml:space="preserve">Propio (ente): Agencia para la Modernización Tecnológica de Galicia (AMTEGA)</t>
  </si>
  <si>
    <t xml:space="preserve">Propio (ente): Agencia para la Administración Digital de la Comunidad de Madrid (Madrid Digital)</t>
  </si>
  <si>
    <t xml:space="preserve">Propio (ente): Agencia Digital de la Región de Murcia (organismo autónomo)</t>
  </si>
  <si>
    <t xml:space="preserve">Propio (ente): EJIE, Sociedad Informática del Gobierno Vasco, S.A.</t>
  </si>
  <si>
    <t xml:space="preserve">Parcial, por adhesión voluntaria a servicios comunes de la AGE; no sustituye a los servicios TIC autonómicos.</t>
  </si>
  <si>
    <t xml:space="preserve">Autoorganización: cada administración gestiona sus propios sistemas de información (art. 148.1.1ª CE y estatutos). La Ley 40/2015 obliga a la interoperabilidad y permite reutilizar y adherirse a soluciones de otras administraciones.</t>
  </si>
  <si>
    <t xml:space="preserve">https://www.boe.es/buscar/doc.php?id=BOE-A-2024-22929
https://www.juntadeandalucia.es/boja/2021/65/43
https://ast.aragon.es/sites/default/files/ast_memoriaactividad2016_resumen.pdf
https://www.caib.es/eboibfront/eli/es-ib/d/2025/12/19/63/dof/spa/pdf
https://www.boe.es/eli/es-cm/l/2024/03/15/1
https://documents.dadesobertes.gencat.cat/convenis/docs/2021/2021_5_1536/2021_5_1536_0.pdf
https://pdr-mediorural.xunta.gal/sites/default/files/inline-files/D.252.11.castellano.pdf
https://www.bocm.es/boletin/CM_Orden_BOCM/2026/07/14/BOCM-20260714-12.PDF
https://www.boe.es/buscar/act.php?id=BORM-s-2022-90316
https://www.ejie.euskadi.eus/who-we-are/-/legal-and-corporate-framework/
https://laadministracionaldia.inap.es/noticia.asp?id=1515740</t>
  </si>
  <si>
    <t xml:space="preserve">Agencias de investigación e innovación</t>
  </si>
  <si>
    <t xml:space="preserve">Agencia Estatal de Investigación (AEI) y Centro para el Desarrollo Tecnológico y la Innovación (CDTI, E.P.E.)</t>
  </si>
  <si>
    <t xml:space="preserve">Propio (ente): Fundación Agencia Aragonesa para la Investigación y el Desarrollo (ARAID)</t>
  </si>
  <si>
    <t xml:space="preserve">Propio (ente): Agencia de Ciencia, Competitividad Empresarial e Innovación del Principado de Asturias (SEKUENS)</t>
  </si>
  <si>
    <t xml:space="preserve">Propio (órgano): Agencia Canaria de Investigación, Innovación y Sociedad de la Información (ACIISI)</t>
  </si>
  <si>
    <t xml:space="preserve">Propio (ente): Agencia de Investigación e Innovación de Castilla-La Mancha (organismo autónomo)</t>
  </si>
  <si>
    <t xml:space="preserve">Propio (ente): Agència de Gestió d'Ajuts Universitaris i de Recerca (AGAUR)</t>
  </si>
  <si>
    <t xml:space="preserve">Propio (ente): Agència Valenciana de la Innovació (AVI), integrada operativamente en IVACE+i</t>
  </si>
  <si>
    <t xml:space="preserve">Propio (ente): Axencia Galega de Innovación (GAIN)</t>
  </si>
  <si>
    <t xml:space="preserve">Propio (ente): Fundación Séneca, Agencia de Ciencia y Tecnología de la Región de Murcia</t>
  </si>
  <si>
    <t xml:space="preserve">Sí, en concurrencia: AEI y CDTI financian a entidades de todas las CCAA mediante convocatorias estatales; los organismos autonómicos añaden fondos propios y no cubren huecos territoriales.</t>
  </si>
  <si>
    <t xml:space="preserve">Fomento y coordinación general de la investigación científica y técnica: competencia estatal (art. 149.1.15ª CE). Las CCAA pueden fomentar la investigación en su territorio (art. 148.1.17ª CE y estatutos), coordinadas por la Ley 14/2011 de la Ciencia y el Consejo de Política Científica, Tecnológica y de Innovación.</t>
  </si>
  <si>
    <t xml:space="preserve">https://www.boe.es/eli/es/rd/2015/11/27/1067
https://www.boe.es/eli/es/rd/2026/04/01/263
https://laadministracionaldia.inap.es/noticia.asp?id=1264632
https://www.juntadeandalucia.es/export/presup2026/memoria/memoria2-e-2.pdf
https://www.boe.es/boe/dias/2019/01/28/pdfs/BOE-A-2019-994.pdf
https://boe.es/buscar/doc.php?id=BOE-A-2023-1605
https://www.gobiernodecanarias.org/conocimiento/la_agencia/
https://castillalamancha.es/sites/default/files/documentos/pdf/20220629/08_decreto_54_2022_estatutos_agencia_investigacion.pdf
https://laadministracionaldia.inap.es/noticia.asp?id=1266605
https://www.uv.es/serinves/convocatories/2026/Avi%202026/instruccions_internes.pdf
https://www.xunta.gal/dog/Publicados/2012/20120127/AnuncioCA04-230112-11332_es.html
https://www.borm.es/services/anuncio/ano/2026/numero/2481/pdf?id=843163</t>
  </si>
  <si>
    <t xml:space="preserve">Agencias de la energía</t>
  </si>
  <si>
    <t xml:space="preserve">Instituto para la Diversificación y Ahorro de la Energía (IDAE)</t>
  </si>
  <si>
    <t xml:space="preserve">Propio (ente): Agencia Andaluza de la Energía</t>
  </si>
  <si>
    <t xml:space="preserve">Propio (ente): Fundación Asturiana de la Energía (FAEN)</t>
  </si>
  <si>
    <t xml:space="preserve">Propio (ente): Instituto Balear de la Energía (IBE)</t>
  </si>
  <si>
    <t xml:space="preserve">Propio (ente): Ente Regional de la Energía de Castilla y León (EREN)</t>
  </si>
  <si>
    <t xml:space="preserve">Propio (ente): Institut Català d'Energia (ICAEN)</t>
  </si>
  <si>
    <t xml:space="preserve">Propio (ente): IVACE+i (Instituto Valenciano de Competitividad e Innovación), área de Energía</t>
  </si>
  <si>
    <t xml:space="preserve">Propio (ente): Agencia Extremeña de la Energía (AGENEX), entidad pública empresarial</t>
  </si>
  <si>
    <t xml:space="preserve">Propio (ente): Instituto Enerxético de Galicia (INEGA)</t>
  </si>
  <si>
    <t xml:space="preserve">Propio (ente): Fundación de la Energía de la Comunidad de Madrid (FENERCOM)</t>
  </si>
  <si>
    <t xml:space="preserve">Propio (ente): Ente Vasco de la Energía (EVE)</t>
  </si>
  <si>
    <t xml:space="preserve">Parcial: el IDAE actúa en todo el territorio, pero buena parte de sus líneas se ejecutan a través de las CCAA (consejería o agencia regional). Donde no hay agencia, la gestiona la consejería.</t>
  </si>
  <si>
    <t xml:space="preserve">Bases del régimen energético y planificación económica general: competencias estatales (art. 149.1.13ª y 25ª CE). A las CCAA corresponden el desarrollo normativo y la ejecución, incluida la gestión de ayudas de ahorro, eficiencia y renovables en su territorio.</t>
  </si>
  <si>
    <t xml:space="preserve">https://www.cnmc.es/sites/default/files/energia/consumidores/201610_Enlaces%2520eficiencia%2520energ%C3%A9tica%5B1%5D.pdf
https://juntadeandalucia.es/boja/2003/189/1
https://www.boe.es/buscar/pdf/2019/BOE-A-2019-5579-consolidado.pdf
https://www.gobiernodecanarias.org/boc/2022/257/001.html
https://derecholocal.es/?p=13612
https://laadministracionaldia.inap.es/noticia.asp?id=1241987
https://www.boe.es/diario_boe/txt.php?id=BOE-A-2026-15131
https://laadministracionaldia.inap.es/noticia.asp?id=1111574
https://transparencia.carm.es/wres/transparencia/doc/Consejo_Gobierno/2018-06-14/punto_25_ENERAGEN.pdf
https://www.boe.es/buscar/act.php?id=BOE-A-2024-1778
https://www.boe.es/eli/es-ri/l/2022/11/02/13</t>
  </si>
  <si>
    <t xml:space="preserve">Seguridad ferroviaria</t>
  </si>
  <si>
    <t xml:space="preserve">Agencia Estatal de Seguridad Ferroviaria (AESF)</t>
  </si>
  <si>
    <t xml:space="preserve">Propio (ente): Agència Valenciana de Seguretat Ferroviària (AVSF)</t>
  </si>
  <si>
    <t xml:space="preserve">Parcial. La AESF cubre por ley toda la RFIG en las 17 CCAA. No cubre las redes autonómicas (FGC, FGV, Euskotren, SFM) ni metros y tranvías: su informe 2025 los excluye y en Madrid la propia AESF declara que no tiene competencia sobre Metro. No se ha encontrado ninguna encomienda o convenio por el que la AESF supervise una red autonómica. Extenderla requeriría un convenio o una encomienda con cada comunidad, o un cambio legal.</t>
  </si>
  <si>
    <t xml:space="preserve">Los ferrocarriles que discurren íntegramente por el territorio de una comunidad son de competencia autonómica (art. 148.1.5ª CE y estatutos). La RFIG y su seguridad son estatales (art. 149.1.21ª CE; Ley 38/2015, del Sector Ferroviario, con la AESF como autoridad de seguridad).</t>
  </si>
  <si>
    <t xml:space="preserve">https://www.boe.es/eli/es/rd/2014/12/19/1072
https://www.era.europa.eu/sites/default/files/reports/ias%20nsa%20espa%C3%B1a%202025.pdf
https://www.boe.es/eli/es-vc/l/2018/03/26/7/con
https://www.boe.es/ccaa/dogv/2026/10425/r00001-00351.pdf
https://www.boe.es/ccaa/dogc/2026/9680/f00001-00004.pdf
https://www.euskadi.eus/contenidos/anuncio_tablon/con_3917055/es_def/adjuntos/Orden-consulta-publica-previa-LSF.pdf</t>
  </si>
  <si>
    <t xml:space="preserve">Agencias de salud pública</t>
  </si>
  <si>
    <t xml:space="preserve">Agencia Estatal de Salud Pública (AESAP)</t>
  </si>
  <si>
    <t xml:space="preserve">Propio (ente): Agencia de Salud Pública de las Illes Balears (ASPIB)</t>
  </si>
  <si>
    <t xml:space="preserve">Propio (órgano): Agència de Salut Pública de Catalunya (ASPCAT), sin personalidad jurídica</t>
  </si>
  <si>
    <t xml:space="preserve">Propio (ente): Instituto de Salud Pública y Laboral de Navarra (ISPLN)</t>
  </si>
  <si>
    <t xml:space="preserve">Propio (ente): Instituto Vasco de Salud Pública (Osasungintza)</t>
  </si>
  <si>
    <t xml:space="preserve">No. La AESAP no sustituye a las direcciones generales ni a las agencias autonómicas: la vigilancia y la intervención de salud pública siguen siendo autonómicas. Solo coordina e integra la información.</t>
  </si>
  <si>
    <t xml:space="preserve">Sanidad: bases y coordinación general son estatales (art. 149.1.16ª CE); la gestión de la salud pública es autonómica (estatutos; Ley 33/2011, General de Salud Pública). La AESAP es un órgano estatal de vigilancia, preparación y coordinación y no asume la ejecución autonómica.</t>
  </si>
  <si>
    <t xml:space="preserve">https://www.boe.es/eli/es/l/2025/07/28/7
https://www.sanidad.gob.es/en/profesionales/saludPublica/saludAmbLaboral/calidadAguas/piscinas/pdf/CCAA_SILOE_R_ene21.pdf
https://www.boe.es/buscar/act.php?id=BOE-A-2011-2108
https://www.euskadi.eus/web01-bopv/es/bopv2/datos/2023/12/2305490a.shtml
https://govern.cat/govern/docs/2017/10/24/16/16/6bc122b4-de02-4974-9a53-0974dfdc3a37.pdf
https://aplicacions.economia.gencat.cat/wpres/2023/pdf/MP_SA14.pdf</t>
  </si>
  <si>
    <t xml:space="preserve">Agencias de cooperación al desarrollo</t>
  </si>
  <si>
    <t xml:space="preserve">Agencia Española de Cooperación Internacional para el Desarrollo (AECID)</t>
  </si>
  <si>
    <t xml:space="preserve">Propio (ente): Agencia Andaluza de Cooperación Internacional para el Desarrollo (AACID)</t>
  </si>
  <si>
    <t xml:space="preserve">Propio (órgano): Agencia Asturiana de Cooperación al Desarrollo</t>
  </si>
  <si>
    <t xml:space="preserve">Propio (ente): Agència Catalana de Cooperació al Desenvolupament (ACCD)</t>
  </si>
  <si>
    <t xml:space="preserve">Propio (ente): Agencia Extremeña de Cooperación Internacional para el Desarrollo (AEXCID)</t>
  </si>
  <si>
    <t xml:space="preserve">Propio (ente): Agencia Vasca de Cooperación para el Desarrollo (eLankidetza)</t>
  </si>
  <si>
    <t xml:space="preserve">No por defecto. Las CCAA gestionan su propia AOD. La AECID podría canalizar fondos autonómicos mediante convenio (hay convenios puntuales, p. ej. Murcia-AECID 2017 según el Consejo de Gobierno de la CARM), pero no hay cobertura general.</t>
  </si>
  <si>
    <t xml:space="preserve">La política de cooperación internacional del Estado deriva del art. 149.1.3ª CE. La Ley 1/2023, de Cooperación para el Desarrollo Sostenible y la Solidaridad Global, reconoce la cooperación descentralizada de CCAA y entes locales (cap. IV, sección 2ª), que estas financian y gestionan con fondos propios.</t>
  </si>
  <si>
    <t xml:space="preserve">https://www.boe.es/eli/es/rd/2007/10/26/1403/con
https://www.juntadeandalucia.es/boja/2006/98/d2.pdf
https://euskadi.eus:443/bopv2/datos/2008/07/0804175a.pdf
https://doe.juntaex.es/pdfs/doe/2024/1420o/24062490.pdf
https://www.asturias.es/bopa/2026/06/15/2026-04797.pdf</t>
  </si>
  <si>
    <t xml:space="preserve">Institutos de seguridad y salud laboral</t>
  </si>
  <si>
    <t xml:space="preserve">Instituto Nacional de Seguridad y Salud en el Trabajo (INSST, O.A., M.P.)</t>
  </si>
  <si>
    <t xml:space="preserve">Propio (ente): Instituto Andaluz de Prevención de Riesgos Laborales (IAPRL)</t>
  </si>
  <si>
    <t xml:space="preserve">Propio (órgano): Instituto Aragonés de Seguridad y Salud Laboral (ISSLA)</t>
  </si>
  <si>
    <t xml:space="preserve">Propio (ente): Instituto Asturiano de Prevención de Riesgos Laborales (IAPRL)</t>
  </si>
  <si>
    <t xml:space="preserve">Propio (ente): Instituto Balear de Seguridad y Salud Laboral (IBASSAL)</t>
  </si>
  <si>
    <t xml:space="preserve">Propio (ente): Instituto Canario de Seguridad Laboral (ICASEL)</t>
  </si>
  <si>
    <t xml:space="preserve">Propio (ente): Instituto Cántabro de Seguridad y Salud en el Trabajo (ICASST)</t>
  </si>
  <si>
    <t xml:space="preserve">Propio (ente): Instituto Valenciano de Seguridad y Salud en el Trabajo (INVASSAT)</t>
  </si>
  <si>
    <t xml:space="preserve">Propio (ente): Instituto de Seguridad y Salud Laboral de Galicia (ISSGA)</t>
  </si>
  <si>
    <t xml:space="preserve">Propio (ente): Instituto Regional de Seguridad y Salud en el Trabajo (IRSST)</t>
  </si>
  <si>
    <t xml:space="preserve">Propio (ente): Instituto de Seguridad y Salud Laboral de la Región de Murcia (ISSL)</t>
  </si>
  <si>
    <t xml:space="preserve">Propio (ente): Instituto Vasco de Seguridad y Salud Laborales (OSALAN)</t>
  </si>
  <si>
    <t xml:space="preserve">No. La ejecución está transferida a las 17 CCAA, que la ejercen con institutos propios o desde la consejería. El INSST no presta esos servicios en territorio autonómico; solo hace investigación, normalización y estudios estatales y coordina.</t>
  </si>
  <si>
    <t xml:space="preserve">Legislación laboral estatal; su ejecución corresponde a las CCAA (art. 149.1.7ª CE). La Ley 31/1995, de PRL, encarga al INSST el apoyo técnico y la colaboración con los órganos técnicos autonómicos, que ejercen el asesoramiento, la investigación de accidentes y el apoyo técnico a la ITSS en su territorio.</t>
  </si>
  <si>
    <t xml:space="preserve">https://www.insst.es/el-instituto/conoce-el-instituto/mision-y-funciones
https://www.insst.es/relaciones-institucionales/ambito-autonomico/enlaces-organismos-ccaa-en-prl-con-estrategias-sst
https://juntadeandalucia.es/boja/2006/251/2
https://cdn.juntadeandalucia.es/boja/2020/4/BOJA20-004-00002-31-01_00167569.pdf
https://intranet.caib.es/eboibfront/pdf/es/2024/89/1166156
https://laadministracionaldia.inap.es/noticia.asp?id=1225149</t>
  </si>
  <si>
    <t xml:space="preserve">Entes de emergencias 112</t>
  </si>
  <si>
    <t xml:space="preserve">Dirección General de Protección Civil y Emergencias (Ministerio del Interior)</t>
  </si>
  <si>
    <t xml:space="preserve">Propio (ente): Agencia de Emergencias de Andalucía (antes Agencia de Seguridad y Gestión Integral de Emergencias, ASGIE)</t>
  </si>
  <si>
    <t xml:space="preserve">Propio (ente): Servicio de Emergencias del Principado de Asturias (SEPA)</t>
  </si>
  <si>
    <t xml:space="preserve">Propio (ente): Gestió d'Emergències de les Illes Balears (GEIB), entidad pública empresarial</t>
  </si>
  <si>
    <t xml:space="preserve">Propio (ente): Gestión de Servicios para la Salud y Seguridad en Canarias (GSC), sociedad pública</t>
  </si>
  <si>
    <t xml:space="preserve">Propio (ente): Servicio de Emergencias de Cantabria (SEMCA), organismo autónomo</t>
  </si>
  <si>
    <t xml:space="preserve">Propio (ente): Centre d'Atenció i Gestió de Trucades d'Urgència 112 Catalunya (CAT112), entidad de derecho público</t>
  </si>
  <si>
    <t xml:space="preserve">Propio (ente): Agència Valenciana de Seguretat i Resposta a les Emergències (AVSRE), organismo autónomo</t>
  </si>
  <si>
    <t xml:space="preserve">Propio (ente): Axencia Galega de Emerxencias (AXEGA), agencia pública autonómica</t>
  </si>
  <si>
    <t xml:space="preserve">Propio (ente): Agencia de Seguridad y Emergencias Madrid 112 (ASEM112), ente de derecho público de régimen especial</t>
  </si>
  <si>
    <t xml:space="preserve">No. El Estado no presta el 112 en ninguna comunidad: los 17 centros 112 son autonómicos. La duplicación es entre comunidades, en la forma de gestionar (ente o servicio), no con el Estado.</t>
  </si>
  <si>
    <t xml:space="preserve">Protección civil: competencia concurrente. Las CCAA prestan el servicio 112 y gestionan las emergencias de su ámbito (RD 903/1997; estatutos); el Estado gestiona las emergencias de interés nacional y coordina el sistema (Ley 17/2015, del Sistema Nacional de Protección Civil).</t>
  </si>
  <si>
    <t xml:space="preserve">https://www.boe.es/eli/es/l/2015/07/09/17
https://laadministracionaldia.inap.es/noticia.asp?id=1246471
https://laadministracionaldia.inap.es/noticia.asp?id=1265294
https://laadministracionaldia.inap.es/noticia.asp?id=1250448
https://ficheiros-web.xunta.gal/cartas_de_servizo/aprobadas/emerxencias/Carta_Servizos_gal.pdf
https://intranet.caib.es/eboibfront/pdf/ca/2026/30/1214222
https://parcan.es/files/pub/bop/11l/2024/417/bo417.pdf
https://laadministracionaldia.inap.es/noticia.asp?id=1267282
https://laadministracionaldia.inap.es/noticia.asp?id=1267294</t>
  </si>
  <si>
    <t xml:space="preserve">Observatorios de convivencia escolar</t>
  </si>
  <si>
    <t xml:space="preserve">Observatorio Estatal de la Convivencia Escolar</t>
  </si>
  <si>
    <t xml:space="preserve">Propio (órgano): Observatorio para la Convivencia Escolar en Andalucía</t>
  </si>
  <si>
    <t xml:space="preserve">Propio (órgano): Observatorio autonómico de convivencia escolar de Aragón (el informe no da el nombre exacto)</t>
  </si>
  <si>
    <t xml:space="preserve">Propio (órgano): Observatorio autonómico de convivencia escolar del Principado de Asturias (el informe no da el nombre exacto)</t>
  </si>
  <si>
    <t xml:space="preserve">Propio (órgano): Institut per a la Convivència i l'Èxit Escolar (Convivèxit)</t>
  </si>
  <si>
    <t xml:space="preserve">Propio (órgano): Observatorio autonómico de convivencia escolar de Cantabria (el informe no da el nombre exacto)</t>
  </si>
  <si>
    <t xml:space="preserve">Propio (órgano): Observatorio autonómico de convivencia escolar de Castilla-La Mancha (el informe no da el nombre exacto)</t>
  </si>
  <si>
    <t xml:space="preserve">Propio (órgano): Observatorio de la Comunidad de Castilla y León, sección de convivencia escolar</t>
  </si>
  <si>
    <t xml:space="preserve">Propio (órgano): Observatorio para la Convivencia Escolar (desde 2023, pleno conjunto «Observatorio Igualdad y Convivencia»)</t>
  </si>
  <si>
    <t xml:space="preserve">Propio (órgano): Observatorio para la Convivencia Escolar en Extremadura</t>
  </si>
  <si>
    <t xml:space="preserve">Propio (órgano): Consejo para la Convivencia Escolar de la Comunidad Autónoma de Galicia</t>
  </si>
  <si>
    <t xml:space="preserve">Propio (órgano): Observatorio autonómico de convivencia escolar de la Comunidad de Madrid (el informe no da el nombre exacto)</t>
  </si>
  <si>
    <t xml:space="preserve">Propio (órgano): Observatorio autonómico de convivencia escolar de la Región de Murcia (el informe no da el nombre exacto)</t>
  </si>
  <si>
    <t xml:space="preserve">Propio (órgano): Observatorio autonómico de convivencia escolar del País Vasco (el informe no da el nombre exacto)</t>
  </si>
  <si>
    <t xml:space="preserve">Propio (órgano): Observatorio autonómico de convivencia escolar de La Rioja (el informe no da el nombre exacto)</t>
  </si>
  <si>
    <t xml:space="preserve">Parcial. El Observatorio Estatal (RD 275/2007, modificado por RD 3/2018) es un órgano colegiado consultivo de ámbito estatal: estudia, informa y propone. No gestiona la convivencia en los centros, que corresponde a las CCAA, y no hay convenios para que cubra a una CCAA sin observatorio propio.</t>
  </si>
  <si>
    <t xml:space="preserve">Educación: el Estado dicta las normas básicas (art. 149.1.30 CE, LOE/LOMLOE) y las CCAA las desarrollan, ejecutan y gestionan los centros. Cada administración educativa puede crear sus propios órganos de convivencia; ninguna ley lo obliga.</t>
  </si>
  <si>
    <t xml:space="preserve">https://educacionfpydeportes.gob.es/dam/jcr:9b630aa5-b767-4739-848b-65a46bcebbf9/informe-convivencia-ccaa-v-mayo--2024.pdf
https://educacionfpydeportes.gob.es/ca/dam/jcr:6e1130b2-96f3-4008-b2ab-c6dbb76d473f/rd-observatorio-estatal-convivencia-escolar.pdf
https://vlex.es/vid/real-decreto-3-2018-700920453
https://sirdoc.ccyl.es/Biblioteca/Dosieres/DL203AtencionViolenciaGenero/pdfs/CyL-Decreto-52-2014-Observatorio.pdf
https://doe.juntaex.es/pdfs/doe/2026/1040o/26050065.pdf
https://www.caib.es/sites/convivexit/ca/normativa_autonamica/</t>
  </si>
  <si>
    <t xml:space="preserve">Consejos de la juventud</t>
  </si>
  <si>
    <t xml:space="preserve">Consejo de la Juventud de España (CJE)</t>
  </si>
  <si>
    <t xml:space="preserve">Propio (órgano): Consejo de la Juventud de Andalucía</t>
  </si>
  <si>
    <t xml:space="preserve">Propio (ente): Consejo de la Juventud de Aragón</t>
  </si>
  <si>
    <t xml:space="preserve">Propio (ente): Consejo de la Juventud del Principado de Asturias (Conseyu de la Mocedá)</t>
  </si>
  <si>
    <t xml:space="preserve">Propio (ente): Consejo de la Juventud de Cantabria</t>
  </si>
  <si>
    <t xml:space="preserve">Propio (ente): Consejo de la Juventud de Castilla-La Mancha</t>
  </si>
  <si>
    <t xml:space="preserve">Propio (ente): Consejo de la Juventud de Castilla y León</t>
  </si>
  <si>
    <t xml:space="preserve">Propio (ente): Consejo de la Juventud de Extremadura</t>
  </si>
  <si>
    <t xml:space="preserve">Propio (órgano): Consejo Asesor y Consultivo de Juventud de Galicia</t>
  </si>
  <si>
    <t xml:space="preserve">Propio (órgano): Mesa de Políticas de Juventud de la Comunidad de Madrid (sustituye al Consejo de la Juventud, suprimido)</t>
  </si>
  <si>
    <t xml:space="preserve">Propio (ente): Consejo de la Juventud de Navarra / Nafarroako Gazteriaren Kontseilua</t>
  </si>
  <si>
    <t xml:space="preserve">Propio (ente): Consejo de la Juventud de La Rioja</t>
  </si>
  <si>
    <t xml:space="preserve">No sustitutiva. El CJE es una plataforma estatal; tras la Ley 15/2014 (reforma CORA) dejó de ser organismo autónomo y es una entidad corporativa de base privada. Los consejos autonómicos forman parte de él o se coordinan con él, pero no representa a la juventud ante cada gobierno autonómico. No hay convenios de cobertura.</t>
  </si>
  <si>
    <t xml:space="preserve">Juventud: es una competencia exclusiva autonómica según los Estatutos. El art. 48 CE obliga a todos los poderes públicos a promover la participación de la juventud. Cada CCAA regula su consejo por ley propia; el CJE actúa en el ámbito estatal.</t>
  </si>
  <si>
    <t xml:space="preserve">https://www.cje.org/en/entidades/
https://www.cje.org/en/faq/
https://www.boe.es/eli/es-cb/l/2019/02/14/1/con/20190225
https://www.boe.es/boe/dias/2005/05/20/pdfs/A16971-16975.pdf
https://boe.es/boe/dias/2025/03/20/pdfs/BOE-A-2025-5523.pdf
https://laadministracionaldia.inap.es/noticia.asp?id=1127756
https://laadministracionaldia.inap.es/noticia.asp?id=1235364
https://www.boe.es/boe/dias/1985/05/22/pdfs/A14960-14961.pdf
https://www.parcan.es/files/documentacion/dosieres/DOSS0102/DOSS0102DOC1424.PDF
https://tematico.asturias.es/hacienda/cuen2005/doc/5/4_1.pdf
https://www.juntadeandalucia.es/sites/default/files/2020-03/Proyecto%20de%20Ley%20de%20Juventud%20de%20Andaluc%C3%ADa.pdf
https://www.cje.org/download/295/consejos-de-juventud/23033/res-2016-autonomiacjandalucia.pdf</t>
  </si>
  <si>
    <t xml:space="preserve">Observatorios de igualdad y violencia de género</t>
  </si>
  <si>
    <t xml:space="preserve">Observatorio Estatal de Violencia sobre la Mujer</t>
  </si>
  <si>
    <t xml:space="preserve">Propio (órgano): Observatorio Andaluz de la Violencia de Género</t>
  </si>
  <si>
    <t xml:space="preserve">Propio (órgano): Observatorio Aragonés de Violencia sobre la Mujer</t>
  </si>
  <si>
    <t xml:space="preserve">Propio (órgano): Observatori per a la Igualtat de les Illes Balears</t>
  </si>
  <si>
    <t xml:space="preserve">Propio (órgano): Observatorio de la Igualdad de Género (Instituto Canario de Igualdad)</t>
  </si>
  <si>
    <t xml:space="preserve">Propio (órgano): Observatorio de Igualdad de Género de Cantabria</t>
  </si>
  <si>
    <t xml:space="preserve">Propio (órgano): Observatorio de la Comunidad de Castilla y León, sección de género</t>
  </si>
  <si>
    <t xml:space="preserve">Propio (órgano): Observatori de la Igualtat de Gènere (OIG)</t>
  </si>
  <si>
    <t xml:space="preserve">Propio (órgano): Observatorio Galego da Violencia de Xénero</t>
  </si>
  <si>
    <t xml:space="preserve">Propio (órgano): Observatorio Regional de la Violencia de Género</t>
  </si>
  <si>
    <t xml:space="preserve">Propio (órgano): Observatorio de Igualdad de la Región de Murcia</t>
  </si>
  <si>
    <t xml:space="preserve">Parcial. El OEVM (LO 1/2004, art. 30; RD 253/2006) es un órgano colegiado adscrito al Ministerio de Igualdad que elabora informes de ámbito estatal. No hay convenios para que sustituya a los observatorios autonómicos. Sin presupuesto propio: el gasto lo asume la DG contra la Violencia de Género (lote previo B1).</t>
  </si>
  <si>
    <t xml:space="preserve">Igualdad y violencia de género: el Estado fija el marco básico (LO 1/2004 y LO 3/2007; art. 149.1.1 CE) y las CCAA tienen competencias propias en políticas de mujer y asistencia social según sus Estatutos y leyes autonómicas. Cada CCAA puede crear sus órganos de seguimiento.</t>
  </si>
  <si>
    <t xml:space="preserve">https://www.boe.es/eli/es/lo/2004/12/28/1
https://www.boe.es/eli/es/rd/2006/03/03/253/con/20220928
https://cdn.juntadeandalucia.es/boja/2010/116/d2.pdf
https://www.parcan.es/files/documentacion/dosieres/DOSS0244/DOSS0244DOC5684.PDF
https://www.caib.es/sites/participacio/es/n/observatori_per_a_la_igualtat/
https://vlex.es/vid/decreto-38-2015-27-563806338
https://sirdoc.ccyl.es/Biblioteca/Dosieres/DL203AtencionViolenciaGenero/pdfs/CyL-Decreto-52-2014-Observatorio.pdf
https://dones.gencat.cat/content/dam/dones/03_ambits/observatori/01_coneix_nos/activitats/Memoria-OIG-2025_edicio.pdf
https://www.lex.gal/es/normativa/detalle/3166/pdf/
https://www.bocm.es/boletin/CM_Orden_BOCM/2022/12/21/BOCM-20221221-47.PDF
https://borm.es/services/anuncio/782935/pdf
https://transparencia.carm.es/documents/184026/11587769/MAIN+Decreto+Observatorio+Igualdad.pdf/fb2f0a04-7b0e-47f6-a68f-6948b430238a
https://www.boe.es/eli/es-nc/lf/2019/04/04/17/con</t>
  </si>
  <si>
    <t xml:space="preserve">Consejos audiovisuales (reguladores)</t>
  </si>
  <si>
    <t xml:space="preserve">Propio (ente): Consejo Audiovisual de Andalucía (CAA)</t>
  </si>
  <si>
    <t xml:space="preserve">Propio (ente): Consell de l'Audiovisual de Catalunya (CAC)</t>
  </si>
  <si>
    <t xml:space="preserve">Propio (ente): Consell de l'Audiovisual de la Comunitat Valenciana</t>
  </si>
  <si>
    <t xml:space="preserve">No. La CNMC asumió la regulación audiovisual estatal en 2013 (Ley 3/2013) y supervisa a los prestadores de ámbito estatal. Los prestadores autonómicos y locales los supervisa la autoridad de cada CCAA, sea un consejo independiente o la propia consejería. No hay convenios para que la CNMC cubra a una CCAA.</t>
  </si>
  <si>
    <t xml:space="preserve">Audiovisual: el Estado fija las bases del régimen de radio y televisión (art. 149.1.27 CE; Ley 13/2022, General de Comunicación Audiovisual) y las CCAA las desarrollan y ejecutan. La supervisión se reparte según el ámbito de cobertura del prestador.</t>
  </si>
  <si>
    <t xml:space="preserve">https://www.cnmc.es/en/ambitos-de-actuacion/audiovisual/actividad-internacional
https://www.rirm.org/en/caa-audiovisual-council-of-andalusia/
https://vlex.es/vid/decreto-121-2022-16-910713792
https://redopositor.com/oposiciones/convocatoria/resolucio-de-14-de-juliol-de-2026-de-la-presidencia-per-la-qual-es-pro--00d7ce64/
https://www.boe.es/eli/es-md/l/2001/04/18/2/con/20231229
https://parlamentodenavarra.es/sites/default/files/boletines/B2011821.pdf
https://www.boe.es/eli/es-ib/l/2010/12/22/15/con</t>
  </si>
  <si>
    <t xml:space="preserve">Rojo: la comunidad tiene organismo propio sobre el tema. Verde: no lo tiene (lo cubre el Estado, lo hace la consejería o no existe). Gris: sin verificar. "Organismos en total" suma el estatal y los autonómicos verificados; el máximo posible es 18. Fuentes oficiales por celda en el dashboard y en los JSON de trabajo.</t>
  </si>
  <si>
    <t xml:space="preserve">ID</t>
  </si>
  <si>
    <t xml:space="preserve">Ámbito</t>
  </si>
  <si>
    <t xml:space="preserve">Comunidad autónoma</t>
  </si>
  <si>
    <t xml:space="preserve">Periodo presidencial</t>
  </si>
  <si>
    <t xml:space="preserve">Nombre</t>
  </si>
  <si>
    <t xml:space="preserve">Tipo de creación / transformación</t>
  </si>
  <si>
    <t xml:space="preserve">Fecha legal</t>
  </si>
  <si>
    <t xml:space="preserve">Norma fundacional</t>
  </si>
  <si>
    <t xml:space="preserve">Mandato en teoría</t>
  </si>
  <si>
    <t xml:space="preserve">Poder real: juicio basado en evidencia</t>
  </si>
  <si>
    <t xml:space="preserve">Presupuesto propio (EUR millones)</t>
  </si>
  <si>
    <t xml:space="preserve">Año del presupuesto</t>
  </si>
  <si>
    <t xml:space="preserve">Base del presupuesto numérico</t>
  </si>
  <si>
    <t xml:space="preserve">Corte del presupuesto numérico</t>
  </si>
  <si>
    <t xml:space="preserve">Estado de cuantificación</t>
  </si>
  <si>
    <t xml:space="preserve">Crédito inicial (EUR millones)</t>
  </si>
  <si>
    <t xml:space="preserve">Modificación neta (EUR millones)</t>
  </si>
  <si>
    <t xml:space="preserve">Presupuesto: texto completo</t>
  </si>
  <si>
    <t xml:space="preserve">Corte: texto completo</t>
  </si>
  <si>
    <t xml:space="preserve">Estado legal y operativo</t>
  </si>
  <si>
    <t xml:space="preserve">Límites del juicio</t>
  </si>
  <si>
    <t xml:space="preserve">Duplicidades: clasificación (juicio)</t>
  </si>
  <si>
    <t xml:space="preserve">IDs relacionados</t>
  </si>
  <si>
    <t xml:space="preserve">Duplicidades: explicación y límite</t>
  </si>
  <si>
    <t xml:space="preserve">Fuentes de duplicidad</t>
  </si>
  <si>
    <t xml:space="preserve">Fuentes de la ficha</t>
  </si>
  <si>
    <t xml:space="preserve">Importe contextual (EUR millones; NO sumar)</t>
  </si>
  <si>
    <t xml:space="preserve">Año / periodo contextual</t>
  </si>
  <si>
    <t xml:space="preserve">Base contextual</t>
  </si>
  <si>
    <t xml:space="preserve">Nombre del titular del importe</t>
  </si>
  <si>
    <t xml:space="preserve">URL del documento</t>
  </si>
  <si>
    <t xml:space="preserve">Fecha de revisión</t>
  </si>
  <si>
    <t xml:space="preserve">Personal: personas (ocupadas)</t>
  </si>
  <si>
    <t xml:space="preserve">Año del personal</t>
  </si>
  <si>
    <t xml:space="preserve">Base del personal</t>
  </si>
  <si>
    <t xml:space="preserve">Estado de verificación del personal</t>
  </si>
  <si>
    <t xml:space="preserve">Fuente del personal</t>
  </si>
  <si>
    <t xml:space="preserve">Crédito de personal (EUR millones)</t>
  </si>
  <si>
    <t xml:space="preserve">Año del coste de personal</t>
  </si>
  <si>
    <t xml:space="preserve">Base del coste de personal</t>
  </si>
  <si>
    <t xml:space="preserve">Estado de verificación del coste</t>
  </si>
  <si>
    <t xml:space="preserve">Fuente del coste</t>
  </si>
  <si>
    <t xml:space="preserve">Gasto de personal ejecutado (EUR millones)</t>
  </si>
  <si>
    <t xml:space="preserve">Año del gasto de personal</t>
  </si>
  <si>
    <t xml:space="preserve">Corte de ejecución de personal</t>
  </si>
  <si>
    <t xml:space="preserve">Base de ejecución de personal</t>
  </si>
  <si>
    <t xml:space="preserve">Fuente de ejecución de personal</t>
  </si>
  <si>
    <t xml:space="preserve">Estado de verificación de ejecución</t>
  </si>
  <si>
    <t xml:space="preserve">Cobertura presupuesto / personal / salarios</t>
  </si>
  <si>
    <t xml:space="preserve">Fecha puestos aprobados</t>
  </si>
  <si>
    <t xml:space="preserve">Base de puestos aprobados</t>
  </si>
  <si>
    <t xml:space="preserve">Fuente puestos aprobados</t>
  </si>
  <si>
    <t xml:space="preserve">Notas de personal y apoyo ministerial</t>
  </si>
  <si>
    <t xml:space="preserve">Papel en leyes / reglamentos: verificación</t>
  </si>
  <si>
    <t xml:space="preserve">Informe obligatorio (preceptivo): ámbito</t>
  </si>
  <si>
    <t xml:space="preserve">Informe vinculante / consentimiento requerido</t>
  </si>
  <si>
    <t xml:space="preserve">Bloqueo o demora: alcance y límite</t>
  </si>
  <si>
    <t xml:space="preserve">Norma / artículo sobre consulta</t>
  </si>
  <si>
    <t xml:space="preserve">Fuente legal de consulta normativa</t>
  </si>
  <si>
    <t xml:space="preserve">Pagos de personal 2026 hasta 31/08 (EUR millones)</t>
  </si>
  <si>
    <t xml:space="preserve">Crédito personal comparativo2025, edición08.2026 (EUR millones)</t>
  </si>
  <si>
    <t xml:space="preserve">Obligaciones personal comparativo2025, edición08.2026 (EUR millones)</t>
  </si>
  <si>
    <t xml:space="preserve">Crédito personal inicial / otra base (EUR millones; NO sumar)</t>
  </si>
  <si>
    <t xml:space="preserve">Base / fecha del crédito alternativo</t>
  </si>
  <si>
    <t xml:space="preserve">Notas de conciliación de crédito y ejecución</t>
  </si>
  <si>
    <t xml:space="preserve">Crédito personal 2025 cierre (EUR millones)</t>
  </si>
  <si>
    <t xml:space="preserve">Gasto personal 2025 reconocido anual (EUR millones)</t>
  </si>
  <si>
    <t xml:space="preserve">Pagos personal 2025 anual (EUR millones)</t>
  </si>
  <si>
    <t xml:space="preserve">Año y corte anual personal</t>
  </si>
  <si>
    <t xml:space="preserve">Base anual de personal</t>
  </si>
  <si>
    <t xml:space="preserve">Fuente anual de personal</t>
  </si>
  <si>
    <t xml:space="preserve">Verificación anual / conciliación</t>
  </si>
  <si>
    <t xml:space="preserve">Clasificación: útil / no útil</t>
  </si>
  <si>
    <t xml:space="preserve">Clasificación: veredicto</t>
  </si>
  <si>
    <t xml:space="preserve">Clasificación: función</t>
  </si>
  <si>
    <t xml:space="preserve">Clasificación: duplicidad</t>
  </si>
  <si>
    <t xml:space="preserve">Clasificación: exigida por la UE</t>
  </si>
  <si>
    <t xml:space="preserve">Clasificación: actividad reciente</t>
  </si>
  <si>
    <t xml:space="preserve">Clasificación: motivo</t>
  </si>
  <si>
    <t xml:space="preserve">Clasificación: base en el P100</t>
  </si>
  <si>
    <t xml:space="preserve">Clasificación: destino de sus funciones</t>
  </si>
  <si>
    <t xml:space="preserve">Tema funcional</t>
  </si>
  <si>
    <t xml:space="preserve">Organismos del mismo tema (Estado + CCAA, verificados)</t>
  </si>
  <si>
    <t xml:space="preserve">Coste de apoyo (sin presupuesto propio): unidad, vocales y dietas</t>
  </si>
  <si>
    <t xml:space="preserve">Coste de personal por persona 2025 (EUR, calculado)</t>
  </si>
  <si>
    <t xml:space="preserve">Desglose: personal técnico/científico/inspector</t>
  </si>
  <si>
    <t xml:space="preserve">Desglose: personal de administración y apoyo</t>
  </si>
  <si>
    <t xml:space="preserve">Desglose: otro / no clasificable</t>
  </si>
  <si>
    <t xml:space="preserve">Desglose: total de referencia</t>
  </si>
  <si>
    <t xml:space="preserve">Puestos de libre designación</t>
  </si>
  <si>
    <t xml:space="preserve">Altos cargos</t>
  </si>
  <si>
    <t xml:space="preserve">Personal eventual (confianza)</t>
  </si>
  <si>
    <t xml:space="preserve">Desglose: unidad y fecha</t>
  </si>
  <si>
    <t xml:space="preserve">Desglose: criterio de clasificación</t>
  </si>
  <si>
    <t xml:space="preserve">Desglose: fuente</t>
  </si>
  <si>
    <t xml:space="preserve">Desglose: verificación</t>
  </si>
  <si>
    <t xml:space="preserve">Estatal</t>
  </si>
  <si>
    <t xml:space="preserve">Estado</t>
  </si>
  <si>
    <t xml:space="preserve">Zapatero</t>
  </si>
  <si>
    <t xml:space="preserve">Agencia Estatal de Evaluación de las Políticas Públicas y la Calidad de los Servicios (AEVAL)</t>
  </si>
  <si>
    <t xml:space="preserve">Nueva agencia con absorción de unidades ministeriales</t>
  </si>
  <si>
    <t xml:space="preserve">2006-12-01</t>
  </si>
  <si>
    <t xml:space="preserve">RD 1418/2006</t>
  </si>
  <si>
    <t xml:space="preserve">Evaluar políticas públicas y mejorar la calidad de servicios; informes, evaluaciones y certificación de calidad.</t>
  </si>
  <si>
    <t xml:space="preserve">Juicio: función técnica real, no regulador con poder de sanción. Memoria 2009 acredita evaluaciones, plantilla técnica y ejecución de 5.601.938,42 EUR (93,98% del presupuesto definitivo).</t>
  </si>
  <si>
    <t xml:space="preserve">Sin presupuesto propio actual: supresión/extinción; no cuantificar sustituto</t>
  </si>
  <si>
    <t xml:space="preserve">Sin presupuesto propio actual por supresión. El importe de 2009 es evidencia histórica de actividad, no presupuesto actual.</t>
  </si>
  <si>
    <t xml:space="preserve">31/08/2026, salvo indicación distinta</t>
  </si>
  <si>
    <t xml:space="preserve">Norma derogada y agencia suprimida con efectos 29/07/2017 por RD 769/2017; funciones reubicadas.</t>
  </si>
  <si>
    <t xml:space="preserve">El informe histórico no mide toda su vida ni la eficacia final de sus recomendaciones.</t>
  </si>
  <si>
    <t xml:space="preserve">Sucesión funcional histórica</t>
  </si>
  <si>
    <t xml:space="preserve">45</t>
  </si>
  <si>
    <t xml:space="preserve">AEVAL fue suprimida en 2017 y sus funciones reubicadas; la agencia de 2026 sucede al Instituto intermedio. No son dos presupuestos actuales de la misma agencia.</t>
  </si>
  <si>
    <t xml:space="preserve">https://www.boe.es/buscar/act.php?id=BOE-A-2006-21902
https://www.boe.es/diario_boe/txt.php?id=BOE-A-2010-15779
https://www.boe.es/diario_boe/txt.php?id=BOE-A-2026-2553
https://www.boe.es/boe/dias/2026/05/12/pdfs/BOE-A-2026-10246.pdf</t>
  </si>
  <si>
    <t xml:space="preserve">https://www.boe.es/buscar/act.php?id=BOE-A-2006-21902
https://www.boe.es/diario_boe/txt.php?id=BOE-A-2010-15779</t>
  </si>
  <si>
    <t xml:space="preserve">https://files.instinct.com/q91pr53q4umo-entidades-publicas-poder-y-presupuesto</t>
  </si>
  <si>
    <t xml:space="preserve">12/10/2026</t>
  </si>
  <si>
    <t xml:space="preserve">Personas realmente ocupadas; no equiparar vocales, puestos RPT o apoyo ministerial con plantilla</t>
  </si>
  <si>
    <t xml:space="preserve">Pendiente: sin cifra de personal ocupado verificada en el conjunto actual</t>
  </si>
  <si>
    <t xml:space="preserve">Pendiente: sin coste de personal individual verificado en el conjunto actual</t>
  </si>
  <si>
    <t xml:space="preserve">Pendiente: no se ha verificado gasto salarial ejecutado individual en esta versión</t>
  </si>
  <si>
    <t xml:space="preserve">SIN CIFRA INDIVIDUAL VERIFICADA de presupuesto, personal ocupado y salarios ejecutados; investigación pendiente, no prueba de falta de publicación</t>
  </si>
  <si>
    <t xml:space="preserve">Revisado: AEVAL histórica</t>
  </si>
  <si>
    <t xml:space="preserve">Evaluación de políticas, informes solicitados y contratos gestión. No informe previo general de leyes identificado.</t>
  </si>
  <si>
    <t xml:space="preserve">No consentimiento favorable para leyes establecido en funciones revisadas.</t>
  </si>
  <si>
    <t xml:space="preserve">No veto legislativo identificado en estas cláusulas; no pretende descartar obligaciones sectoriales en otras normas.</t>
  </si>
  <si>
    <t xml:space="preserve">RD1418/2006 art6</t>
  </si>
  <si>
    <t xml:space="preserve">https://www.boe.es/buscar/act.php?id=BOE-A-2006-21902</t>
  </si>
  <si>
    <t xml:space="preserve">3 organismos sobre este tema entre el Estado y las CCAA (verificados)</t>
  </si>
  <si>
    <t xml:space="preserve">No</t>
  </si>
  <si>
    <t xml:space="preserve">No aplica (no vigente)</t>
  </si>
  <si>
    <t xml:space="preserve">Suprimida en 2017 (RD 769/2017); funciones reubicadas y hoy en la Agencia Estatal de Evaluación (ID 45).</t>
  </si>
  <si>
    <t xml:space="preserve">Agencia Estatal de Seguridad Aérea (AESA)</t>
  </si>
  <si>
    <t xml:space="preserve">Nueva entidad; hereda tareas de la Dirección General de Aviación Civil</t>
  </si>
  <si>
    <t xml:space="preserve">2008-02-08</t>
  </si>
  <si>
    <t xml:space="preserve">RD 184/2008</t>
  </si>
  <si>
    <t xml:space="preserve">Supervisión de seguridad de aviación civil; inspección, autorizaciones y potestades administrativas.</t>
  </si>
  <si>
    <t xml:space="preserve">Juicio: poder ejecutivo real, no observatorio decorativo. Las autorizaciones e inspecciones producen efectos sobre operadores.</t>
  </si>
  <si>
    <t xml:space="preserve">31/08/2026</t>
  </si>
  <si>
    <t xml:space="preserve">Cifra propia verificada</t>
  </si>
  <si>
    <t xml:space="preserve">Presupuesto propio, crédito inicial 2026 83,717 M EUR; modificaciones netas +5,738 M; crédito total 89,455 M al 31/08/2026. IGAE p.99, cifras publicadas en miles de euros, no gasto ejecutado ni dotación solo administrativa.</t>
  </si>
  <si>
    <t xml:space="preserve">Vigente; estado operativo no exhaustivamente auditado</t>
  </si>
  <si>
    <t xml:space="preserve">Plantilla ocupada: ver columna de personal (EPSAP enero 2026 o fuente indicada); no se ha verificado la independencia práctica de su dirección.</t>
  </si>
  <si>
    <t xml:space="preserve">No se ha identificado relación en esta revisión (no certifica ausencia)</t>
  </si>
  <si>
    <t xml:space="preserve">Revisión cualitativa del mandato y estado de las 95 fichas; no auditoría exhaustiva de funciones ni proyectos.</t>
  </si>
  <si>
    <t xml:space="preserve">https://www.boe.es/eli/es/rd/2008/02/08/184/con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</si>
  <si>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2026-01</t>
  </si>
  <si>
    <t xml:space="preserve">Efectivos (personas) según Estadística del Personal al Servicio de las AA.PP. (EPSAP) enero 2026, Tabla 4.1 p.37: 340 funcionarios de carrera + 6 personal laboral + 0 otro personal ('-' en la tabla) = 346. Datos a enero de 2026 (la publicación no indica día). Estadística oficial de la DGFP; no son puestos RPT ni número medio anual.</t>
  </si>
  <si>
    <t xml:space="preserve">Cifra de personal publicada en fuente primaria; fecha indicada, no inferir vigencia posterior</t>
  </si>
  <si>
    <t xml:space="preserve">https://digital.gob.es/content/dam/portal-mtdfp/funcion-publica/rcp/boletin/2026_01/revision-agosto-2026/EPSAP_Enero_2026%20.pdf</t>
  </si>
  <si>
    <t xml:space="preserve">Capítulo 1: crédito TOTAL actualizado IGAE, corte 31/08/2026</t>
  </si>
  <si>
    <t xml:space="preserve">Crédito autorizado, no gasto realizado ni solo salarios</t>
  </si>
  <si>
    <t xml:space="preserve">https://www.igae.pap.hacienda.gob.es/sitios/igae/es-ES/Contabilidad/ContabilidadPublica/CPE/EjecucionPresupuestaria/Documents/ORGANISMOS%2008.%202026.pdf</t>
  </si>
  <si>
    <t xml:space="preserve">Hasta 31/08/2026:8 meses, NO año completo</t>
  </si>
  <si>
    <t xml:space="preserve">Capítulo 1: obligaciones reconocidas; incluye costes de personal, no desglose salarial puro</t>
  </si>
  <si>
    <t xml:space="preserve">Fuente primaria cotejada contra fila y unidad milesEUR; no estimación</t>
  </si>
  <si>
    <t xml:space="preserve">Crédito y gasto de personal individual verificados; plantilla ocupada verificada a enero de 2026 (EPSAP, efectivos); puestos RPT no verificados</t>
  </si>
  <si>
    <t xml:space="preserve">Revisado: AESA: iniciativa normativa y asistencia técnica</t>
  </si>
  <si>
    <t xml:space="preserve">Propone normas en su ámbito. Los informes urbanísticos vinculantes que aparecen en la modificación de estructura ministerial son de DGAC, no atribución propia de AESA.</t>
  </si>
  <si>
    <t xml:space="preserve">No consentimiento favorable ni veto legislativo establecido en las cláusulas revisadas.</t>
  </si>
  <si>
    <t xml:space="preserve">Revisión limitada a las atribuciones citadas: no descarta trámites sectoriales en otras normas.</t>
  </si>
  <si>
    <t xml:space="preserve">RD184/2008 art9.1k y9.2; modificaciónDGAC</t>
  </si>
  <si>
    <t xml:space="preserve">https://www.boe.es/buscar/act.php?id=BOE-A-2008-2595</t>
  </si>
  <si>
    <t xml:space="preserve">IGAE: columnas 2026 crédito / obligaciones / pagos;2025 crédito y obligaciones al mismo 31/08. No comparar 8 meses con año completo. Capítulo 1 no equivale solo a sueldos. PlantillaRPT del lote no incorporada sin verificación adicional.</t>
  </si>
  <si>
    <t xml:space="preserve">2025: hasta31/12/2025, año completo</t>
  </si>
  <si>
    <t xml:space="preserve">Capítulo1: gastos de personal; obligaciones reconocidas, no solo salarios</t>
  </si>
  <si>
    <t xml:space="preserve">https://www.igae.pap.hacienda.gob.es/sitios/igae/es-ES/Contabilidad/ContabilidadPublica/CPE/EjecucionPresupuestaria/Documents/ORGANISMOS%2012.%202025.pdf</t>
  </si>
  <si>
    <t xml:space="preserve">Fuente primaria cotejada: IGAE edición12.2025, tabla y unidad milesEUR. No confundir con comparativa2025 de edición08.2026.</t>
  </si>
  <si>
    <t xml:space="preserve">Sí: el Reglamento (UE) 2018/1139 exige una autoridad nacional de aviación civil</t>
  </si>
  <si>
    <t xml:space="preserve">Acreditada</t>
  </si>
  <si>
    <t xml:space="preserve">Certifica e inspecciona la aviación civil; nadie más lo hace.</t>
  </si>
  <si>
    <t xml:space="preserve">Aplicando el criterio del P100: Costes del Estado 9 (función técnica; exigida por la UE)</t>
  </si>
  <si>
    <t xml:space="preserve">Seguridad aérea</t>
  </si>
  <si>
    <t xml:space="preserve">Agencia Estatal Antidopaje (AEA), hoy CELAD</t>
  </si>
  <si>
    <t xml:space="preserve">Nueva agencia; posterior ampliación/renombramiento</t>
  </si>
  <si>
    <t xml:space="preserve">RD 185/2008; antecedente habilitante LO 7/2006</t>
  </si>
  <si>
    <t xml:space="preserve">Controles antidopaje, prevención e investigación; competencias actuales de control y sanción sujetas a legislación antidopaje posterior.</t>
  </si>
  <si>
    <t xml:space="preserve">Juicio: poder administrativo real; no contar AEPSAD (2013) y CELAD como creaciones independientes desde cero.</t>
  </si>
  <si>
    <t xml:space="preserve">Presupuesto propio, crédito inicial 2026 6,644 M EUR; modificaciones netas +1,569 M; crédito total 8,213 M al 31/08/2026. IGAE p.99, cifras publicadas en miles de euros, no gasto ejecutado ni dotación solo administrativa.</t>
  </si>
  <si>
    <t xml:space="preserve">Continuidad institucional bajo denominaciones AEA, AEPSAD y CELAD.</t>
  </si>
  <si>
    <t xml:space="preserve">El estatuto de 2008 no basta para atribuir todas las potestades sancionadoras actuales; no se audita aquí su ejercicio.</t>
  </si>
  <si>
    <t xml:space="preserve">https://www.boe.es/eli/es/rd/2008/02/08/185
https://www.igae.pap.hacienda.gob.es/sitios/igae/es-ES/Contabilidad/ContabilidadPublica/CPE/EjecucionPresupuestaria/Documents/ORGANISMOS%2008.%202026.pdf
https://www.boe.es/diario_boe/txt.php?id=BOE-A-2013-6732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</si>
  <si>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17 funcionarios de carrera + 7 personal laboral + 0 otro personal ('-' en la tabla) = 24. Datos a enero de 2026 (la publicación no indica día). Estadística oficial de la DGFP; no son puestos RPT ni número medio anual.</t>
  </si>
  <si>
    <t xml:space="preserve">Revisado: CELAD actual + AEA histórica</t>
  </si>
  <si>
    <t xml:space="preserve">Sí: proyectos normativos AGE sobre dopaje y convenios internacionales. CCAA: a solicitud.</t>
  </si>
  <si>
    <t xml:space="preserve">No se exige consentimiento favorable ni carácter vinculante del informe en la cláusula citada; no es veto.</t>
  </si>
  <si>
    <t xml:space="preserve">Trámite previo en ámbito específico. Omitirlo puede generar cuestión procedimental, no veto parlamentario automático; efecto exacto requiere analizar procedimiento.</t>
  </si>
  <si>
    <t xml:space="preserve">RD908/2022 art7.1ñ; RD185/2008 art5e</t>
  </si>
  <si>
    <t xml:space="preserve">https://www.boe.es/buscar/doc.php?id=BOE-A-2022-17477</t>
  </si>
  <si>
    <t xml:space="preserve">Hace los controles antidopaje con la independencia que exige el código mundial.</t>
  </si>
  <si>
    <t xml:space="preserve">Aplicando el criterio del P100: Costes del Estado 9 (independencia exigida por el Código Mundial Antidopaje)</t>
  </si>
  <si>
    <t xml:space="preserve">Antidopaje</t>
  </si>
  <si>
    <t xml:space="preserve">Rajoy</t>
  </si>
  <si>
    <t xml:space="preserve">Agencia Estatal de Investigación (AEI)</t>
  </si>
  <si>
    <t xml:space="preserve">Nueva entidad con integración de unidades y programas preexistentes</t>
  </si>
  <si>
    <t xml:space="preserve">2015-11-27</t>
  </si>
  <si>
    <t xml:space="preserve">RD 1067/2015</t>
  </si>
  <si>
    <t xml:space="preserve">Financiar, evaluar, conceder y seguir ayudas de investigación científica y técnica.</t>
  </si>
  <si>
    <t xml:space="preserve">Juicio: poder de asignación de recursos real. Decide y tramita ayudas, no es únicamente un foro. Reducción neta de crédito en 2026 acreditada, sin prueba del destino.</t>
  </si>
  <si>
    <t xml:space="preserve">Presupuesto propio, crédito inicial 2026 1.419,995 M EUR; modificaciones netas -205,990 M; crédito total 1.214,005 M al 31/08/2026. IGAE p.100, cifras publicadas en miles de euros, no gasto ejecutado ni dotación solo administrativa.</t>
  </si>
  <si>
    <t xml:space="preserve">Vigente.</t>
  </si>
  <si>
    <t xml:space="preserve">No se ha demostrado la causa ni el destino de los -205,990 M EUR. No equivalen por sí solos a vaciamiento ni a desaparición de funciones. Obligaciones no financieras agosto: 458,023 M EUR, frente a 455,808 M en agosto 2025 (IGAE p.102).</t>
  </si>
  <si>
    <t xml:space="preserve">Ámbito temático próximo; funciones distintas; Ámbito I+D+i próximo; funciones y territorios distintos</t>
  </si>
  <si>
    <t xml:space="preserve">33, 89, 112, 117</t>
  </si>
  <si>
    <t xml:space="preserve">Investigación/innovación: AEI financia y sigue ayudas, CSIC realiza investigación, GAIN promueve innovación autonómica. No hay doble financiación demostrada. | Financiación, investigación o innovación en ámbitos estatales y autonómicos distintos; no equivalencia de programas ni doble financiación demostrada.</t>
  </si>
  <si>
    <t xml:space="preserve">https://www.boe.es/eli/es/rd/2015/11/27/1067
https://www.igae.pap.hacienda.gob.es/sitios/igae/es-ES/Contabilidad/ContabilidadPublica/CPE/EjecucionPresupuestaria/Documents/ORGANISMOS%2008.%202026.pdf
https://www.aei.gob.es/en/about-aei/plans-aei/Budget
https://www.boe.es/eli/es/rd/2007/12/21/1730/con
https://www.xunta.gal/dog/Publicados/2012/20120127/AnuncioCA04-230112-11332_es.html
https://www.xunta.gal/dog/Publicados/2025/20251231/AnuncioC3B0-231225-0001_es.html
https://boe.es/buscar/doc.php?id=BOE-A-2023-1605
https://www.boe.es/eli/es-cm/l/2020/07/10/4</t>
  </si>
  <si>
    <t xml:space="preserve">https://www.boe.es/eli/es/rd/2015/11/27/1067
https://www.igae.pap.hacienda.gob.es/sitios/igae/es-ES/Contabilidad/ContabilidadPublica/CPE/EjecucionPresupuestaria/Documents/ORGANISMOS%2008.%202026.pdf
https://www.aei.gob.es/en/about-aei/plans-aei/Budget
https://digital.gob.es/content/dam/portal-mtdfp/funcion-publica/rcp/boletin/2026_01/revision-agosto-2026/EPSAP_Enero_2026%20.pdf
https://digital.gob.es/content/dam/portal-mtdfp/funcion-publica/rcp/notaepsap/Noticia_EPSAP_Enero_26.pdf
https://www.aei.gob.es/sites/default/files/page/field_file/2025-01/PLAN%20DE%20ACTUACION%20ANUAL%202025%20APROBADO.pdf</t>
  </si>
  <si>
    <t xml:space="preserve">Efectivos (personas) según Estadística del Personal al Servicio de las AA.PP. (EPSAP) enero 2026, Tabla 4.1 p.37: 200 funcionarios de carrera + 20 personal laboral + 0 otro personal ('-' en la tabla) = 220. Datos a enero de 2026 (la publicación no indica día). Estadística oficial de la DGFP; no son puestos RPT ni número medio anual.</t>
  </si>
  <si>
    <t xml:space="preserve">Plan de Actuación Anual 2025 de la AEI (aprobado 26/12/2024) alude a la 'baja cobertura de la RPT' (p.12) y a puestos RPT que 'permanecen vacantes' (p.20), sin cifras legibles; RPT no verificada.</t>
  </si>
  <si>
    <t xml:space="preserve">Revisado: AEI</t>
  </si>
  <si>
    <t xml:space="preserve">Evaluación científica de ayudas/proyectos; no trámite general de consentimiento legislativo en art5.</t>
  </si>
  <si>
    <t xml:space="preserve">RD1067/2015 art5</t>
  </si>
  <si>
    <t xml:space="preserve">https://www.boe.es/eli/es/rd/2015/11/27/1067</t>
  </si>
  <si>
    <t xml:space="preserve">Fuente primaria cotejada: IGAE edición12.2025, tabla y unidad milesEUR. No confundir con comparativa2025 de edición08.2026. Crédito comparativo edición08.2026: 12.346M; crédito cierre12.2025: 12.789M. La diferencia no prueba por sí sola origen/cause de transferencia.</t>
  </si>
  <si>
    <t xml:space="preserve">Organismo estatal de referencia. 8 comunidades tienen el suyo propio; 10 organismos sobre este tema entre el Estado y las CCAA (verificados).</t>
  </si>
  <si>
    <t xml:space="preserve">Evalúa por pares y concede las ayudas estatales de investigación.</t>
  </si>
  <si>
    <t xml:space="preserve">Aplicando el criterio del P100: Costes del Estado 9 (función técnica)</t>
  </si>
  <si>
    <t xml:space="preserve">Autoridad Independiente de Responsabilidad Fiscal (AIReF)</t>
  </si>
  <si>
    <t xml:space="preserve">Nueva autoridad</t>
  </si>
  <si>
    <t xml:space="preserve">2013-11-14</t>
  </si>
  <si>
    <t xml:space="preserve">LO 6/2013</t>
  </si>
  <si>
    <t xml:space="preserve">Supervisar estabilidad presupuestaria y sostenibilidad; informes, opiniones y evaluaciones; recomendaciones bajo cumplir o explicar.</t>
  </si>
  <si>
    <t xml:space="preserve">Juicio: influencia técnica y control fiscal real, pero no puede vetar presupuestos ni imponer sanciones. Publica Spending Reviews y evaluaciones verificadas.</t>
  </si>
  <si>
    <t xml:space="preserve">Presupuesto propio, crédito inicial 2026 10,579 M EUR; modificaciones netas +1,762 M; crédito total 12,341 M al 31/08/2026. IGAE p.99, cifras publicadas en miles de euros, no gasto ejecutado ni dotación solo administrativa.</t>
  </si>
  <si>
    <t xml:space="preserve">No se ha verificado el número actual de puestos ocupados ni la independencia práctica de su dirección.</t>
  </si>
  <si>
    <t xml:space="preserve">https://www.boe.es/eli/es/lo/2013/11/14/6/con
https://www.igae.pap.hacienda.gob.es/sitios/igae/es-ES/Contabilidad/ContabilidadPublica/CPE/EjecucionPresupuestaria/Documents/ORGANISMOS%2008.%202026.pdf
https://www.airef.es/es/spending-review/</t>
  </si>
  <si>
    <t xml:space="preserve">Crédito y gasto de personal individual verificados; plantilla ocupada y puestos RPT no verificados (fuente propia no legible automáticamente)</t>
  </si>
  <si>
    <t xml:space="preserve">Sin cifra verificada en esta revisión: airef.es bloquea la lectura automática (robots). Documentos oficiales localizados para comprobación manual: Memoria anual de actividades 2025 (https://www.airef.es/wp-content/uploads/2026/03/Memoria/AIReF_Memoria-anual-de-actividades_2025.pdf) y RPT de funcionarios a 03/04/2025 (https://www.airef.es/wp-content/uploads/2025/04/Sobre_nosotros/RPT_funcionarios_03_04_2025.pdf). La EPSAP enero 2026 solo publica el agregado de Autoridades Administrativas Independientes (1.926 efectivos, Tabla 1.5 p.8), sin desglose por entidad.</t>
  </si>
  <si>
    <t xml:space="preserve">Revisado: AIReF, informes presupuestarios y orden metodológica</t>
  </si>
  <si>
    <t xml:space="preserve">Sí: previsiones de proyectos de presupuestos y modificación de orden metodológica; NO todas las leyes.</t>
  </si>
  <si>
    <t xml:space="preserve">Recomendaciones: apartarse exige motivación e incorporar informe (art5.1). Aval de previsiones debe indicarse; no consentimiento para aprobar ley.</t>
  </si>
  <si>
    <t xml:space="preserve">LO6/2013 arts5.1,14,15</t>
  </si>
  <si>
    <t xml:space="preserve">https://www.boe.es/eli/es/lo/2013/11/14/6/con</t>
  </si>
  <si>
    <t xml:space="preserve">Sí: la Directiva 2011/85/UE exige un organismo fiscal independiente</t>
  </si>
  <si>
    <t xml:space="preserve">Evalúa el gasto y los beneficios fiscales: el P100 le encarga revisar todo el gasto y conserva su informe obligatorio. Exigida por la UE.</t>
  </si>
  <si>
    <t xml:space="preserve">Explícito en el P100: Costes del Estado 1, 9 y 12; Organización del Estado 11</t>
  </si>
  <si>
    <t xml:space="preserve">Supervisión fiscal</t>
  </si>
  <si>
    <t xml:space="preserve">Nueva entidad</t>
  </si>
  <si>
    <t xml:space="preserve">2013-12-09</t>
  </si>
  <si>
    <t xml:space="preserve">Ley 19/2013, art.33; RD 919/2014</t>
  </si>
  <si>
    <t xml:space="preserve">Resolver reclamaciones de acceso a información y controlar publicidad activa.</t>
  </si>
  <si>
    <t xml:space="preserve">Juicio: poder jurídico real al resolver reclamaciones; no tiene una capacidad general de imponer multas. Ejecución y estructura presupuestaria evidencian operación.</t>
  </si>
  <si>
    <t xml:space="preserve">Presupuesto propio 2026: 3.379.380 EUR exactos (programa 921X). IGAE agosto: 3,380 M EUR redondeados, modificación neta cero. Obligaciones no financieras: 1,671 M EUR (p.102). No confundir con el presupuesto total del ministerio.</t>
  </si>
  <si>
    <t xml:space="preserve">Vigente; estatuto reemplazado en 2024.</t>
  </si>
  <si>
    <t xml:space="preserve">Modificación neta cero no descarta transferencias compensadas entre partidas.</t>
  </si>
  <si>
    <t xml:space="preserve">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
https://consejodetransparencia.es/content/dam/ctransparencia/portal-ctbg/nosotros/memorias-y-plan-estrategico/memoria-2025/Memoria_2025_CTBG.pdf
https://consejodetransparencia.es/content/dam/ctransparencia/portal-ctbg/transparencia/informacion-institucional-organizativa-y-de-planificacion/RPT_30-06-2026.pdf
https://consejodetransparencia.es/ct_Home/transparencia/portal-transparencia/informacion-institucional/mas-transparencia/documentos-personal.html</t>
  </si>
  <si>
    <t xml:space="preserve">2025-12-31</t>
  </si>
  <si>
    <t xml:space="preserve">31 efectivos a 31/12/2025, incluido el Presidente; los otros 30 son funcionarios de carrera (por disposición estatutaria); sin personal laboral ni eventual. Memoria CTBG 2025, ap. 1.3.2, p.19, Tabla 1 'Efectivos del CTBG a 31 de diciembre de 2025'.</t>
  </si>
  <si>
    <t xml:space="preserve">https://consejodetransparencia.es/content/dam/ctransparencia/portal-ctbg/nosotros/memorias-y-plan-estrategico/memoria-2025/Memoria_2025_CTBG.pdf</t>
  </si>
  <si>
    <t xml:space="preserve">Crédito y gasto de personal individual verificados; plantilla ocupada verificada a 31/12/2025 (Memoria CTBG) y puestos RPT a 30/06/2026 (fechas distintas, sin cobertura calculada)</t>
  </si>
  <si>
    <t xml:space="preserve">2026-06-30</t>
  </si>
  <si>
    <t xml:space="preserve">Puestos de la RPT del CTBG (personal funcionario), 'Total Puestos: 39', fecha de vigencia 30-06-2026; el documento no indica ocupación ni vacantes.</t>
  </si>
  <si>
    <t xml:space="preserve">https://consejodetransparencia.es/content/dam/ctransparencia/portal-ctbg/transparencia/informacion-institucional-organizativa-y-de-planificacion/RPT_30-06-2026.pdf</t>
  </si>
  <si>
    <t xml:space="preserve">Ocupados (31 a 31/12/2025, Memoria; incluye al Presidente, alto cargo fuera de RPT) y RPT (39 puestos a 30/06/2026) son de fechas y fuentes distintas: no se calcula cobertura. Portal de transparencia CTBG: 'Toda la plantilla ... está formada por funcionarios/as de carrera' y no hay personal eventual. Memoria 2025: cap. 1 presupuestado 2.463,70 miles EUR; obligaciones 2.201.447,49 EUR (89,36%), coherente con IGAE (2,201 M).</t>
  </si>
  <si>
    <t xml:space="preserve">Informe obligatorio sobre determinados proyectos normativos estatales</t>
  </si>
  <si>
    <t xml:space="preserve">Sí: proyectos normativos estatales que desarrollen Ley 19/2013 o estén relacionados con su objeto</t>
  </si>
  <si>
    <t xml:space="preserve">El art 38.1(c) exige informe, no dictamen favorable ni consentimiento; no declara vinculación</t>
  </si>
  <si>
    <t xml:space="preserve">Puede exigir el trámite de informe en su ámbito. No se atribuye veto a la aprobación parlamentaria; efecto de omisión o demora requiere revisar expediente y procedimiento concreto.</t>
  </si>
  <si>
    <t xml:space="preserve">Ley 19/2013 art 38.1(c)</t>
  </si>
  <si>
    <t xml:space="preserve">https://www.boe.es/eli/es/l/2013/12/09/19</t>
  </si>
  <si>
    <t xml:space="preserve">Organismo estatal de referencia. 12 comunidades tienen el suyo propio; 13 organismos sobre este tema entre el Estado y las CCAA (verificados).</t>
  </si>
  <si>
    <t xml:space="preserve">Resuelve las reclamaciones de acceso a la información; el P100 lo mantiene pero lo saca del alcance del Gobierno (terna por mérito, mandato único). Absorbería a los consejos autonómicos.</t>
  </si>
  <si>
    <t xml:space="preserve">Explícito en el P100: Organización del Estado 11</t>
  </si>
  <si>
    <t xml:space="preserve">Personas (efectivos) a 31/12/2025 (Memoria CTBG 2025, Tabla 1). Libre designación: puestos de la RPT de funcionarios vigente a 30/06/2026 (39 puestos), otra fuente y fecha.</t>
  </si>
  <si>
    <t xml:space="preserve">Proxy por subgrupo, no por función. A1 (11) + A2 (6) van al núcleo técnico; C1 (12) + C2 (1) van a administración y apoyo; el Presidente (alto cargo, sin grupo) va a 'otro'. Parte de los A1 hacen gestión (Secretario/a General, Director/a de Gabinete) y parte de los C1 hacen tareas técnicas (3 Analistas de Sistemas, 4 Jefes/as de Sección de nivel 22).</t>
  </si>
  <si>
    <t xml:space="preserve">Memoria CTBG 2025, ap. 1.3.2, p.19, Tabla 1 'Efectivos del CTBG a 31 de diciembre de 2025'. Presidente: 1 (sin grupo). A1: Subdirector/a General 3 + Secretario/a General 1 + Director/a de Gabinete 1 + Puesto de trabajo N30 1 + Subdirector/a Adjunto/a 2 + Jefe/a de Área 2 + Consejero/a Técnico/a 1 = 11. A2: Jefe/a de Servicio N26 5 + Jefe/a de Sección N20 1 = 6. C1: Jefe/a de Sección N22 4 + Analista de Sistemas 3 + Secretario/a N18 2 + Secretario/a de Subdirector General 1 + Jefe/a de Negociado 2 = 12. C2: Secretario/a de Subdirector General 1. Total de efectivos: 31. Texto: 'todos ellos funcionarios de carrera por expresa disposición estatutaria, con excepción del Presidente'. Libre designación: RPT_30-06-2026.pdf (https://consejodetransparencia.es/content/dam/ctransparencia/portal-ctbg/transparencia/informacion-institucional-organizativa-y-de-planificacion/RPT_30-06-2026.pdf), 'Total Puestos: 39'; leyenda: L = 'LIBRE DESIGNACION', C = 'CONCURSO DE MERITOS'. Hay 10 L y 27 C. En la p.1 se leen 12 letras (L L C L L C L C C C C C, 5 L) para 14 puestos. En la p.2 hay 4 L (Subdirector/a General x2 y Subdirector/a Adjunto/a x2) y en la p.3 hay 1 L (Subdirector/a General). Dos puestos de la p.1 no tienen tipo de provisión legible en la lectura automática (probablemente los dos 'Puesto de trabajo' de nivel 30): si ambos fueran LD, el total sería 12. Altos cargos: el Presidente, con fila propia en la Tabla 1 y la partida 'Retribuciones altos cargos' en la Tabla 2 (ap. 1.3.3). Personal eventual: portal de transparencia del CTBG, 'Documentos de personal': 'No hay personal eventual ni hay ni habrá indemnizaciones por cese.' Contexto de la RPT, sin mezclar con lo anterior (39 puestos a 30/06/2026): A1 14, A1/A2 5, A2 2, A2/C1 7, C1/C2 6, C1 5.</t>
  </si>
  <si>
    <t xml:space="preserve">Nueva agencia que integra funciones ministeriales</t>
  </si>
  <si>
    <t xml:space="preserve">2014-12-19</t>
  </si>
  <si>
    <t xml:space="preserve">RD 1072/2014</t>
  </si>
  <si>
    <t xml:space="preserve">Autoridad nacional de seguridad ferroviaria: supervisión, certificados y autorizaciones de seguridad.</t>
  </si>
  <si>
    <t xml:space="preserve">Juicio: poder ejecutivo real, aunque no es una autoridad judicial ni un simple observatorio.</t>
  </si>
  <si>
    <t xml:space="preserve">Presupuesto propio, crédito inicial 2026 16,463 M EUR; modificaciones netas +1,060 M; crédito total 17,523 M al 31/08/2026. IGAE p.99, cifras publicadas en miles de euros, no gasto ejecutado ni dotación solo administrativa.</t>
  </si>
  <si>
    <t xml:space="preserve">https://www.boe.es/eli/es/rd/2014/12/19/1072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</si>
  <si>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115 funcionarios de carrera + 11 personal laboral + 0 otro personal ('-' en la tabla) = 126. Datos a enero de 2026 (la publicación no indica día). Estadística oficial de la DGFP; no son puestos RPT ni número medio anual.</t>
  </si>
  <si>
    <t xml:space="preserve">Revisado: AESF participación normativa</t>
  </si>
  <si>
    <t xml:space="preserve">Proponer/elaborar marco normativo seguridad e interoperabilidad; no literal informepreceptivo general en art9h.</t>
  </si>
  <si>
    <t xml:space="preserve">Preparación normativa y autorizaciones técnicas distintas de consentimiento para aprobar leyes.</t>
  </si>
  <si>
    <t xml:space="preserve">RD1072/2014 art9.1h y9.2</t>
  </si>
  <si>
    <t xml:space="preserve">https://www.boe.es/eli/es/rd/2014/12/19/1072/con</t>
  </si>
  <si>
    <t xml:space="preserve">IGAE: columnas 2026 crédito / obligaciones / pagos;2025 crédito y obligaciones al mismo 31/08. No comparar 8 meses con año completo. Capítulo 1 no equivale solo a sueldos. PlantillaRPT del lote no incorporada sin verificación adicional. AESF: cifra previa del lote 6,896050M etiquetada 2022 no validada; IGAE2025 muestra 6,896M. No corregir año por parecido de importes.</t>
  </si>
  <si>
    <t xml:space="preserve">Organismo estatal de referencia. 1 comunidades tienen el suyo propio; 2 organismos sobre este tema entre el Estado y las CCAA (verificados).</t>
  </si>
  <si>
    <t xml:space="preserve">Sí: la Directiva (UE) 2016/798 exige una autoridad nacional de seguridad ferroviaria</t>
  </si>
  <si>
    <t xml:space="preserve">Certifica e inspecciona la seguridad de la red ferroviaria estatal.</t>
  </si>
  <si>
    <t xml:space="preserve">Órgano colegiado nuevo sin personalidad propia</t>
  </si>
  <si>
    <t xml:space="preserve">2007-02-23</t>
  </si>
  <si>
    <t xml:space="preserve">RD 275/2007</t>
  </si>
  <si>
    <t xml:space="preserve">Recoger información, estudiar convivencia escolar, asesorar y recomendar políticas educativas.</t>
  </si>
  <si>
    <t xml:space="preserve">Juicio: poder consultivo, sin sanción, veto ni mando sobre centros. Función verificable; el ministerio mantiene página institucional y nombró vocales en 2025.</t>
  </si>
  <si>
    <t xml:space="preserve">Sin presupuesto propio: órgano sin dotación diferenciada (verificado en norma)</t>
  </si>
  <si>
    <t xml:space="preserve">Sin presupuesto propio (verificado en norma). Real Decreto 3/2018, de 12 de enero (BOE-A-2018-432, BOE 13/01/2018), disposición adicional segunda «Gastos de funcionamiento»: «El Ministerio de Educación, Cultura y Deporte atenderá con cargo a su presupuesto ordinario los gastos de funcionamiento personales y materiales de este órgano colegiado» y «La dotación de personal al Observatorio se realizará a través de la correspondiente redistribución de efectivos del Ministerio, sin que ello pueda suponer incremento de puestos ni de retribuciones». La secretaría corresponde a la persona titular de la SG del Centro Nacional de Innovación e Investigación Educativa (art. 3.1.d del RD 275/2007, en la redacción del RD 3/2018). El coste lo absorbe el presupuesto ordinario del ministerio competente en educación (hoy Educación, FP y Deportes). No se prorratea y tampoco equivale a cero EUR. No se ha identificado ningún convenio, encargo, contrato ni subvención a su nombre. La norma no regula retribuciones ni indemnizaciones de los vocales.</t>
  </si>
  <si>
    <t xml:space="preserve">Vigente; modificado en 2018.</t>
  </si>
  <si>
    <t xml:space="preserve">La ausencia de línea propia no prueba inactividad; falta verificar todas las reuniones y resultados 2026.</t>
  </si>
  <si>
    <t xml:space="preserve">Mandato paralelo en distinto nivel territorial</t>
  </si>
  <si>
    <t xml:space="preserve">85, 88</t>
  </si>
  <si>
    <t xml:space="preserve">Convivencia escolar: órgano estatal y dos autonómicos. Diferentes jurisdicciones; no prueba de gasto duplicado. Ficha 85 reubicada desde 2014.</t>
  </si>
  <si>
    <t xml:space="preserve">https://www.boe.es/eli/es/rd/2007/02/23/275
https://www.educacionfpydeportes.gob.es/mc/sgctie/convivencia-escolar/observatorio.html
https://boe.es/boe/dias/2025/11/15/pdfs/BOE-A-2025-23138.pdf
https://www.educa.jcyl.es/convivenciaescolar/es/observatorio-convivencia-escolar/antecedentes-observatorio-convivencia-escolar-castilla-leon
https://recursos.educarex.es/pdf/normativa-sg/Decreto_28-2007.pdf</t>
  </si>
  <si>
    <t xml:space="preserve">https://www.boe.es/eli/es/rd/2007/02/23/275
https://www.educacionfpydeportes.gob.es/mc/sgctie/convivencia-escolar/observatorio.html
https://boe.es/boe/dias/2025/11/15/pdfs/BOE-A-2025-23138.pdf
https://www.boe.es/eli/es/rd/2007/02/23/275/con
https://www.boe.es/boe/dias/2018/01/13/pdfs/BOE-A-2018-432.pdf</t>
  </si>
  <si>
    <t xml:space="preserve">Sin plantilla propia (verificado en norma: RD 3/2018, DA 2.ª, redistribución de efectivos del Ministerio). No se publica el n.º de efectivos de apoyo; los vocales no son plantilla</t>
  </si>
  <si>
    <t xml:space="preserve">Sin crédito de personal propio: el coste lo absorbe el presupuesto ordinario del Ministerio de Educación (unidad de apoyo: SG del CNIIE según RD 3/2018); no se prorratea</t>
  </si>
  <si>
    <t xml:space="preserve">Sin ejecución de personal propia: el gasto está incluido en la unidad ministerial de apoyo; no se prorratea</t>
  </si>
  <si>
    <t xml:space="preserve">No tiene presupuesto, plantilla ni capítulo 1 propios (RD 3/2018, DA 2.ª, verificado). El gasto va a cargo del presupuesto ordinario del Ministerio, sin prorrateo. No se ha identificado importe contextual</t>
  </si>
  <si>
    <t xml:space="preserve">Órgano colegiado sin plantilla propia. RD 3/2018, DA 2.ª: el personal procede de la redistribución de efectivos del Ministerio, sin incremento de puestos ni de retribuciones. Secretaría: titular de la SG del CNIIE (art. 3.1.d RD 275/2007, redacción 2018). Los vocales, nombrados por ejemplo en 2025, no son plantilla. No se ha publicado el número de efectivos de apoyo. No repartir el gasto total del ministerio.</t>
  </si>
  <si>
    <t xml:space="preserve">Funciones consultivas revisadas: Estudios, asesoramiento e informes sobre convivencia escolar</t>
  </si>
  <si>
    <t xml:space="preserve">No trámite obligatorio general de aprobación de leyes identificado en las funciones revisadas</t>
  </si>
  <si>
    <t xml:space="preserve">No consentimiento favorable obligatorio o vinculación identificado en dichas funciones</t>
  </si>
  <si>
    <t xml:space="preserve">No veto legal a aprobación de leyes atribuido por las funciones revisadas. Alcance limitado a norma revisada, no certificación de ausencia de cualquier norma sectorial posterior.</t>
  </si>
  <si>
    <t xml:space="preserve">RD 275/2007 arts 1.2,2</t>
  </si>
  <si>
    <t xml:space="preserve">https://www.boe.es/eli/es/rd/2007/02/23/275</t>
  </si>
  <si>
    <t xml:space="preserve">Organismo estatal de referencia. 14 comunidades tienen el suyo propio; 15 organismos sobre este tema entre el Estado y las CCAA (verificados).</t>
  </si>
  <si>
    <t xml:space="preserve">Parcial</t>
  </si>
  <si>
    <t xml:space="preserve">Observatorio, consejo o comisión: el P100 los cierra salvo que su ministerio demuestre que su trabajo cambia decisiones o mejora un servicio; publicar informes no cuenta.</t>
  </si>
  <si>
    <t xml:space="preserve">Explícito en el P100: Costes del Estado 2</t>
  </si>
  <si>
    <t xml:space="preserve">Estructura ordinaria del ministerio, si alguna función resultara imprescindible</t>
  </si>
  <si>
    <t xml:space="preserve">Apoyo: Secretaría: titular de la SG del Centro Nacional de Innovación e Investigación Educativa (art. 3.1.d RD 275/2007, redacción RD 3/2018); personal por redistribución de efectivos del Ministerio de Educación. vocales: 27.</t>
  </si>
  <si>
    <t xml:space="preserve">Observatorio de la Vida Militar</t>
  </si>
  <si>
    <t xml:space="preserve">Órgano nuevo; constitución efectiva 14/01/2014 bajo Rajoy</t>
  </si>
  <si>
    <t xml:space="preserve">2011-07-27</t>
  </si>
  <si>
    <t xml:space="preserve">LO 9/2011</t>
  </si>
  <si>
    <t xml:space="preserve">Analizar vida militar, derechos y condiciones de los miembros de Fuerzas Armadas; presentar memorias a las Cortes.</t>
  </si>
  <si>
    <t xml:space="preserve">Juicio: supervisión y asesoramiento real, no poder de mando militar ni sanción. Adscripción parlamentaria y memorias previstas por ley.</t>
  </si>
  <si>
    <t xml:space="preserve">Sin presupuesto propio (verificado en norma). LO 9/2011, art. 53.1: es un «órgano colegiado, de carácter asesor y consultivo, adscrito a las Cortes Generales». Art. 53.2: el Ministerio de Defensa «proporcionará la sede y el apoyo administrativo necesario para el funcionamiento del Observatorio», que «contará con un órgano de trabajo permanente». Art. 55.1: «La pertenencia al Observatorio no será retribuida». El art. 56.2 remite a un reglamento el estatuto de los miembros y la composición del órgano de trabajo; su presidente lo presentaba aún como reto pendiente en la Revista Española de Defensa (mayo de 2024). El coste de sede y apoyo administrativo lo absorbe el Ministerio de Defensa. No se prorratea y tampoco equivale a cero. Una búsqueda general no ha identificado ninguna partida, convenio ni contrato a su nombre. Actividad acreditada: el 26/06/2025 la Comisión de Defensa del Congreso debatió el dictamen sobre su Memoria-Informe 2023 (DSCD-15-CO-376).</t>
  </si>
  <si>
    <t xml:space="preserve">Creado 2011, constituido 2014.</t>
  </si>
  <si>
    <t xml:space="preserve">Distinguir creación legal de puesta en funcionamiento; no se ha cuantificado personal propio.</t>
  </si>
  <si>
    <t xml:space="preserve">https://www.boe.es/diario_boe/txt.php?id=BOE-A-2011-12961
https://www.defensa.gob.es/gabinete/notasPrensa/2014/01/DGC-140114-constitucion-observatorio-01.html
https://www.boe.es/eli/es/lo/2011/07/27/9/con
https://boe.es/boe/dias/2011/07/28/pdfs/BOE-A-2011-12961.pdf
https://www.boe.es/eli/es/lo/2011/07/27/9
https://www.congreso.es/public_oficiales/L15/CONG/DS/CO/DSCD-15-CO-376.PDF
https://working.mde.es/Galerias/gabinete/red/2024/05/p-30-31-red-416-observatorio.pdf</t>
  </si>
  <si>
    <t xml:space="preserve">Sin plantilla propia (verificado en norma: arts. 53.2 y 55.1 LO 9/2011). Órgano de trabajo permanente sin composición reglamentada ni efectivos publicados; los miembros no son plantilla</t>
  </si>
  <si>
    <t xml:space="preserve">Sin crédito de personal propio: el coste del apoyo administrativo y la sede lo absorbe el Ministerio de Defensa (art. 53.2 LO 9/2011); no se prorratea</t>
  </si>
  <si>
    <t xml:space="preserve">Sin ejecución de personal propia: el gasto está incluido en el Ministerio de Defensa; no se prorratea</t>
  </si>
  <si>
    <t xml:space="preserve">No tiene presupuesto, plantilla ni capítulo 1 propios (LO 9/2011, arts. 53.2 y 55.1, verificado). Defensa aporta la sede y el apoyo administrativo, sin prorrateo. No se ha identificado importe contextual</t>
  </si>
  <si>
    <t xml:space="preserve">Sin plantilla propia publicada. Los 9 miembros (5 elegidos por el Congreso y 4 por el Senado) no son plantilla y su pertenencia no es retribuida (art. 55.1 LO 9/2011). Sede y apoyo administrativo: Ministerio de Defensa (art. 53.2). La ley prevé un «órgano de trabajo permanente», pero su composición depende de un reglamento que, según el presidente del Observatorio (RED, mayo de 2024), seguía pendiente. No repartir el gasto de Defensa.</t>
  </si>
  <si>
    <t xml:space="preserve">Asesoramiento, análisis e informes sobre vida militar; memoria a Cortes</t>
  </si>
  <si>
    <t xml:space="preserve">No informe preceptivo general sobre aprobación de leyes identificado en las funciones revisadas</t>
  </si>
  <si>
    <t xml:space="preserve">No consentimiento favorable o vinculación normativa establecido en funciones revisadas</t>
  </si>
  <si>
    <t xml:space="preserve">No poder de veto legislativo atribuido en funciones revisadas. Proponer cambios, informar a Cortes o participar no equivale a aprobar leyes; no certifica ausencia de reglas sectoriales posteriores.</t>
  </si>
  <si>
    <t xml:space="preserve">LO9/2011 arts 53,54</t>
  </si>
  <si>
    <t xml:space="preserve">https://www.boe.es/diario_boe/txt.php?id=BOE-A-2011-12961</t>
  </si>
  <si>
    <t xml:space="preserve">Vida militar</t>
  </si>
  <si>
    <t xml:space="preserve">Apoyo: Ministerio de Defensa: sede, apoyo administrativo y «órgano de trabajo permanente» (art. 53.2 LO 9/2011). puestos asignados según fuente oficial: 7. vocales: 9. miembros: no retribuidos (art. 55.1 LO 9/2011: «La pertenencia al Observatorio no será retribuida»). gasto con nombre propio: 2014: 5.212 EUR abonados por la Subsecretaría de Defensa (RED n.º 319, 2015, https://working.mde.es/Galerias/gabinete/red/2015/red-319-observatorio-vida-militar.pdf) | 2015: autorización de gasto de 55.000 EUR para dietas en la Sección 14-Defensa (Ley 36/2014 de PGE) y presupuesto 2016 del OVM de 55.979,10 EUR sin partida en la Ley 48/2015 (Memoria-Informe 2015 del OVM, https://www.prevencionintegral.com/sites/default/files/noticia/36030/field_adjuntos/pdft076-16observatoriovidamilitar20151.pdf).</t>
  </si>
  <si>
    <t xml:space="preserve">Observatorio Universitario de Becas, Ayudas al Estudio y Rendimiento Académico</t>
  </si>
  <si>
    <t xml:space="preserve">Órgano colegiado nuevo</t>
  </si>
  <si>
    <t xml:space="preserve">2010-10-01</t>
  </si>
  <si>
    <t xml:space="preserve">RD 1220/2010</t>
  </si>
  <si>
    <t xml:space="preserve">Estudiar impacto de becas en equidad y rendimiento, informar y proponer mejoras.</t>
  </si>
  <si>
    <t xml:space="preserve">Juicio: consultivo, sin facultad de otorgar becas ni obligar al Gobierno. La norma prueba función, no actividad actual.</t>
  </si>
  <si>
    <t xml:space="preserve">Sin presupuesto propio (verificado en norma). RD 1220/2010, disposición adicional única «Gastos de funcionamiento»: «El Ministerio de Educación atenderá, con cargo a su presupuesto ordinario, los gastos de funcionamiento, personales y materiales de este órgano». La dotación de personal de la Unidad Técnica y de la Secretaría Permanente «será realizada desde la Subdirección General de Análisis, Estudios y Prospectiva Universitaria», y «No se solicitará para su funcionamiento ni incremento de puestos de trabajo ni de retribuciones». El art. 7.2 añade que la unidad técnica está integrada por personal de esa SG. El coste lo absorbe el departamento competente en universidades y no se prorratea. El importe de las becas NO es su presupuesto. Actividad: el ministerio informó el 19/12/2018 de que «Por primera vez en siete años» se reunía el Observatorio. No se ha encontrado evidencia oficial de reuniones posteriores, lo que no prueba inactividad.</t>
  </si>
  <si>
    <t xml:space="preserve">Norma consultada; actividad 2026 no verificada.</t>
  </si>
  <si>
    <t xml:space="preserve">No hay evidencia suficiente para denominarlo vacío o para afirmar que sigue reunido en 2026.</t>
  </si>
  <si>
    <t xml:space="preserve">https://www.boe.es/buscar/act.php?id=BOE-A-2010-15786
https://www.ull.es/portal/normativa/normativa/real-decreto-1220-2010-de-1-de-octubre-por-el-que-se-crea-el-observatorio-universitario-de-becas-ayudas-al-estudio-y-rendimiento-academico/
https://www.boe.es/eli/es/rd/2010/10/01/1220/con
https://www.ciencia.gob.es/Noticias/2018/Diciembre/El-Observatorio-de-Becas-se-reune-para-abordar-la-reforma-del-sistema.html</t>
  </si>
  <si>
    <t xml:space="preserve">Sin plantilla propia (verificado en norma: DA única y art. 7.2 del RD 1220/2010, personal de la SG de Análisis, Estudios y Prospectiva Universitaria). No se publica el n.º de efectivos</t>
  </si>
  <si>
    <t xml:space="preserve">Sin crédito de personal propio: el coste lo absorbe la SG de Análisis, Estudios y Prospectiva Universitaria / el presupuesto ordinario del departamento de universidades; no se prorratea</t>
  </si>
  <si>
    <t xml:space="preserve">Sin ejecución de personal propia: el gasto está incluido en la SG de apoyo; no se prorratea</t>
  </si>
  <si>
    <t xml:space="preserve">No tiene presupuesto, plantilla ni capítulo 1 propios (RD 1220/2010, DA única, verificado), sin prorrateo. Sin importe contextual. Última reunión acreditada: 19/12/2018</t>
  </si>
  <si>
    <t xml:space="preserve">Sin plantilla propia. Unidad Técnica y Secretaría Permanente atendidas con personal de la SG de Análisis, Estudios y Prospectiva Universitaria (art. 7.2 y DA única del RD 1220/2010), sin incremento de puestos ni de retribuciones. Los vocales no son plantilla. No se ha publicado el n.º de efectivos de apoyo. No repartir el gasto ministerial.</t>
  </si>
  <si>
    <t xml:space="preserve">Estadísticas e informes sobre becas; ayuda técnica a decisiones de Congreso/Senado, no autorización de leyes</t>
  </si>
  <si>
    <t xml:space="preserve">No informe obligatorio general de aprobación de leyes identificado en funciones revisadas</t>
  </si>
  <si>
    <t xml:space="preserve">No consentimiento favorable obligatorio establecido en funciones revisadas</t>
  </si>
  <si>
    <t xml:space="preserve">Sin veto normativo atribuido por las funciones revisadas; informar a las Cortes o asesorar no equivale a aprobar una ley. Alcance limitado a disposición revisada, no auditoría de todas las normas sectoriales posteriores.</t>
  </si>
  <si>
    <t xml:space="preserve">RD 1220/2010 arts.1.3,2</t>
  </si>
  <si>
    <t xml:space="preserve">https://www.boe.es/buscar/act.php?id=BOE-A-2010-15786</t>
  </si>
  <si>
    <t xml:space="preserve">No acreditada</t>
  </si>
  <si>
    <t xml:space="preserve">Becas universitarias</t>
  </si>
  <si>
    <t xml:space="preserve">Apoyo: Unidad Técnica y Secretaría Permanente atendidas por personal de la SG de Análisis, Estudios y Prospectiva Universitaria (art. 7.2 y DA única RD 1220/2010). vocales: 18.</t>
  </si>
  <si>
    <t xml:space="preserve">Observatorio del Empleo Público</t>
  </si>
  <si>
    <t xml:space="preserve">Órgano nuevo</t>
  </si>
  <si>
    <t xml:space="preserve">2010-07-02</t>
  </si>
  <si>
    <t xml:space="preserve">RD 868/2010</t>
  </si>
  <si>
    <t xml:space="preserve">Estudiar empleo público y recursos humanos; información y propuestas.</t>
  </si>
  <si>
    <t xml:space="preserve">Juicio: técnico/consultivo; no gestiona plantillas ni decide ofertas públicas. Actividad reciente no acreditada.</t>
  </si>
  <si>
    <t xml:space="preserve">Sin presupuesto propio (verificado en norma). RD 868/2010, disposición adicional segunda «Gastos de funcionamiento». Ap. 1: la Secretaría de Estado para la Función Pública, a través de la Dirección General de la Función Pública, «prestará al Secretariado los medios técnicos, personales y materiales que sean necesarios para el funcionamiento del Observatorio del Empleo Público». Ap. 2: «En ningún caso el funcionamiento del Observatorio del Empleo Público implicará directa o indirectamente incremento de gasto público». Secretariado: la persona titular de una SG de la DG de la Función Pública (art. 4.1.e). El coste lo absorbe la DG de la Función Pública y no se prorratea. No se ha identificado importe contextual. Las fuentes oficiales localizadas no acreditan actividad reciente, y la página del BOE no muestra derogación.</t>
  </si>
  <si>
    <t xml:space="preserve">Creación acreditada; continuidad operativa no verificada.</t>
  </si>
  <si>
    <t xml:space="preserve">Sin auditoría de reuniones, dotación y productos actuales, no cabe llamarlo entidad vacía.</t>
  </si>
  <si>
    <t xml:space="preserve">https://www.boe.es/eli/es/rd/2010/07/02/868
https://www.lamoncloa.gob.es/consejodeministros/referencias/paginas/2010/02072010referenciaconsejoministros.aspx</t>
  </si>
  <si>
    <t xml:space="preserve">Sin plantilla propia (verificado en norma: RD 868/2010, DA 2.ª, medios de la DG de la Función Pública). No se publica el n.º de efectivos de apoyo; los vocales no son plantilla</t>
  </si>
  <si>
    <t xml:space="preserve">Sin crédito de personal propio: el coste lo absorbe la DG de la Función Pública (SE de Función Pública); no se prorratea</t>
  </si>
  <si>
    <t xml:space="preserve">Sin ejecución de personal propia: el gasto está incluido en la DG de la Función Pública; no se prorratea</t>
  </si>
  <si>
    <t xml:space="preserve">No tiene presupuesto, plantilla ni capítulo 1 propios (RD 868/2010, DA 2.ª, verificado), sin prorrateo. Sin importe contextual; actividad reciente no acreditada</t>
  </si>
  <si>
    <t xml:space="preserve">Sin plantilla propia. Medios técnicos, personales y materiales a cargo de la SE de Función Pública a través de la DG de la Función Pública (RD 868/2010, DA 2.ª.1). Secretario: titular de una SG de esa DG (art. 4.1.e). Los vocales no son plantilla. No repartir el gasto ministerial.</t>
  </si>
  <si>
    <t xml:space="preserve">Estudios, propuestas e informe anual sobre empleo público; no autorización de leyes</t>
  </si>
  <si>
    <t xml:space="preserve">RD 868/2010 art.3</t>
  </si>
  <si>
    <t xml:space="preserve">https://www.boe.es/eli/es/rd/2010/07/02/868</t>
  </si>
  <si>
    <t xml:space="preserve">Empleo público</t>
  </si>
  <si>
    <t xml:space="preserve">Apoyo: Secretariado: titular de una SG de la DG de la Función Pública (art. 4.1.e); medios técnicos, personales y materiales de la SE de Función Pública a través de la DG de la Función Pública (DA 2.ª.1 RD 868/2010). vocales: 21.</t>
  </si>
  <si>
    <t xml:space="preserve">Observatorio de la Internacionalización</t>
  </si>
  <si>
    <t xml:space="preserve">2009-03-27</t>
  </si>
  <si>
    <t xml:space="preserve">RD 430/2009</t>
  </si>
  <si>
    <t xml:space="preserve">Analizar comercio y desarrollo empresarial internacional; informe anual al Congreso.</t>
  </si>
  <si>
    <t xml:space="preserve">Juicio: consultivo/técnico, no poder de concesión ni regulación. El informe anual es una obligación legal, no prueba de que se haya cumplido hoy.</t>
  </si>
  <si>
    <t xml:space="preserve">Sin presupuesto propio (verificado en norma). RD 430/2009, disposición adicional única: «La Secretaría de Estado de Comercio prestará los medios técnicos, personales y materiales que sean necesarios para el cumplimiento de la adecuada celebración de las reuniones y sesiones de trabajo» y «El funcionamiento de Observatorio no supondrá incremento de gasto, ya sea por indemnizaciones, asistencias o, en general, por cualesquiera otros conceptos». Secretaría General Permanente: titular de la SG de Análisis, Estrategia y Evaluación de la SE de Comercio (art. 4.3). El coste lo absorbe la SE de Comercio y no se prorratea. No se ha identificado importe contextual. El BOE no registra derogación ni modificación. No se ha verificado el cumplimiento del informe anual al Congreso (art. 3.2).</t>
  </si>
  <si>
    <t xml:space="preserve">Creación acreditada; actividad 2026 no verificada.</t>
  </si>
  <si>
    <t xml:space="preserve">No confundir con estudios de Cámara de España u observatorios de empresas multinacionales de otras entidades.</t>
  </si>
  <si>
    <t xml:space="preserve">https://www.boe.es/buscar/doc.php?id=BOE-A-2009-6645
https://www.boe.es/eli/es/rd/2009/03/27/430</t>
  </si>
  <si>
    <t xml:space="preserve">Sin plantilla propia (verificado en norma: RD 430/2009, DA única, medios de la SE de Comercio). No se publica el n.º de efectivos; los vocales no son plantilla</t>
  </si>
  <si>
    <t xml:space="preserve">Sin crédito de personal propio: el coste lo absorbe la SE de Comercio (SG de Análisis, Estrategia y Evaluación); no se prorratea</t>
  </si>
  <si>
    <t xml:space="preserve">Sin ejecución de personal propia: el gasto está incluido en la SE de Comercio; tampoco hay indemnizaciones ni asistencias (DA única); no se prorratea</t>
  </si>
  <si>
    <t xml:space="preserve">No tiene presupuesto, plantilla ni capítulo 1 propios (RD 430/2009, DA única, verificado). Sin indemnizaciones ni asistencias; sin prorrateo; sin importe contextual</t>
  </si>
  <si>
    <t xml:space="preserve">Sin plantilla propia. Medios técnicos, personales y materiales de la SE de Comercio (RD 430/2009, DA única). La Secretaría General Permanente (titular de la SG de Análisis, Estrategia y Evaluación, art. 4.3) elabora los estudios encargados por el Pleno (art. 5). La norma excluye cualquier gasto por indemnizaciones o asistencias. Los vocales no son plantilla.</t>
  </si>
  <si>
    <t xml:space="preserve">Análisis, propuestas e informe anual al Congreso sobre comercio internacional; no autorización de leyes</t>
  </si>
  <si>
    <t xml:space="preserve">RD 430/2009 art.3</t>
  </si>
  <si>
    <t xml:space="preserve">https://www.boe.es/buscar/doc.php?id=BOE-A-2009-6645</t>
  </si>
  <si>
    <t xml:space="preserve">Internacionalización empresarial</t>
  </si>
  <si>
    <t xml:space="preserve">Apoyo: Secretaría General Permanente: titular de la SG de Análisis, Estrategia y Evaluación de la SE de Comercio (art. 4.3); medios técnicos, personales y materiales de la SE de Comercio (DA única RD 430/2009). vocales: 24. miembros: no retribuidos (DA única RD 430/2009: el funcionamiento «no supondrá incremento de gasto, ya sea por indemnizaciones, asistencias»).</t>
  </si>
  <si>
    <t xml:space="preserve">2004-12-28</t>
  </si>
  <si>
    <t xml:space="preserve">LO 1/2004, art.30; RD 253/2006</t>
  </si>
  <si>
    <t xml:space="preserve">Asesorar, evaluar y elaborar informes sobre violencia de género, con informe anual al Gobierno y CCAA.</t>
  </si>
  <si>
    <t xml:space="preserve">Juicio: función técnica y de seguimiento real, sin sanciones, ni capacidad de ordenar a jueces o policía. XVIII informe anual 2024 publicado acredita actividad.</t>
  </si>
  <si>
    <t xml:space="preserve">Sin presupuesto propio (verificado en la norma vigente). El RD 253/2006 quedó derogado por el RD 752/2022, de 13 de septiembre (BOE 28/09/2022, en vigor desde el 29/09/2022), que regula hoy funciones, funcionamiento y composición del Observatorio. Disposición adicional única del RD 752/2022 «Gastos de funcionamiento»: el departamento del que dependa orgánicamente la Delegación del Gobierno contra la Violencia de Género «atenderá los gastos de funcionamiento personales y materiales del Observatorio, con cargo al presupuesto ordinario de dicho ministerio». Secretaría: titular de la SG de Sensibilización, Prevención y Estudios de la Violencia de Género (art. 4.4). El coste lo absorbe la DGVG (Ministerio de Igualdad) y no se prorratea. No se ha identificado ningún contrato, encargo ni convenio a nombre del Observatorio. La norma no regula retribuciones ni indemnizaciones de los vocales.</t>
  </si>
  <si>
    <t xml:space="preserve">Ámbito compartido; funciones distintas; Ámbito temático compartido; jurisdicción y facultades distintas</t>
  </si>
  <si>
    <t xml:space="preserve">14, 123</t>
  </si>
  <si>
    <t xml:space="preserve">Violencia de género: el Observatorio asesora y evalúa; la Delegación formula y coordina políticas y tiene legitimación judicial. | Violencia de género e igualdad: observatorio consultivo cántabro, observatorio estatal y delegación ejecutiva estatal. No se demuestra gasto duplicado.</t>
  </si>
  <si>
    <t xml:space="preserve">https://www.boe.es/eli/es/lo/2004/12/28/1
https://violenciagenero.igualdad.gob.es/violenciaencifras/observatorio/informesanuales/xviii-informe-anual-del-observatorio-estatal-de-violencia-sobre-la-mujer-2024/
https://boc.cantabria.es/boces/verAnuncioAction.do?idAnuBlob=352798</t>
  </si>
  <si>
    <t xml:space="preserve">https://www.boe.es/eli/es/lo/2004/12/28/1
https://violenciagenero.igualdad.gob.es/violenciaencifras/observatorio/informesanuales/xviii-informe-anual-del-observatorio-estatal-de-violencia-sobre-la-mujer-2024/
https://www.boe.es/eli/es/rd/2022/09/13/752/con
https://www.boe.es/eli/es/rd/2006/03/03/253/con</t>
  </si>
  <si>
    <t xml:space="preserve">Sin plantilla propia (verificado en norma: RD 752/2022, DA única y art. 4.4, apoyo de la SG de Sensibilización, Prevención y Estudios de la DGVG). No se publica el n.º de efectivos</t>
  </si>
  <si>
    <t xml:space="preserve">Sin crédito de personal propio: el coste lo absorbe la Delegación del Gobierno contra la Violencia de Género (presupuesto ordinario del Ministerio de Igualdad); no se prorratea</t>
  </si>
  <si>
    <t xml:space="preserve">Sin ejecución de personal propia: el gasto está incluido en la DGVG; no se prorratea</t>
  </si>
  <si>
    <t xml:space="preserve">No tiene presupuesto, plantilla ni capítulo 1 propios (RD 752/2022, DA única, verificado). El RD 253/2006 está derogado. Sin prorrateo; sin importe contextual</t>
  </si>
  <si>
    <t xml:space="preserve">Sin plantilla propia. Gastos personales y materiales con cargo al presupuesto ordinario del ministerio del que depende la DGVG (RD 752/2022, DA única). Secretaría: SG de Sensibilización, Prevención y Estudios de la Violencia de Género de la DGVG (art. 4.4). La anterior previsión de dotar una «División de Estudios e Informes» mediante modificación de la RPT sin incremento de gasto (RD 253/2006, DF 2.ª) quedó derogada en 2022. Los vocales no son plantilla.</t>
  </si>
  <si>
    <t xml:space="preserve">Informes y propuestas sobre violencia de género; informe anual sobre necesidades de reforma legal</t>
  </si>
  <si>
    <t xml:space="preserve">LO1/2004 art 30</t>
  </si>
  <si>
    <t xml:space="preserve">https://www.boe.es/eli/es/lo/2004/12/28/1</t>
  </si>
  <si>
    <t xml:space="preserve">Organismo estatal de referencia. 10 comunidades tienen el suyo propio; 11 organismos sobre este tema entre el Estado y las CCAA (verificados).</t>
  </si>
  <si>
    <t xml:space="preserve">Apoyo: Secretaría: titular de la SG de Sensibilización, Prevención y Estudios de la Violencia contra las Mujeres, en la DGVG (art. 4.4 RD 752/2022); gastos personales y materiales con cargo al ministerio del que depende la DGVG (DA única). Esa SG elabora el informe anual. vocales: 45. gasto con nombre propio: Becas de formación en el Observatorio: 6 becas en 2022-2023, de 1.050 EUR brutos/mes más 600 EUR/año cada una (extracto BOE 22/03/2022) (https://violenciagenero.igualdad.gob.es/wp-content/uploads/DGVGInforma_becas.pdf) | Borrador de bases de 2026: entre 14.400 y 22.200 EUR brutos anuales por beca, sin número fijado (https://www.igualdad.gob.es/wp-content/uploads/2026/06/Orden-de-Bases-becas_BORRADOR.pdf).</t>
  </si>
  <si>
    <t xml:space="preserve">Delegación Especial del Gobierno contra la Violencia sobre la Mujer, hoy Delegación del Gobierno contra la Violencia de Género</t>
  </si>
  <si>
    <t xml:space="preserve">Órgano administrativo nuevo</t>
  </si>
  <si>
    <t xml:space="preserve">LO 1/2004, art.29</t>
  </si>
  <si>
    <t xml:space="preserve">Formular, coordinar e impulsar políticas estatales contra violencia de género y legitimación judicial para defender derechos tutelados.</t>
  </si>
  <si>
    <t xml:space="preserve">Juicio: poder de coordinación administrativa y legitimación judicial real; no es solo un observatorio. No sustituye competencias de jueces, policía ni autonomías.</t>
  </si>
  <si>
    <t xml:space="preserve">Sin cifra propia actual verificada</t>
  </si>
  <si>
    <t xml:space="preserve">Sin presupuesto propio de entidad: centro directivo del Ministerio de Igualdad sin personalidad. Crédito identificable (columnas contextuales): servicio 30.03 'Delegación del Gobierno contra la Violencia de Género', PGE 2023 (Ley 31/2022), tomo Sección 30, pp.16-17, miles EUR: cap.1 2.556,06; cap.2 6.742,27; cap.4 53.618,00 (a CCAA 19.800; a familias e ISFL 33.768; al exterior 50); cap.6 16.623,54; total 79.539,87 = 79,53987 M EUR, todo en el programa 232C. El programa 232C suma 259.741,89 miles (259,74189 M), de los que 180.202,02 miles corresponden al servicio 30.02 Secretaría de Estado de Igualdad y contra la Violencia de Género (p.18): no imputables a la Delegación. 2026: presupuesto 2023 prorrogado (Ministerio de Hacienda, nota de 19/05/2026: crédito del cap.6 del programa 'dotada en el presupuesto para el año 2023, prorrogado para el año 2026', crédito inicial 16.623.540 EUR, idéntico al PGE 2023). El tomo de la prórroga 2026 no se ha podido cotejar, y la ejecución 2026 del servicio/programa no se ha localizado. No equivale al coste de la Delegación como organización: incluye transferencias e inversiones.</t>
  </si>
  <si>
    <t xml:space="preserve">Continúa bajo denominación posterior.</t>
  </si>
  <si>
    <t xml:space="preserve">El programa 232C está compartido con la Secretaría de Estado (servicio 30.02); solo el servicio 30.03 es de la Delegación. Falta la ejecución 2026 del servicio y el tomo de prórroga 2026; personal ocupado no publicado.</t>
  </si>
  <si>
    <t xml:space="preserve">13, 123</t>
  </si>
  <si>
    <t xml:space="preserve">https://www.boe.es/eli/es/lo/2004/12/28/1
https://www.sepg.pap.hacienda.gob.es/Presup/PGE2023Ley/MaestroTomos/PGE-ROM/doc/L_23_E_G30.PDF
https://www.hacienda.gob.es/es-ES/Prensa/Noticias/Paginas/2026/20260519-NP-CM-INVERSIONES-IGUALDAD.aspx</t>
  </si>
  <si>
    <t xml:space="preserve">2026 (prórroga del presupuesto 2023; importe del PGE 2023 Ley)</t>
  </si>
  <si>
    <t xml:space="preserve">Crédito inicial del servicio 30.03 Delegación del Gobierno contra la Violencia de Género (programa 232C), PGE 2023 prorrogado a 2026; centro directivo sin personalidad, NO presupuesto propio de entidad; incluye transferencias (cap.4 53,618 M) e inversiones (cap.6 16,624 M)</t>
  </si>
  <si>
    <t xml:space="preserve">Delegación del Gobierno contra la Violencia de Género (servicio 30.03, Ministerio de Igualdad)</t>
  </si>
  <si>
    <t xml:space="preserve">Capítulo 1: crédito inicial del servicio 30.03 Delegación (programa 232C), PGE 2023 (Ley 31/2022) prorrogado a 2026: altos cargos 61,04 + funcionarios 2.138,89 + cuotas, prestaciones y gastos sociales 356,13 = 2.556,06 miles EUR. Importe del tomo PGE 2023; tomo de prórroga 2026 no cotejado</t>
  </si>
  <si>
    <t xml:space="preserve">https://www.sepg.pap.hacienda.gob.es/Presup/PGE2023Ley/MaestroTomos/PGE-ROM/doc/L_23_E_G30.PDF</t>
  </si>
  <si>
    <t xml:space="preserve">Crédito del servicio 30.03 (PGE 2023 prorrogado a 2026) en columnas contextuales y su capítulo 1 verificados; personal ocupado y ejecución 2026 no verificados</t>
  </si>
  <si>
    <t xml:space="preserve">Apoyo ministerial/departamental indicado en el lote y norma de la ficha; gasto individual no desglosado verificado. No repartir gasto total del ministerio. Centro directivo del Ministerio de Igualdad con puestos en la RPT del ministerio - personal MINISTERIAL, no de entidad independiente</t>
  </si>
  <si>
    <t xml:space="preserve">Revisado: Delegación Violencia Género: impulso y asesoramiento</t>
  </si>
  <si>
    <t xml:space="preserve">Coordina, asesora y realiza estudios; no informe previo general de leyes en funciones art3.</t>
  </si>
  <si>
    <t xml:space="preserve">RD246/2024 art3</t>
  </si>
  <si>
    <t xml:space="preserve">https://boe.es/buscar/doc.php?id=BOE-A-2024-4616</t>
  </si>
  <si>
    <t xml:space="preserve">Prórroga: nota del Ministerio de Hacienda de 19/05/2026 (Consejo de Ministros, límites de compromisos del cap.6 del programa 'Actuaciones para la prevención integral de la violencia de género', solicitados por la Delegación): presupuesto 2023 'prorrogado para el año 2026'. El cap.6 de 2026 (16.623.540 EUR) coincide con el PGE 2023 (16.623,54 miles), lo que es coherente con la prórroga automática de los créditos iniciales; los demás capítulos de 2026 no se han cotejado en el tomo de prórroga. Ejecución (obligaciones) 2025 y 2026 del servicio 30.03: no localizada.</t>
  </si>
  <si>
    <t xml:space="preserve">Dirección general del Ministerio de Igualdad (no es un organismo): coordina la política contra la violencia de género y gestiona 79,5 M.</t>
  </si>
  <si>
    <t xml:space="preserve">El P100 no trata la violencia de género ni el futuro del Ministerio de Igualdad</t>
  </si>
  <si>
    <t xml:space="preserve">Violencia de género (política estatal)</t>
  </si>
  <si>
    <t xml:space="preserve">Puestos de la RPT de personal funcionario del Ministerio de Igualdad vigente a 01/09/2025, en las unidades de la Delegación del Gobierno contra la Violencia de Género (47975): Unidad de Apoyo 47976 (20), S.G. de Coordinación Interinstitucional en Violencia contra las Mujeres 48214 (21) y S.G. de Sensibilización, Prevención y Estudios de la Violencia contra las Mujeres 48215 (22). Excluye el personal laboral y al titular de la Delegación, que es alto cargo sin puesto en la RPT.</t>
  </si>
  <si>
    <t xml:space="preserve">Proxy por subgrupo, no por función; parte de los A1/A2 hacen gestión. Núcleo: puestos A1, A1A2 y A2. Administración y apoyo: C1, C1C2 y C2, que corresponden a secretarías (6), jefaturas de negociado (7), auxiliares de oficina (2) y técnico auxiliar de informática (1). Otro: puestos A2C1, compartidos entre grupos (3 jefaturas de sección, una por unidad).</t>
  </si>
  <si>
    <t xml:space="preserve">https://transparencia.gob.es/content/dam/transparencia_home/publicidadactiva/organizacionyempleo/rpt/actual-junio-2025/migd/250901-RPT-IGU-50716-PF.pdf</t>
  </si>
  <si>
    <t xml:space="preserve">RPT de funcionarios del Ministerio de Igualdad (vigencia 01-09-2025, 24 pp., 'Total Puestos: 445'). En la p. 11, bajo la cabecera '47975 DELEGACION DEL GOBIERNO CONTRA LA VIOLENCIA DE GENERO', está la Unidad de Apoyo 47976 con 20 puestos: A1 8, A1A2 3, A2 2, A2C1 1, C1C2 4, C1 2. En la p. 12, la SG 48214 tiene 21 puestos: A1 7, A1A2 5, A2 3, A2C1 1, C1 2, C1C2 2, C2 1. En la p. 13, la SG 48215 tiene 22 puestos: A1 9, A1A2 5, A2 2, A2C1 1, C1 2, C1C2 2, C2 1. Núcleo 13+15+16 = 44; apoyo 6+5+5 = 16; A2C1 3; total 63. Aviso: los subgrupos salen de una lectura asistida (WebFetch) de un texto extraído con las columnas separadas. Cuatro filas tienen subgrupo dudoso (UA filas 9 y 20; SG 48215 filas 13 y 14), pero ninguna cambia de columna: son Jefes de servicio (A en cualquier lectura) o un Jefe de negociado (C). Hay versión de la RPT a 01/01/2026 (260101-RPT-IGU-50716-PF.pdf) que no se pudo abrir.</t>
  </si>
  <si>
    <t xml:space="preserve">Consejo Estatal de Familias y Observatorio Estatal de Familias</t>
  </si>
  <si>
    <t xml:space="preserve">Consejo nuevo; observatorio como órgano/comisión permanente del Consejo, con previsión legal anterior</t>
  </si>
  <si>
    <t xml:space="preserve">2007-05-11</t>
  </si>
  <si>
    <t xml:space="preserve">RD 613/2007; antecedente de previsión del observatorio en Ley 40/2003</t>
  </si>
  <si>
    <t xml:space="preserve">Representar movimiento asociativo familiar, estudiar situación y políticas de familias y recomendar actuaciones.</t>
  </si>
  <si>
    <t xml:space="preserve">Juicio: consultivo, no decide prestaciones ni subvenciones. Consejo y observatorio no deben contarse como dos agencias presupuestarias autónomas.</t>
  </si>
  <si>
    <t xml:space="preserve">Sin presupuesto propio (verificado en norma). RD 613/2007, disposición adicional única «Medios de funcionamiento»: «El Ministerio de Trabajo y Asuntos Sociales atenderá con sus medios personales y materiales a la constitución y funcionamiento del Consejo Estatal y, en su seno, del Observatorio, sin que ello suponga incremento de gasto». El Observatorio es un órgano del Consejo y opera también como su Comisión Permanente (art. 1.2). Secretario: un funcionario del ministerio designado por la SE de Servicios Sociales, Familias y Discapacidad (art. 7.1). El coste lo absorbe el departamento hoy competente en familias (Derechos Sociales) y no se prorratea. Consejo y Observatorio no son dos presupuestos. El RD 904/2025 (subvenciones directas de Derechos Sociales) no contiene ningún importe para el Consejo ni para el Observatorio. No consta modificación ni derogación en la página del BOE. No se ha verificado la reunión anual ordinaria (art. 12.1).</t>
  </si>
  <si>
    <t xml:space="preserve">Creación acreditada; actividad actual no verificada.</t>
  </si>
  <si>
    <t xml:space="preserve">No se ha verificado composición vigente ni cumplimiento de la reunión anual; sin base para llamarlo vacío.</t>
  </si>
  <si>
    <t xml:space="preserve">https://www.boe.es/boe/dias/2007/05/12/pdfs/A20598-20600.pdf
https://www.boe.es/eli/es/rd/2007/05/11/613</t>
  </si>
  <si>
    <t xml:space="preserve">Sin plantilla propia (verificado en norma: RD 613/2007, DA única). Secretaría ejercida por un funcionario ministerial; no se publica el n.º de efectivos</t>
  </si>
  <si>
    <t xml:space="preserve">Sin crédito de personal propio: el coste lo absorbe el ministerio competente en familias (Derechos Sociales); no se prorratea</t>
  </si>
  <si>
    <t xml:space="preserve">Sin ejecución de personal propia: el gasto está incluido en la unidad ministerial de familias; no se prorratea</t>
  </si>
  <si>
    <t xml:space="preserve">No tiene presupuesto, plantilla ni capítulo 1 propios (RD 613/2007, DA única, verificado). El Observatorio no tiene un presupuesto separado del Consejo. Sin prorrateo; sin importe contextual</t>
  </si>
  <si>
    <t xml:space="preserve">Sin plantilla propia. Medios personales y materiales del ministerio competente (RD 613/2007, DA única), sin incremento de gasto. Secretario del Consejo y del Observatorio: un funcionario designado por la SE (art. 7.1). Los vocales no son plantilla. No repartir el gasto ministerial.</t>
  </si>
  <si>
    <t xml:space="preserve">Consejo informa proyectos sometidos a su consideración; Observatorio es órgano del Consejo</t>
  </si>
  <si>
    <t xml:space="preserve">Art 2.1(d),(e): proyectos y consultas sometidos a consideración; no obligación general de informe favorable</t>
  </si>
  <si>
    <t xml:space="preserve">No vinculación o consentimiento favorable establecido en la función revisada</t>
  </si>
  <si>
    <t xml:space="preserve">Sin veto normativo atribuido por los artículos revisados. Consejo y Observatorio no equivalen a dos autorizaciones independientes.</t>
  </si>
  <si>
    <t xml:space="preserve">RD 613/2007 arts 1.2,2.1(d),(e)</t>
  </si>
  <si>
    <t xml:space="preserve">https://www.boe.es/boe/dias/2007/05/12/pdfs/A20598-20600.pdf</t>
  </si>
  <si>
    <t xml:space="preserve">Familias</t>
  </si>
  <si>
    <t xml:space="preserve">Apoyo: Secretario del Consejo y del Observatorio: un funcionario del ministerio designado por la SE competente en familias (arts. 7.1 y 11); medios personales y materiales del ministerio (DA única RD 613/2007). vocales: 36.</t>
  </si>
  <si>
    <t xml:space="preserve">Observatorio Estatal de la Discapacidad</t>
  </si>
  <si>
    <t xml:space="preserve">Instrumento técnico por convenio, sin personalidad jurídica</t>
  </si>
  <si>
    <t xml:space="preserve">2006-12-04</t>
  </si>
  <si>
    <t xml:space="preserve">Convenio marco publicado por Resolución 14/12/2006</t>
  </si>
  <si>
    <t xml:space="preserve">Recopilar, sistematizar, generar y difundir información sobre discapacidad; dirección del Real Patronato y gestión técnica encargada a entidad colaboradora.</t>
  </si>
  <si>
    <t xml:space="preserve">Juicio: función de conocimiento real, no autoridad sancionadora. Informe Olivenza 2025 acredita resultados recientes.</t>
  </si>
  <si>
    <t xml:space="preserve">Sin presupuesto propio (verificado en norma). RDLeg 1/2013, art. 73.4: «El cumplimiento de las funciones dirigidas al desarrollo de los objetivos generales del Observatorio Estatal de la Discapacidad no supondrá incremento del gasto público». Según el art. 73.1 es un instrumento técnico de la AGE que actúa a través de la DG competente en discapacidad. Financiación específica identificable (contextual, NO presupuesto propio): subvención de concesión directa de 100.000 EUR (0,1 M) al CERMI «para el Observatorio Estatal de la Discapacidad» (RD 904/2025, art. 3.3.e). La concede el Real Patronato sobre Discapacidad, con ejecución de hasta 12 meses entre el 01/01/2025 y el 31/12/2026. Antecedente: el convenio RPD–CERMI de 2023 (BOE-A-2023-11877) canalizó una subvención nominativa de 80.000 EUR (0,08 M) para su gestión y funcionamiento en 2023, con cargo a la aplicación 29.102.231F.485 de los PGE 2023. Estos importes no se suman ni se tratan como presupuesto del órgano, y el presupuesto del Real Patronato no se le atribuye.</t>
  </si>
  <si>
    <t xml:space="preserve">Actividad recente verificada.</t>
  </si>
  <si>
    <t xml:space="preserve">La financiación del convenio de 2006 no debe repetirse como presupuesto actual; convenio firmado el 4/12/2006.</t>
  </si>
  <si>
    <t xml:space="preserve">https://www.boe.es/diario_boe/txt.php?id=BOE-A-2006-22673
https://observatoriodeladiscapacidad.info/olivenza/2025/informe
https://www.boe.es/diario_boe/txt.php?id=BOE-A-2025-20078
https://www.boe.es/eli/es/rdlg/2013/11/29/1
https://www.boe.es/diario_boe/txt.php?id=BOE-A-2023-11877</t>
  </si>
  <si>
    <t xml:space="preserve">2025 (ejecución de hasta 12 meses consecutivos entre 01/01/2025 y 31/12/2026)</t>
  </si>
  <si>
    <t xml:space="preserve">Subvención de concesión directa, RD 904/2025, art. 3.3.e (concedente: Real Patronato sobre Discapacidad; presupuesto 2023 prorrogado para 2025); NO presupuesto del órgano</t>
  </si>
  <si>
    <t xml:space="preserve">Comité Español de Representantes de Personas con Discapacidad (CERMI), para el Observatorio Estatal de la Discapacidad</t>
  </si>
  <si>
    <t xml:space="preserve">Sin plantilla pública propia (verificado: RDLeg 1/2013, art. 73, y convenio/subvención al CERMI). El personal técnico es de la entidad gestora (CERMI) y no se cuenta</t>
  </si>
  <si>
    <t xml:space="preserve">Sin crédito de personal propio: la dirección la absorbe la DG competente en discapacidad y la gestión técnica se financia con una subvención al CERMI (contextual, 0,1 M en 2025); no se prorratea</t>
  </si>
  <si>
    <t xml:space="preserve">Sin ejecución de personal propia: el gasto del CERMI se justifica con la cuenta justificativa de la subvención, no como capítulo 1 público; no se prorratea</t>
  </si>
  <si>
    <t xml:space="preserve">No tiene presupuesto, plantilla ni capítulo 1 propios (art. 73.4 RDLeg 1/2013, verificado). Importe contextual verificado: 0,1 M EUR de subvención directa al CERMI en 2025 (RD 904/2025); 0,08 M EUR en 2023 (convenio BOE-A-2023-11877)</t>
  </si>
  <si>
    <t xml:space="preserve">Instrumento técnico sin personalidad jurídica ni plantilla pública. La gestión técnica la hace el CERMI con la subvención (RD 904/2025, art. 3.3.e; antes, convenio BOE-A-2023-11877, cuyo anexo 2 incluía 15.000 EUR para la secretaría técnica y exigía que el 100 % del personal técnico de la entidad fueran personas con discapacidad). Ese personal lo emplea el CERMI y NO es plantilla pública. Dirección pública: DG competente en discapacidad (RDLeg 1/2013, art. 73.1). No repartir el presupuesto del Real Patronato ni el del ministerio.</t>
  </si>
  <si>
    <t xml:space="preserve">Instrumento técnico de información sobre discapacidad, no órgano de autorización normativa</t>
  </si>
  <si>
    <t xml:space="preserve">Convenio 2006 cláusulas Segunda, Tercera, Cuarta</t>
  </si>
  <si>
    <t xml:space="preserve">https://www.boe.es/diario_boe/txt.php?id=BOE-A-2006-22673</t>
  </si>
  <si>
    <t xml:space="preserve">Discapacidad</t>
  </si>
  <si>
    <t xml:space="preserve">Apoyo: Dirección pública: DG competente en discapacidad (art. 73.1 RDLeg 1/2013). La gestión técnica la presta el CERMI con la subvención, con personal propio que no es empleo público. gasto con nombre propio: 100.000 EUR: subvención directa al CERMI «para el Observatorio Estatal de la Discapacidad» (RD 904/2025, art. 3.3.e), ejecutable en 2025-2026 (https://www.boe.es/diario_boe/txt.php?id=BOE-A-2025-20078) | 2023: 80.000 EUR de subvención nominativa (aplicación 29.102.231F.485), de los que 15.000 EUR eran para «Secretaría técnica» según el anexo 2 del convenio RPD-CERMI (https://www.boe.es/diario_boe/txt.php?id=BOE-A-2023-11877).</t>
  </si>
  <si>
    <t xml:space="preserve">Observatorio de la Lectura y el Libro</t>
  </si>
  <si>
    <t xml:space="preserve">2007-06-22</t>
  </si>
  <si>
    <t xml:space="preserve">Ley 10/2007, DA 2; RD 1574/2007, 30 de noviembre</t>
  </si>
  <si>
    <t xml:space="preserve">Analizar situación del libro, lectura y bibliotecas; asesorar y elaborar informe anual.</t>
  </si>
  <si>
    <t xml:space="preserve">Juicio: técnico/consultivo, sin poder vinculante sobre editoriales, bibliotecas ni políticas públicas.</t>
  </si>
  <si>
    <t xml:space="preserve">Sin presupuesto propio (verificado en norma). RD 1574/2007 (BOE 01/01/2008), disposición adicional segunda «Personal al servicio del Observatorio del Libro y de la Lectura»: «La dotación de personal del Observatorio del Libro y de la Lectura se realizará a través de la correspondiente modificación de la relación de puestos de trabajo del Ministerio de Cultura. Dicha modificación, en ningún caso, podrá suponer incremento del gasto público». Art. 1.3: órgano colegiado adscrito al Ministerio de Cultura a través de la DG del Libro, Archivos y Bibliotecas (denominación de 2007). Art. 5.2: la secretaría del Pleno la ejerce un funcionario de esa DG. El coste lo absorbe la DG competente en libro y lectura del Ministerio de Cultura y no se prorratea. No se ha identificado importe contextual. La norma no regula indemnizaciones de los miembros.</t>
  </si>
  <si>
    <t xml:space="preserve">Creación acreditada; producción reciente no auditada.</t>
  </si>
  <si>
    <t xml:space="preserve">No confundir creación legal con cumplimiento anual del informe; falta revisión de productos 2026.</t>
  </si>
  <si>
    <t xml:space="preserve">https://www.boe.es/eli/es/rd/2007/11/30/1574/con
https://boe.es/boe/dias/2008/01/01/pdfs/A00012-00014.pdf</t>
  </si>
  <si>
    <t xml:space="preserve">Sin plantilla propia (verificado en norma: RD 1574/2007, DA 2.ª, puestos de la RPT del Ministerio de Cultura). No se publica el n.º de puestos ni de efectivos</t>
  </si>
  <si>
    <t xml:space="preserve">Sin crédito de personal propio: el coste lo absorbe la DG del Libro del Ministerio de Cultura (RPT ministerial); no se prorratea</t>
  </si>
  <si>
    <t xml:space="preserve">Sin ejecución de personal propia: el gasto está incluido en la DG del Libro; no se prorratea</t>
  </si>
  <si>
    <t xml:space="preserve">No tiene presupuesto, plantilla ni capítulo 1 propios (RD 1574/2007, DA 2.ª, verificado). Personal de la RPT de Cultura sin incremento de gasto; sin prorrateo; sin importe contextual</t>
  </si>
  <si>
    <t xml:space="preserve">Sin plantilla propia. Personal mediante modificación de la RPT del Ministerio de Cultura, sin incremento del gasto público (RD 1574/2007, DA 2.ª). Secretaría: un funcionario de la DG del Libro (art. 5.2), que también ejerce la secretaría del Comité Técnico (art. 6.f). No se publica cuántos puestos RPT tiene asignados. Los vocales no son plantilla.</t>
  </si>
  <si>
    <t xml:space="preserve">Funciones consultivas revisadas: Asesoramiento, estudios e informe anual sobre lectura y libro</t>
  </si>
  <si>
    <t xml:space="preserve">RD 1574/2007 arts 1.2,2</t>
  </si>
  <si>
    <t xml:space="preserve">https://www.boe.es/eli/es/rd/2007/11/30/1574/con</t>
  </si>
  <si>
    <t xml:space="preserve">Libro y lectura</t>
  </si>
  <si>
    <t xml:space="preserve">Apoyo: Secretaría del Pleno y del Comité Técnico: un funcionario de la DG competente en libro (art. 5.2 y art. 6.f RD 1574/2007); dotación de personal mediante modificación de la RPT del Ministerio de Cultura (DA 2.ª). vocales: 32.</t>
  </si>
  <si>
    <t xml:space="preserve">Observatorio de la Nutrición y de Estudio de la Obesidad</t>
  </si>
  <si>
    <t xml:space="preserve">2013-01-18</t>
  </si>
  <si>
    <t xml:space="preserve">Acuerdo Consejo de Ministros 18/01/2013, publicado Resolución AESAN 28/01/2013</t>
  </si>
  <si>
    <t xml:space="preserve">Vigilar nutrición, actividad física y obesidad, analizar datos y apoyar evaluación de estrategia NAOS.</t>
  </si>
  <si>
    <t xml:space="preserve">Juicio: función técnica real, no regulador ni organismo que multa. AESAN vincula al observatorio estudios epidemiológicos como ALADINO.</t>
  </si>
  <si>
    <t xml:space="preserve">Sin presupuesto propio (verificado en norma). Acuerdo del Consejo de Ministros de 18/01/2013, publicado por Resolución AESAN de 28/01/2013 (BOE-A-2013-2074, BOE 23/02/2013). Apartado Cuarto.1: funciona con «los recursos humanos y materiales de la estructura permanente de la Unidad técnica de la Estrategia NAOS, dependiente de la AESAN». Apartado Quinto: «Los miembros del Observatorio no percibirán remuneración alguna en el ejercicio de sus funciones» y «La creación del Observatorio no supondrá aumento del gasto público». Secretaría: un representante de AESAN responsable del seguimiento epidemiológico y la evaluación de NAOS (apartado Tercero.1.D). El coste lo absorbe AESAN, organismo autónomo cuyo presupuesto NO es el del Observatorio, y no se prorratea. La web de AESAN no publica presupuesto, contratos ni fechas de reuniones; estudios como ALADINO no se le imputan como importe propio.</t>
  </si>
  <si>
    <t xml:space="preserve">https://www.boe.es/diario_boe/txt.php?id=BOE-A-2013-2074
https://www.aesan.gob.es/nutricion/datos-sobrepeso-obesidad
https://boe.es/boe/dias/2013/02/23/pdfs/BOE-A-2013-2074.pdf
https://aesan.gob.es/nutricion/datos-sobrepeso-obesidad/observatorio-nutricion-y-estudio-obesidad</t>
  </si>
  <si>
    <t xml:space="preserve">Sin plantilla propia (verificado en norma: Acuerdo CM 18/01/2013, apartado Cuarto.1, Unidad técnica NAOS de AESAN). No se publica el n.º de efectivos; los miembros no son plantilla</t>
  </si>
  <si>
    <t xml:space="preserve">Sin crédito de personal propio: el coste lo absorbe AESAN (Unidad técnica de la Estrategia NAOS); no se prorratea</t>
  </si>
  <si>
    <t xml:space="preserve">Sin ejecución de personal propia: el gasto está incluido en AESAN; no se prorratea</t>
  </si>
  <si>
    <t xml:space="preserve">No tiene presupuesto, plantilla ni capítulo 1 propios (Acuerdo CM 18/01/2013, apartados Cuarto y Quinto, verificado). Miembros no remunerados; sin prorrateo; sin importe contextual</t>
  </si>
  <si>
    <t xml:space="preserve">Sin plantilla propia. Recursos humanos y materiales de la Unidad técnica de la Estrategia NAOS de AESAN (apartado Cuarto.1 del Acuerdo CM de 18/01/2013). Miembros sin remuneración (apartado Quinto); no son plantilla. No se publica el n.º de efectivos de la Unidad NAOS dedicados al Observatorio. No repartir el presupuesto de AESAN.</t>
  </si>
  <si>
    <t xml:space="preserve">Funciones técnicas de nutrición; propuestas e informes expresamente no vinculantes</t>
  </si>
  <si>
    <t xml:space="preserve">No vinculantes expresamente (Cuarto.3)</t>
  </si>
  <si>
    <t xml:space="preserve">Resolución de 28/01/2013, apartados Segundo y Cuarto.3</t>
  </si>
  <si>
    <t xml:space="preserve">https://www.boe.es/diario_boe/txt.php?id=BOE-A-2013-2074</t>
  </si>
  <si>
    <t xml:space="preserve">Nutrición y obesidad</t>
  </si>
  <si>
    <t xml:space="preserve">Apoyo: Unidad técnica de la Estrategia NAOS (AESAN), con sus recursos humanos y materiales (apdo. Cuarto.1). Secretaría: un representante de AESAN responsable del seguimiento de NAOS (apdo. Tercero.1.D). vocales: 14. miembros: no retribuidos (apdo. Quinto del Acuerdo CM 18/01/2013: «no percibirán remuneración alguna en el ejercicio de sus funciones»).</t>
  </si>
  <si>
    <t xml:space="preserve">Consejo Estatal de Responsabilidad Social de las Empresas (CERSE)</t>
  </si>
  <si>
    <t xml:space="preserve">2008-02-15</t>
  </si>
  <si>
    <t xml:space="preserve">RD 221/2008</t>
  </si>
  <si>
    <t xml:space="preserve">Asesorar políticas de responsabilidad social empresarial; foro entre administración, empresas, sindicatos y otras organizaciones.</t>
  </si>
  <si>
    <t xml:space="preserve">Juicio: sin poder sancionador ni vinculante. Hay señal oficial de debilidad operativa: el ministerio habla en 2026 de reactivación y más de diez años desde último nombramiento de vocalías.</t>
  </si>
  <si>
    <t xml:space="preserve">Sin presupuesto propio (verificado en norma). El RD 221/2008 fue modificado por el RD 301/2026, de 8 de abril (BOE-A-2026-8072, BOE 11/04/2026), que añade la disposición adicional cuarta «Ausencia de incremento de gasto público»: «La creación y el funcionamiento del Consejo Estatal de Responsabilidad Social de las Empresas no supondrá incremento del gasto público, y será atendido con los medios personales, técnicos y presupuestarios existentes en la Secretaría de Estado de Economía Social del Departamento y por los órganos y organismos con representación en este». Según el nuevo art. 2.2, la DG competente en RSE «llevará a cabo las tareas de preparación, apoyo técnico y gestión del consejo»; según el art. 5.3, la secretaría la asume la persona titular de esa DG. El coste lo absorbe la DG de Economía Social y RSE (Ministerio de Trabajo y Economía Social) y no se prorratea. La reactivación de 2026 se apoya en el RD 301/2026 y en la Orden TES/693/2026 (BOE 10/07/2026), que regula la asignación de vocalías. No se ha identificado importe contextual.</t>
  </si>
  <si>
    <t xml:space="preserve">Reactivación/renovación normativa en 2026, no creación de un segundo Consejo.</t>
  </si>
  <si>
    <t xml:space="preserve">La demora en renovar vocalías no prueba ausencia total de actividad ni presupuesto cero.</t>
  </si>
  <si>
    <t xml:space="preserve">https://www.boe.es/diario_boe/txt.php?id=BOE-A-2008-3868
https://rse.mites.gob.es/organismos-y-redes/consejo-estatal-de-rse
https://www.boe.es/eli/es/rd/2008/02/15/221/con
https://www.boe.es/eli/es/rd/2026/04/08/301
https://www.boe.es/boe/dias/2026/07/10/pdfs/BOE-A-2026-15029.pdf</t>
  </si>
  <si>
    <t xml:space="preserve">Sin plantilla propia (verificado en norma: RD 221/2008, DA 4.ª y arts. 2.2 y 5.3 en la redacción del RD 301/2026). No se publica el n.º de efectivos de la DG dedicados al CERSE</t>
  </si>
  <si>
    <t xml:space="preserve">Sin crédito de personal propio: el coste lo absorbe la DG de Economía Social y RSE / SE de Economía Social (Ministerio de Trabajo y Economía Social); no se prorratea</t>
  </si>
  <si>
    <t xml:space="preserve">Sin ejecución de personal propia: el gasto está incluido en la DG de apoyo; no se prorratea</t>
  </si>
  <si>
    <t xml:space="preserve">No tiene presupuesto, plantilla ni capítulo 1 propios (RD 221/2008, DA 4.ª introducida por el RD 301/2026, verificado). Sin prorrateo; sin importe contextual</t>
  </si>
  <si>
    <t xml:space="preserve">Sin plantilla propia. Preparación, apoyo técnico y gestión a cargo de la DG competente en RSE (art. 2.2, redacción del RD 301/2026). Secretaría: titular de esa DG, que puede contar con personal de apoyo (art. 5.3). Medios personales, técnicos y presupuestarios de la SE de Economía Social (DA 4.ª). Los vocales no son plantilla.</t>
  </si>
  <si>
    <t xml:space="preserve">Consulta y recomendaciones; no vinculantes expresamente</t>
  </si>
  <si>
    <t xml:space="preserve">Informes a petición del Gobierno o iniciativa propia; no informe obligatorio general sobre leyes en artículos revisados</t>
  </si>
  <si>
    <t xml:space="preserve">NO vinculantes, expresamente art 7.2</t>
  </si>
  <si>
    <t xml:space="preserve">No poder de veto normativo en los artículos revisados. El consenso interno del Consejo no convierte sus propuestas en obligatorias para el Gobierno.</t>
  </si>
  <si>
    <t xml:space="preserve">RD 221/2008 arts 3(c),4.1(a),7.2</t>
  </si>
  <si>
    <t xml:space="preserve">https://www.boe.es/diario_boe/txt.php?id=BOE-A-2008-3868</t>
  </si>
  <si>
    <t xml:space="preserve">Responsabilidad social empresarial</t>
  </si>
  <si>
    <t xml:space="preserve">Apoyo: DG competente en RSE (Economía Social y RSE): preparación, apoyo técnico y gestión (art. 2.2); su titular asume la secretaría y «podrá disponer de la asistencia de personal de apoyo» (art. 5.3, redacción RD 301/2026); medios de la SE de Economía Social (DA 4.ª). vocales: 56.</t>
  </si>
  <si>
    <t xml:space="preserve">Consejo Estatal del Pueblo Gitano</t>
  </si>
  <si>
    <t xml:space="preserve">2005-07-22</t>
  </si>
  <si>
    <t xml:space="preserve">RD 891/2005</t>
  </si>
  <si>
    <t xml:space="preserve">Participación de movimiento asociativo gitano y asesoramiento de políticas de inclusión.</t>
  </si>
  <si>
    <t xml:space="preserve">Juicio: representación/consulta, no potestad sancionadora ni poder de ejecución autónomo.</t>
  </si>
  <si>
    <t xml:space="preserve">Sin presupuesto propio (verificado en norma). RD 891/2005, disposición adicional segunda «Financiación»: «El coste de funcionamiento del Consejo Estatal del Pueblo Gitano será atendido con cargo a los créditos existentes en el Ministerio de Trabajo y Asuntos Sociales, sin que sea necesario el incremento de su dotación global». Art. 8.1: secretario, el titular de la SG de Programas Sociales, «que podrá ser asistido por el personal de apoyo necesario». La web del Ministerio de Derechos Sociales, Consumo y Agenda 2030 sitúa hoy la secretaría en la SG de Servicios Sociales. El coste lo absorbe esa SG y no se prorratea. En el Pleno de 20/02/2024 (acta publicada) se acordó poner en marcha una Oficina/Secretaría Técnica «con medios propios» antes de fin de año, pero no se ha localizado ningún contrato, subvención ni importe específico. Las cifras de esa acta (CODI, Plan de Desarrollo Gitano) son programas de política gitana y NO presupuesto del Consejo. Actividad: Pleno de 20/02/2024; la Orden DCA/935/2026 (BOE 05/09/2026) convoca la renovación de vocalías.</t>
  </si>
  <si>
    <t xml:space="preserve">Creación acreditada; actividad reciente no auditada.</t>
  </si>
  <si>
    <t xml:space="preserve">https://www.boe.es/boe/dias/2005/08/26/pdfs/A29622-29625.pdf
https://www.boe.es/buscar/pdf/2005/BOE-A-2005-14549-consolidado.pdf
https://www.dsca.gob.es/es/derechos-sociales/poblacion-gitana/consejo-estatal
https://dsca.gob.es/sites/default/files/derechos-sociales/poblacion-gitana/docs/Acta_Pleno_200224__Censurado_0.pdf
https://boe.es/boe/dias/2026/09/05/pdfs/BOE-A-2026-18697.pdf</t>
  </si>
  <si>
    <t xml:space="preserve">Sin plantilla propia (verificado en norma: RD 891/2005, DA 2.ª y art. 8.1, personal de apoyo de la SG ministerial). No se publica el n.º de efectivos; los vocales no son plantilla</t>
  </si>
  <si>
    <t xml:space="preserve">Sin crédito de personal propio: el coste lo absorbe la SG de Servicios Sociales (Ministerio de Derechos Sociales, Consumo y Agenda 2030); no se prorratea</t>
  </si>
  <si>
    <t xml:space="preserve">No tiene presupuesto, plantilla ni capítulo 1 propios (RD 891/2005, DA 2.ª, verificado). Sin prorrateo. Secretaría técnica acordada en 2024 sin importe localizado</t>
  </si>
  <si>
    <t xml:space="preserve">Sin plantilla propia. Secretaría: SG de Servicios Sociales según la web ministerial; la norma de 2005 decía SG de Programas Sociales (art. 8.1), con personal de apoyo de esa unidad. La Oficina/Secretaría Técnica acordada en el Pleno de 20/02/2024 se pondría en marcha «con medios propios», sin importe ni n.º de personas localizados. Hay 40 vocalías en el Pleno; no son plantilla.</t>
  </si>
  <si>
    <t xml:space="preserve">Dictámenes sobre proyectos normativos sometidos a su consideración</t>
  </si>
  <si>
    <t xml:space="preserve">RD 891/2005 art.3.1(d)</t>
  </si>
  <si>
    <t xml:space="preserve">https://www.boe.es/boe/dias/2005/08/26/pdfs/A29622-29625.pdf</t>
  </si>
  <si>
    <t xml:space="preserve">Participación: pueblo gitano</t>
  </si>
  <si>
    <t xml:space="preserve">Apoyo: Secretaría: titular de la SG de Programas Sociales, que «podrá ser asistido por el personal de apoyo necesario» (art. 8.1 RD 891/2005); la web ministerial la sitúa hoy en la SG de Servicios Sociales. Coste con cargo a créditos del ministerio (DA 2.ª). vocales: 42.</t>
  </si>
  <si>
    <t xml:space="preserve">Consejo de Participación de la Mujer</t>
  </si>
  <si>
    <t xml:space="preserve">Órgano colegiado nuevo creado por ley y regulado después</t>
  </si>
  <si>
    <t xml:space="preserve">2007-03-22</t>
  </si>
  <si>
    <t xml:space="preserve">LO 3/2007, art.78; RD 1791/2009, 20 de noviembre</t>
  </si>
  <si>
    <t xml:space="preserve">Canalizar participación de asociaciones y entidades de mujeres en igualdad; informes y propuestas.</t>
  </si>
  <si>
    <t xml:space="preserve">Juicio: consultivo, sin facultad general de imponer medidas o sanciones.</t>
  </si>
  <si>
    <t xml:space="preserve">Sin presupuesto propio (verificado en norma). RD 1791/2009, disposición adicional cuarta «Financiación»: «Para el desempeño de sus funciones, el Consejo de Participación de la Mujer contará con los créditos presupuestarios que asigne el Ministerio de Igualdad, sin que en ningún caso pueda originarse incremento del gasto público». Secretaría: tras la disposición final segunda del RD 634/2026 (Estatutos del Instituto de las Mujeres, O.A., BOE 30/07/2026), el art. 7.1 dice: «Ejercerá la secretaría la persona que ostente la Presidencia del Instituto de las Mujeres, O.A.». El coste lo absorbe el Ministerio de Igualdad / Instituto de las Mujeres, O.A. No se prorratea ni se le atribuye el presupuesto del Instituto. No se ha identificado ningún crédito con su nombre. La norma no regula retribuciones ni indemnizaciones de las vocalías.</t>
  </si>
  <si>
    <t xml:space="preserve">Ámbito compartido; sector especializado</t>
  </si>
  <si>
    <t xml:space="preserve">48, 50</t>
  </si>
  <si>
    <t xml:space="preserve">Igualdad y participación: consejo general de mujeres, observatorio I+D+i y observatorio cultural. Sectores y funciones no equivalentes.</t>
  </si>
  <si>
    <t xml:space="preserve">https://www.boe.es/buscar/act.php?id=BOE-A-2009-20160
https://www.boe.es/boe/dias/2018/12/11/pdfs/BOE-A-2018-16905.pdf
https://www.boe.es/buscar/act.php?id=BOE-A-2020-13026
https://www.cultura.gob.es/dam/jcr:85ee66d9-d300-4e8a-9903-07653ae01b27/report-orden-reguladora-observatorio-igualdad.pdf
https://www.cultura.gob.es/cultura/mc/espacio-igualdad/observatorio.html</t>
  </si>
  <si>
    <t xml:space="preserve">https://www.boe.es/buscar/act.php?id=BOE-A-2009-20160
https://www.boe.es/eli/es/rd/2009/11/20/1791/con
https://www.boe.es/eli/es/rd/2009/11/20/1791/con/20260730
https://boe.es/buscar/pdf/2026/BOE-A-2026-16550-consolidado.pdf</t>
  </si>
  <si>
    <t xml:space="preserve">Sin plantilla propia (verificado en norma: RD 1791/2009, DA 4.ª y art. 7, apoyo del Instituto de las Mujeres, O.A.). No se publica el n.º de efectivos</t>
  </si>
  <si>
    <t xml:space="preserve">Sin crédito de personal propio: el coste lo absorben el Ministerio de Igualdad y el Instituto de las Mujeres, O.A.; no se prorratea</t>
  </si>
  <si>
    <t xml:space="preserve">Sin ejecución de personal propia: el gasto está incluido en el Instituto de las Mujeres / Ministerio de Igualdad; no se prorratea</t>
  </si>
  <si>
    <t xml:space="preserve">No tiene presupuesto, plantilla ni capítulo 1 propios (RD 1791/2009, DA 4.ª, verificado). Secretaría en el Instituto de las Mujeres desde el RD 634/2026. Sin prorrateo; sin importe contextual</t>
  </si>
  <si>
    <t xml:space="preserve">Sin plantilla propia. Créditos que asigne el Ministerio de Igualdad, sin incremento del gasto público (RD 1791/2009, DA 4.ª). La secretaría corresponde a la Presidencia del Instituto de las Mujeres, O.A. (art. 7.1 en la redacción del RD 634/2026). Los «servicios correspondientes» facilitan asistencia técnica a las vocalías (art. 7.2.d). Las vocalías no son plantilla.</t>
  </si>
  <si>
    <t xml:space="preserve">Consulta sobre anteproyectos de ley y reales decretos cuando se solicita</t>
  </si>
  <si>
    <t xml:space="preserve">No exigencia general sobre leyes en la disposición revisada; sí informe preceptivo sobre Plan Estratégico de Igualdad</t>
  </si>
  <si>
    <t xml:space="preserve">No se exige dictamen favorable en el art 3.2</t>
  </si>
  <si>
    <t xml:space="preserve">Plazo mínimo para informe solicitado:30 días, urgencia 10. Es un trámite consultivo, no veto legislativo acreditado. No confundir el plan con una ley.</t>
  </si>
  <si>
    <t xml:space="preserve">RD 1791/2009 art 3.2</t>
  </si>
  <si>
    <t xml:space="preserve">https://www.boe.es/buscar/act.php?id=BOE-A-2009-20160</t>
  </si>
  <si>
    <t xml:space="preserve">Participación: mujeres</t>
  </si>
  <si>
    <t xml:space="preserve">Apoyo: Secretaría: Presidencia del Instituto de las Mujeres, O.A. (art. 7.1, redacción RD 634/2026); asistencia técnica a las vocalías «por medio de los servicios correspondientes» (art. 7.2.d); créditos del Ministerio de Igualdad (DA 4.ª). vocales: 40.</t>
  </si>
  <si>
    <t xml:space="preserve">Fundación Pluralismo y Convivencia, F.S.P.</t>
  </si>
  <si>
    <t xml:space="preserve">Fundación estatal nueva</t>
  </si>
  <si>
    <t xml:space="preserve">2004-10-15</t>
  </si>
  <si>
    <t xml:space="preserve">Acuerdo Consejo Ministros 15/10/2004; origen reconocido en RD 45/2021</t>
  </si>
  <si>
    <t xml:space="preserve">Promover libertad religiosa, conocimiento del pluralismo, convivencia y apoyo a confesiones minoritarias.</t>
  </si>
  <si>
    <t xml:space="preserve">Juicio: capacidad real de conceder ayudas y ejecutar programas, sin potestad reguladora o sancionadora. Convocatoria 2026 acredita ejecución.</t>
  </si>
  <si>
    <t xml:space="preserve">2025, plan de actuación aprobado por el Patronato el 28/02/2025</t>
  </si>
  <si>
    <t xml:space="preserve">Cifra propia2025 verificada; actual2026 pendiente</t>
  </si>
  <si>
    <t xml:space="preserve">Presupuesto 2025 del Plan de Actuación 2025 (apartado 5 'Presupuesto 2025', pp.17-18): total gastos 2.027.432,75 EUR = 2,027433 M EUR, igual al total de ingresos (transferencia a favor de la Fundación (PGE) 1.980.000; reintegro de ayudas 26.077,75; Comisión Europea, proyecto RE-TO, 21.355). Incluye ayudas monetarias (1.200.000 de concesión directa a federaciones + 146.077,75 de subvenciones contra la intolerancia) y gastos de personal 480.000. Plan aprobado el 28/02/2025 (cuentas anuales 2025, p.20). Ejecución 2025 (cuentas anuales 2025, documento fechado 24/06/2026): total gastos 2.084.510,21 EUR (Nota 3.1, p.7), de ellos ayudas monetarias 1.399.058,44 y gastos de personal 452.388,46 (cuenta de resultados, p.4); transferencia de la AGE 2025 por 1.980.000 EUR para gastos corrientes (aplicación 13.08.912O.441), imputada al ejercicio 1.860.000 (Nota 4.14 p.13; Nota 14.2 p.25). Plan de actuación o presupuesto 2026 no publicado en el portal (consulta 12/10/2026). La convocatoria 2026 de 130.000 EUR (columnas contextuales) es una línea parcial: no sumar.</t>
  </si>
  <si>
    <t xml:space="preserve">Vigente, con estatutos posteriores.</t>
  </si>
  <si>
    <t xml:space="preserve">Falta obtener el presupuesto total vigente y su conciliación con transferencias PGE; no sumar convocatoria y transferencia.</t>
  </si>
  <si>
    <t xml:space="preserve">https://www.pluralismoyconvivencia.es/wp-content/uploads/2021/02/Estatutos-FPyC-2021-1.pdf
https://www.boe.es/diario_boe/txt.php?id=BOE-B-2026-29248
https://www.pluralismoyconvivencia.es/wp-content/uploads/2026/07/802EDU-PLURALISMO-Y-CONVIVENCIA-F.S.-CUENTAS-CA-2025.pdf
https://www.pluralismoyconvivencia.es/wp-content/uploads/2025/03/Plan-Actuacion-2025.pdf
https://www.pluralismoyconvivencia.es/informacion-economica-presupuestaria-y-estadistica/
https://www.pluralismoyconvivencia.es/fundacion/informacion-economica/</t>
  </si>
  <si>
    <t xml:space="preserve">2026</t>
  </si>
  <si>
    <t xml:space="preserve">Convocatoria parcial; NO presupuesto total</t>
  </si>
  <si>
    <t xml:space="preserve">2025</t>
  </si>
  <si>
    <t xml:space="preserve">Personal de la Fundación en 2025 según Nota 13.3 de las cuentas anuales 2025 (p.21): 'en 2025 es de 8 personas a la espera de la incorporación de un nuevo efectivo aprobado por Tasa de reposición ordinaria'. La memoria no precisa si es media anual o plantilla a 31/12. Cumplimiento del plan: 5 asalariados en la actividad A1 y 3 en la A2 (pp.26-29)</t>
  </si>
  <si>
    <t xml:space="preserve">https://www.pluralismoyconvivencia.es/wp-content/uploads/2026/07/802EDU-PLURALISMO-Y-CONVIVENCIA-F.S.-CUENTAS-CA-2025.pdf</t>
  </si>
  <si>
    <t xml:space="preserve">Gastos de personal presupuestados en el Plan de Actuación 2025 (apartado 5, pp.17-18): 480.000,00 EUR; base PyG de fundación, NO capítulo 1</t>
  </si>
  <si>
    <t xml:space="preserve">Presupuesto aprobado de la entidad; no gasto realizado ni solo salarios</t>
  </si>
  <si>
    <t xml:space="preserve">https://www.pluralismoyconvivencia.es/wp-content/uploads/2025/03/Plan-Actuacion-2025.pdf</t>
  </si>
  <si>
    <t xml:space="preserve">2025 año completo (cuentas anuales 2025)</t>
  </si>
  <si>
    <t xml:space="preserve">Partida (64) 8. Gastos de personal de la cuenta de resultados 2025 (p.4): sueldos y salarios 345.249,20 + Seguridad Social a cargo de la entidad 105.326,86 + otros gastos sociales 1.812,40 (Nota 13.3, p.21) = 452.388,46 EUR; base PyG, no capítulo 1</t>
  </si>
  <si>
    <t xml:space="preserve">Fuente primaria cotejada contra fila y unidad EUR; no estimación</t>
  </si>
  <si>
    <t xml:space="preserve">Presupuesto propio 2025 aprobado (plan de actuación), gasto de personal 2025 ejecutado (cuentas anuales) y personal 2025 (8 personas) verificados; presupuesto 2026 no publicado</t>
  </si>
  <si>
    <t xml:space="preserve">Fundación del sector público estatal con personal propio (no ministerial). Retribución de la Dirección General publicada en el portal de transparencia: 'Retribución básica: 50.000,00 euros' y 'Retribución complementaria: 23.917,14 euros' (página 'Información económica, presupuestaria y estadística', consulta 12/10/2026). Gastos de personal 2024: 479.883,05 EUR (comparativo de la cuenta de resultados 2025, p.4).</t>
  </si>
  <si>
    <t xml:space="preserve">Revisado: Pluralismo: asesoramiento y subvenciones</t>
  </si>
  <si>
    <t xml:space="preserve">Fines de investigación, sensibilización y asesoramiento diversidad religiosa; no consulta normativa general en estatutos.</t>
  </si>
  <si>
    <t xml:space="preserve">Estatutos2021 arts7,9</t>
  </si>
  <si>
    <t xml:space="preserve">https://www.boe.es/diario_boe/txt.php?id=BOE-A-2021-1193</t>
  </si>
  <si>
    <t xml:space="preserve">Gastos de personal de la cuenta de resultados (cuentas anuales 2025): sueldos, Seguridad Social y otros gastos sociales; base PyG, no obligaciones reconocidas de capítulo 1</t>
  </si>
  <si>
    <t xml:space="preserve">Cuentas anuales 2025 (portal de transparencia; informe de auditoría 2025 publicado junto a ellas): fila '(64) 8. Gastos de personal' -452.388,46 EUR (2025) y -479.883,05 (2024), p.4. Fundación con contabilidad PGC-ESFL: no hay crédito de cierre ni pagos de capítulo 1 (BO y BQ vacías, NO cero).</t>
  </si>
  <si>
    <t xml:space="preserve">Fundación del sector público que reparte subvenciones a confesiones: el P100 cierra las fundaciones que no demuestren resultados y suprime las subvenciones por existir.</t>
  </si>
  <si>
    <t xml:space="preserve">Explícito en el P100: Costes del Estado 2 y 3</t>
  </si>
  <si>
    <t xml:space="preserve">Libertad religiosa</t>
  </si>
  <si>
    <t xml:space="preserve">Personas del equipo publicado en la web de la Fundación (página 'Equipo', consulta 12/10/2026). Las cuentas anuales de 2025 (Nota 13.3, p. 21) hablan de 8 personas en 2025, entre ellas la trabajadora de limpieza, cuyo gasto (8.960,09 EUR) figura como no afecto a actividades.</t>
  </si>
  <si>
    <t xml:space="preserve">Por función, según el puesto publicado. Núcleo (programas): Subdirectora y responsable de Programas, Estudios e Incidencia; Técnico de Programas e Incidencia (2). Administración y apoyo: Responsable de Administración y gestión económica; Técnico de contratación y adecuación normativa; Técnico de Administración; Secretaria (4). Otro: Directora (1), cargo de dirección general que no se asigna a ninguna de las dos funciones.</t>
  </si>
  <si>
    <t xml:space="preserve">https://www.pluralismoyconvivencia.es/fundacion/equipo/</t>
  </si>
  <si>
    <t xml:space="preserve">Página 'Equipo': 1 Inés Mazarrasa Steinkuhler, Directora; 2 Puerto García Ortiz, Subdirectora, responsable de Programas, Estudios e Incidencia; 3 Rita Gomes Faria, Técnico de Programas e Incidencia; 4 Aurora Fernández García, Responsable de Administración y gestión económica; 5 Lourdes Beltrán Latorre, Técnico de contratación y adecuación normativa; 6 Enrique Marín Serrano, Técnico de Administración; 7 Elena Moraleda Torres, Secretaria. 2+4+1 = 7. Las cuentas anuales de 2025 (https://www.pluralismoyconvivencia.es/wp-content/uploads/2026/07/802EDU-PLURALISMO-Y-CONVIVENCIA-F.S.-CUENTAS-CA-2025.pdf) no traen tabla de personal por categorías: la Nota 13.3 solo da el gasto (sueldos 345.249,20; SS 105.326,86; otros 1.812,40; total 452.388,46 EUR) y las '8 personas'.</t>
  </si>
  <si>
    <t xml:space="preserve">Oficina Independiente de Regulación y Supervisión de la Contratación (OIReScon)</t>
  </si>
  <si>
    <t xml:space="preserve">Órgano colegiado nuevo con independencia funcional</t>
  </si>
  <si>
    <t xml:space="preserve">2017-11-08</t>
  </si>
  <si>
    <t xml:space="preserve">Ley 9/2017, art.332; RD 342/2023</t>
  </si>
  <si>
    <t xml:space="preserve">Supervisar contratación pública, aprobar estrategia e instrucciones, emitir informes y remitir indicios a autoridades competentes.</t>
  </si>
  <si>
    <t xml:space="preserve">Juicio: poder supervisor real y ciertas instrucciones obligatorias en el ámbito legal, pero no tribunal de recursos ni fiscalía ni potestad general de anular contratos.</t>
  </si>
  <si>
    <t xml:space="preserve">No se ha identificado dotación individual en las fuentes consultadas. Se financia con medios del órgano matriz; no equivale a cero EUR y no se le atribuye todo el presupuesto ministerial.</t>
  </si>
  <si>
    <t xml:space="preserve">Creada por ley 2017; funcionamiento desarrollado después.</t>
  </si>
  <si>
    <t xml:space="preserve">No confundir con Junta Consultiva, Tribunal de Recursos Contractuales u Oficina Nacional de Evaluación; falta presupuesto individual actual.</t>
  </si>
  <si>
    <t xml:space="preserve">https://www.boe.es/eli/es/l/2017/11/08/9
https://www.boe.es/eli/es/rd/2023/05/09/342/con
https://www.hacienda.gob.es/rsc/oirescon/informe-anual-actuaciones/informe-anual-actuaciones-2025.pdf</t>
  </si>
  <si>
    <t xml:space="preserve">2025-01-01</t>
  </si>
  <si>
    <t xml:space="preserve">63,83% ocupación; presidenta + 4 vocales + 25 funcionarios</t>
  </si>
  <si>
    <t xml:space="preserve">https://www.hacienda.gob.es/rsc/oirescon/informe-anual-actuaciones/informe-anual-actuaciones-2025.pdf</t>
  </si>
  <si>
    <t xml:space="preserve">Hay dato individual de personal o crédito; ver año y fuente. Salarios ejecutados pendientes</t>
  </si>
  <si>
    <t xml:space="preserve">RPT efectiva (estructura + nuevo ingreso)</t>
  </si>
  <si>
    <t xml:space="preserve">Informe anual de actuaciones 2025 (aprobado el 06/03/2026): a efectos organizativos la Oficina está adscrita al MINHAC a través de su Subsecretaría (nota 7, p.21) y usa el Portal y la Sede Electrónica del MINHAC (pp.24 y 29). A 01/01/2025: RPT efectiva de 47 puestos y 30 ocupados (p.17), 63,83% (p.18); a 31/12/2025, ocupación de la RPT del 66,67% (p.18), sin número de puestos a esa fecha (no se infiere). El informe no da presupuesto, crédito ni coste de personal propio; el encargo a ISDEFE (3 años desde el 15/02/2026) figura sin importe. No se reparte crédito del Ministerio de Hacienda.</t>
  </si>
  <si>
    <t xml:space="preserve">Revisado: OIReScon</t>
  </si>
  <si>
    <t xml:space="preserve">Supervisión de contratación e instrucciones obligatorias AGE; estrategia contratación vinculante para sector público, no autorización legislativa.</t>
  </si>
  <si>
    <t xml:space="preserve">Ley9/2017 art332.6-7</t>
  </si>
  <si>
    <t xml:space="preserve">https://www.boe.es/eli/es/l/2017/11/08/9</t>
  </si>
  <si>
    <t xml:space="preserve">Sin crédito ni ejecución propios: el informe anual 2025 no los publica y la Oficina está adscrita a la Subsecretaría del MINHAC. Ocupación de la RPT: 63,83% a 01/01/2025 y 66,67% a 31/12/2025 (p.18).</t>
  </si>
  <si>
    <t xml:space="preserve">Supervisa la contratación pública con independencia; encaja con las medidas de competencia en licitaciones del P100.</t>
  </si>
  <si>
    <t xml:space="preserve">Aplicando el criterio del P100: Costes del Estado 9 (establecer hechos con independencia)</t>
  </si>
  <si>
    <t xml:space="preserve">Supervisión de la contratación pública</t>
  </si>
  <si>
    <t xml:space="preserve">Personas (efectivos) a 31/12/2025, Tabla 3 de personal por grupo y sexo del Informe anual de actuaciones 2025 (pp. 20-21). Incluye a la Presidenta y a los 4 vocales.</t>
  </si>
  <si>
    <t xml:space="preserve">Proxy por subgrupo, no por función; parte de los A1/A2 hacen gestión. A1+A2 = núcleo; C1+C2 = administración y apoyo. La fuente no tiene subgrupo E ni otro personal ('otro' = 0 según la tabla, que no tiene más filas).</t>
  </si>
  <si>
    <t xml:space="preserve">Tabla 3 (31/12/2025): A1 7 H + 5 M = 12; A2 5 H + 10 M = 15; C1 1 H + 2 M = 3; C2 0 + 0 = 0; Total 13 H + 17 M = 30. Núcleo 12+15 = 27; apoyo 3+0 = 3. La p. 18 confirma que la Oficina 'consolide el número de 30 efectivos' y una ocupación de la RPT del 66,67%. Que el total incluye a Presidenta y vocales se deduce de la Tabla 2 (31/12/2024: A1 13, A2 14, C1 3 = 30), que cuadra con 'presidenta + 4 vocales + otros 25 funcionarios' a 1/1/2025 (p. 17).</t>
  </si>
  <si>
    <t xml:space="preserve">Fusión/reordenación de reguladores existentes, nueva persona jurídica</t>
  </si>
  <si>
    <t xml:space="preserve">2013-06-04</t>
  </si>
  <si>
    <t xml:space="preserve">Ley 3/2013</t>
  </si>
  <si>
    <t xml:space="preserve">Defender competencia y supervisar mercados de energía, telecomunicaciones, audiovisuales, postal y transportes; sanciones, concentraciones y regulación.</t>
  </si>
  <si>
    <t xml:space="preserve">Juicio: poder vinculante muy alto, con inspección, multas y decisiones. No es un cascarón; su presupuesto bruto incorpora transferencias sectoriales.</t>
  </si>
  <si>
    <t xml:space="preserve">Presupuesto propio, crédito inicial 2026 3.686,434 M EUR; modificaciones netas +1.159,919 M; crédito total 4.846,353 M al 31/08/2026. IGAE p.100, cifras publicadas en miles de euros, no gasto ejecutado ni dotación solo administrativa. Separación agosto: capítulo 1 personal 47,618 M; capítulo 2 bienes/servicios 25,567 M; transferencias capital 4.656,642 M. No llamar a todo ello coste de administración.</t>
  </si>
  <si>
    <t xml:space="preserve">Vigente; absorción de organismos en 2013.</t>
  </si>
  <si>
    <t xml:space="preserve">Modificación positiva neta acreditada; no documentado el expediente causante completo. No comparar presupuesto bruto con organismos exclusivamente consultivos.</t>
  </si>
  <si>
    <t xml:space="preserve">Integración legal; Reordenación legal; constitución previa no confirmada; Reordenación legal; no equivalencia de mandato; Mandato paralelo en distinto nivel territorial</t>
  </si>
  <si>
    <t xml:space="preserve">25, 26, 70, 71, 72, 74, 93</t>
  </si>
  <si>
    <t xml:space="preserve">CNC y Comisión del Sector Postal se integraron en CNMC por Ley 3/2013; no son organismos actuales paralelos. No sumar un presupuesto sucesor a los antiguos. | Ley 3/2013 prevé extinción con CNMC; no se ha confirmado por completo la constitución operativa previa. CEMA conserva conflicto entre fuentes. | Ley 3/2013 prevé extinción de Comisión del Juego. No se atribuye su función de juego a CNMC por esa sola cláusula. | Competencia estatal y autonómica. Facultades territoriales distintas; no prueba de expedientes o gasto duplicados.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</si>
  <si>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
https://www.boe.es/eli/es/l/2010/03/31/7
https://www.boe.es/diario_boe/txt.php?id=BOE-A-2011-9735
https://www.cnmc.es/somos-cnmc/sobre-nosotros/que-es-la-cnmc
https://www.boe.es/eli/es/l/2011/05/27/13
https://www.azarplus.com/comision-nacional-del-juego-r-i-p/
https://www.boe.es/eli/es/rdl/2011/08/26/11
https://www.boe.es/buscar/act.php?id=BOE-A-2007-14406
https://www.boe.es/buscar/act.php?id=BOE-A-2012-2313
https://www.euskadi.eus/web01-a3ogaoce/es/contenidos/informacion/ejec_pres_avc_2026/es_def/adjuntos/211_2026_7_DETALLESPORPARTIDAS-GASTOSEINGRESOS_es.pdf</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</si>
  <si>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t>
  </si>
  <si>
    <t xml:space="preserve">efectivos consolidados</t>
  </si>
  <si>
    <t xml:space="preserve">https://www.cnmc.es/sites/default/files/editor_contenidos/CNMC/Memorias/Memoria%20Resumen%20ejecutivo%20CNMC%20web%20.pdf</t>
  </si>
  <si>
    <t xml:space="preserve">Crédito y gasto de personal individual verificados; plantilla ocupada solo si hay cifra y fecha independiente</t>
  </si>
  <si>
    <t xml:space="preserve">RPT/plantilla aprobada y cap.1: pendiente (cuentas anuales CNMC en portal transparencia)</t>
  </si>
  <si>
    <t xml:space="preserve">Participa mediante informe en elaboración de normas y puede recurrir reglamentos</t>
  </si>
  <si>
    <t xml:space="preserve">Participación prevista en art 5.2(a); obligatoriedad depende también de norma sectorial concreta, no resuelta en general</t>
  </si>
  <si>
    <t xml:space="preserve">No veto legislativo general en art 5.2. Sus decisiones/circulares sectoriales pueden ser vinculantes y son una facultad distinta</t>
  </si>
  <si>
    <t xml:space="preserve">Art 5.4: puede impugnar ante tribunales disposiciones de rango inferior a ley que obstaculicen competencia. Recurso no equivale a anulación o suspensión automática; no veto a leyes parlamentarias.</t>
  </si>
  <si>
    <t xml:space="preserve">Ley 3/2013 arts 5.2(a),5.4</t>
  </si>
  <si>
    <t xml:space="preserve">https://www.boe.es/diario_boe/txt.php?id=BOE-A-2013-5940</t>
  </si>
  <si>
    <t xml:space="preserve">Organismo estatal de referencia. 9 comunidades tienen el suyo propio; 10 organismos sobre este tema entre el Estado y las CCAA (verificados).</t>
  </si>
  <si>
    <t xml:space="preserve">Sí: las directivas de energía y comunicaciones exigen un regulador nacional independiente</t>
  </si>
  <si>
    <t xml:space="preserve">Regula mercados y sanciona conductas contra la competencia; el P100 conserva su informe obligatorio. Exigida por la UE.</t>
  </si>
  <si>
    <t xml:space="preserve">Explícito en el P100: Costes del Estado 9; Organización del Estado 11</t>
  </si>
  <si>
    <t xml:space="preserve">Comisión Nacional de la Competencia (CNC)</t>
  </si>
  <si>
    <t xml:space="preserve">Fusión de Tribunal y Servicio de Defensa de la Competencia</t>
  </si>
  <si>
    <t xml:space="preserve">2007-07-03</t>
  </si>
  <si>
    <t xml:space="preserve">Ley 15/2007</t>
  </si>
  <si>
    <t xml:space="preserve">Aplicar derecho de competencia, sancionar conductas y controlar concentraciones.</t>
  </si>
  <si>
    <t xml:space="preserve">Juicio: poder ejecutivo/regulador real mientras existió.</t>
  </si>
  <si>
    <t xml:space="preserve">Sin presupuesto actual propio; extinguida e integrada en CNMC. No atribuir a la antigua CNC todo presupuesto CNMC.</t>
  </si>
  <si>
    <t xml:space="preserve">Extinción prevista Ley 3/2013, ligada a puesta en funcionamiento de CNMC en 2013.</t>
  </si>
  <si>
    <t xml:space="preserve">Fecha exacta de comienzo operativo de CNMC no cerrada en este lote.</t>
  </si>
  <si>
    <t xml:space="preserve">Integración legal</t>
  </si>
  <si>
    <t xml:space="preserve">24, 26</t>
  </si>
  <si>
    <t xml:space="preserve">CNC y Comisión del Sector Postal se integraron en CNMC por Ley 3/2013; no son organismos actuales paralelos. No sumar un presupuesto sucesor a los antiguos.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</si>
  <si>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t>
  </si>
  <si>
    <t xml:space="preserve">https://www.boe.es/eli/es/l/2007/07/03/15
https://www.boe.es/diario_boe/txt.php?id=BOE-A-2013-5940</t>
  </si>
  <si>
    <t xml:space="preserve">Revisado: papel histórico CNC, hoy integrada en CNMC</t>
  </si>
  <si>
    <t xml:space="preserve">Ley15/2007 original art25: en todo caso dictamina proyectos/proposiciones que afecten competencia y reglamentos de desarrollo.</t>
  </si>
  <si>
    <t xml:space="preserve">Histórico, no facultad actual de CNC. Art12.3 permite impugnar disposiciones inferiores a ley; no anula ni suspende por sí sola.</t>
  </si>
  <si>
    <t xml:space="preserve">Ley15/2007 original arts25a,12.3</t>
  </si>
  <si>
    <t xml:space="preserve">https://www.boe.es/diario_boe/txt.php?id=BOE-A-2007-12946</t>
  </si>
  <si>
    <t xml:space="preserve">10 organismos sobre este tema entre el Estado y las CCAA (verificados)</t>
  </si>
  <si>
    <t xml:space="preserve">Extinguida en 2013 al integrarse en la CNMC.</t>
  </si>
  <si>
    <t xml:space="preserve">Comisión Nacional del Sector Postal</t>
  </si>
  <si>
    <t xml:space="preserve">Nueva autoridad sectorial</t>
  </si>
  <si>
    <t xml:space="preserve">2007-10-08</t>
  </si>
  <si>
    <t xml:space="preserve">Ley 23/2007</t>
  </si>
  <si>
    <t xml:space="preserve">Supervisar mercado postal, resolver conflictos, inspeccionar y sancionar.</t>
  </si>
  <si>
    <t xml:space="preserve">Juicio: competencias vinculantes reales mientras existió.</t>
  </si>
  <si>
    <t xml:space="preserve">Sin presupuesto propio actual por integración en CNMC.</t>
  </si>
  <si>
    <t xml:space="preserve">Extinguida por reordenación Ley 3/2013.</t>
  </si>
  <si>
    <t xml:space="preserve">Debe comprobarse fecha de supresión efectiva ligada a CNMC antes de fijar día exacto.</t>
  </si>
  <si>
    <t xml:space="preserve">24, 25</t>
  </si>
  <si>
    <t xml:space="preserve">https://www.boe.es/eli/es/l/2007/10/08/23/con
https://www.boe.es/diario_boe/txt.php?id=BOE-A-2013-5940</t>
  </si>
  <si>
    <t xml:space="preserve">Revisado: órgano consultivo histórico postal</t>
  </si>
  <si>
    <t xml:space="preserve">Art7.1m: informes solicitados por Fomento; no informe previo general obligatorio sobre leyes identificado.</t>
  </si>
  <si>
    <t xml:space="preserve">Sus instrucciones a operadores vinculantes (art17) son distintas de consentimiento para aprobar leyes. Extinta/integrada.</t>
  </si>
  <si>
    <t xml:space="preserve">Ley23/2007 arts7.1m,17</t>
  </si>
  <si>
    <t xml:space="preserve">https://www.boe.es/eli/es/l/2007/10/08/23</t>
  </si>
  <si>
    <t xml:space="preserve">Sector postal</t>
  </si>
  <si>
    <t xml:space="preserve">Agencia Española de Consumo, Seguridad Alimentaria y Nutrición (AECOSAN)</t>
  </si>
  <si>
    <t xml:space="preserve">Fusión de INC y AESAN, no creación inicial de seguridad alimentaria</t>
  </si>
  <si>
    <t xml:space="preserve">2014-01-17</t>
  </si>
  <si>
    <t xml:space="preserve">RD 19/2014</t>
  </si>
  <si>
    <t xml:space="preserve">Coordinación y evaluación de seguridad alimentaria, nutrición y consumo.</t>
  </si>
  <si>
    <t xml:space="preserve">Juicio: función ejecutiva/técnica real, no entidad nacida desde cero.</t>
  </si>
  <si>
    <t xml:space="preserve">Denominación sustituida; importe sucesor fuera del total propio</t>
  </si>
  <si>
    <t xml:space="preserve">No hay presupuesto actual con esta denominación. AESAN sucesora: inicial 19,544 M; modificación +0,827 M; total 20,371 M (IGAE p.44). Ese total no cubre funciones de consumo escindidas.</t>
  </si>
  <si>
    <t xml:space="preserve">Refundición 2014; separación y retorno de AESAN posteriormente.</t>
  </si>
  <si>
    <t xml:space="preserve">La fecha y norma exacta de separación posterior debe completarse antes de darla por extinguida en un día preciso.</t>
  </si>
  <si>
    <t xml:space="preserve">https://www.boe.es/eli/es/rd/2014/01/17/19/con
https://www.igae.pap.hacienda.gob.es/sitios/igae/es-ES/Contabilidad/ContabilidadPublica/CPE/EjecucionPresupuestaria/Documents/ORGANISMOS%2008.%202026.pdf
https://www.igae.pap.hacienda.gob.es/sitios/igae/es-ES/Contabilidad/ContabilidadPublica/CPE/EjecucionPresupuestaria/Documents/ORGANISMOS%2005.%202026%20.pdf</t>
  </si>
  <si>
    <t xml:space="preserve">Crédito de AESAN sucesora, no de AECOSAN</t>
  </si>
  <si>
    <t xml:space="preserve">AESAN</t>
  </si>
  <si>
    <t xml:space="preserve">SIN CIFRA INDIVIDUAL IDENTIFICADA de presupuesto, personal ocupado y salarios ejecutados en fuentes revisadas. No significa cero ni prueba de que nada esté publicado.</t>
  </si>
  <si>
    <t xml:space="preserve">Contexto AESAN, entidad sucesora; NO es gasto de AECOSAN, no sumar. El cap.1 de AESAN ya figura en BN (crédito 10,990 M; obligaciones y pagos 7,085 M hasta 31/08/2026, IGAE 08.2026 p.53) y en BU (2025: 10,860 M). Son cifras de una pasada anterior, no re-cotejadas en esta revisión de 12/10/2026.</t>
  </si>
  <si>
    <t xml:space="preserve">Revisado: AECOSAN histórica, sustitución posterior</t>
  </si>
  <si>
    <t xml:space="preserve">Sí: proyectos de normas que afecten servicios/productos no alimenticios (art4e original). Consejo consultivo: programa de actividades (art23), no todas las leyes.</t>
  </si>
  <si>
    <t xml:space="preserve">Función histórica: no atribuirla como órgano actual independiente ni confundir sucesoraAESAN.</t>
  </si>
  <si>
    <t xml:space="preserve">RD19/2014 arts4e,23</t>
  </si>
  <si>
    <t xml:space="preserve">https://www.boe.es/eli/es/rd/2014/01/17/19/con</t>
  </si>
  <si>
    <t xml:space="preserve">AESAN sucesora: crédito 10,990M, obligaciones 7,085M y pagos 7,085M hasta 31/08/2026. NO se atribuye como gasto propio actual a AECOSAN sustituida. Fuente IGAE p 53.</t>
  </si>
  <si>
    <t xml:space="preserve">AESAN sucesora: gasto personal anual2025 10,860M; pagos10,860M. NO gasto propio de AECOSAN sustituida. https://www.igae.pap.hacienda.gob.es/sitios/igae/es-ES/Contabilidad/ContabilidadPublica/CPE/EjecucionPresupuestaria/Documents/ORGANISMOS%2012.%202025.pdf</t>
  </si>
  <si>
    <t xml:space="preserve">Denominación sustituida: la función continúa en AESAN, que no se cuenta aquí.</t>
  </si>
  <si>
    <t xml:space="preserve">Seguridad alimentaria y consumo</t>
  </si>
  <si>
    <t xml:space="preserve">Agencia de Información y Control Alimentarios (AICA)</t>
  </si>
  <si>
    <t xml:space="preserve">Renombramiento y ampliación de Agencia para el Aceite de Oliva</t>
  </si>
  <si>
    <t xml:space="preserve">2013-08-02</t>
  </si>
  <si>
    <t xml:space="preserve">Ley 12/2013 DA 1; RD 227/2014</t>
  </si>
  <si>
    <t xml:space="preserve">Controlar cadena alimentaria y cumplimiento de contratos, inspecciones y procedimientos sancionadores según régimen vigente.</t>
  </si>
  <si>
    <t xml:space="preserve">Juicio: poder de control real. No contar como nueva entidad independiente del antecedente.</t>
  </si>
  <si>
    <t xml:space="preserve">Presupuesto propio, crédito inicial 2026 9,305 M EUR; modificaciones netas +0,350 M; crédito total 9,655 M al 31/08/2026. IGAE p.43, cifras publicadas en miles de euros, no gasto ejecutado ni dotación solo administrativa.</t>
  </si>
  <si>
    <t xml:space="preserve">Ámbito compartido; funciones distintas</t>
  </si>
  <si>
    <t xml:space="preserve">29</t>
  </si>
  <si>
    <t xml:space="preserve">Cadena alimentaria: AICA controla e inspecciona; el Observatorio estudia precios/costes y recomienda.</t>
  </si>
  <si>
    <t xml:space="preserve">https://www.boe.es/diario_boe/txt.php?id=BOE-A-2013-8554
https://www.igae.pap.hacienda.gob.es/sitios/igae/es-ES/Contabilidad/ContabilidadPublica/CPE/EjecucionPresupuestaria/Documents/ORGANISMOS%2008.%202026.pdf
https://www.mapa.gob.es/es/alimentacion/temas/observatorio-cadena/funcion-estructura-normativa</t>
  </si>
  <si>
    <t xml:space="preserve">https://www.boe.es/diario_boe/txt.php?id=BOE-A-2013-8554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</si>
  <si>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p.23: 80 funcionarios de carrera + 1 personal laboral + 0 otro personal ('-' en la tabla) = 81. Datos a enero de 2026 (la publicación no indica día). Estadística oficial de la DGFP; no son puestos RPT ni número medio anual.</t>
  </si>
  <si>
    <t xml:space="preserve">Revisado: AICA: inspección y sanción</t>
  </si>
  <si>
    <t xml:space="preserve">Control cadena alimentaria y sanciones; no consentimiento legislativo en art3.</t>
  </si>
  <si>
    <t xml:space="preserve">RD227/2014 art3 consolidado</t>
  </si>
  <si>
    <t xml:space="preserve">https://www.boe.es/eli/es/rd/2014/04/04/227/con</t>
  </si>
  <si>
    <t xml:space="preserve">Fuente primaria cotejada: IGAE edición12.2025, tabla y unidad milesEUR. No confundir con comparativa2025 de edición08.2026. Crédito comparativo edición08.2026: 4.092M; crédito cierre12.2025: 4.828M. La diferencia no prueba por sí sola origen/cause de transferencia.</t>
  </si>
  <si>
    <t xml:space="preserve">Sí: la Directiva (UE) 2019/633 exige una autoridad de control de prácticas comerciales desleales</t>
  </si>
  <si>
    <t xml:space="preserve">Inspecciona y sanciona los abusos en la cadena alimentaria: el P100 refuerza esa inspección («lo que se produce se cobra»). Exigida por la UE.</t>
  </si>
  <si>
    <t xml:space="preserve">Explícito en el P100: Crecer y producir 16</t>
  </si>
  <si>
    <t xml:space="preserve">Cadena alimentaria</t>
  </si>
  <si>
    <t xml:space="preserve">Observatorio de la Cadena Alimentaria</t>
  </si>
  <si>
    <t xml:space="preserve">Sucesión/ampliación Observatorio de Precios de Alimentos, creado 2000</t>
  </si>
  <si>
    <t xml:space="preserve">Ley 12/2013</t>
  </si>
  <si>
    <t xml:space="preserve">Analizar precios, costes y funcionamiento de cadena alimentaria; estudios, recomendaciones y diálogo sectorial.</t>
  </si>
  <si>
    <t xml:space="preserve">Juicio: consultivo, no autoridad inspectora ni sancionadora. No confundir con AICA.</t>
  </si>
  <si>
    <t xml:space="preserve">Sin presupuesto propio (verificado en norma). RD 64/2015, art. 13 «Financiación»: «Los gastos derivados de su funcionamiento y de la elaboración de estudios no supondrán, en ningún caso, aumento del gasto público ni sus miembros percibirán dietas por el ejercicio de sus funciones y se financiarán con cargo al Presupuesto de Gastos del Ministerio de Agricultura, Alimentación y Medio Ambiente». La norma atribuye la secretaría a la persona titular de la SG de Estructura de la Cadena Alimentaria (art. 11.1.d). Según la Memoria 2024 del Observatorio, hoy está adscrito a través de la DG de Alimentación y la secretaría la ejerce la titular de la SG de Promoción de los Alimentos de España. El coste lo absorbe el presupuesto del MAPA (DG de Alimentación) y no se prorratea; NO lo financia AICA. La Memoria 2024 no publica presupuesto, personal ni importes de los estudios de cadena de valor. Actividad 2024: plenos el 14/02, 02/07, 14/11 y 11/12/2024.</t>
  </si>
  <si>
    <t xml:space="preserve">Sucesión institucional, no primera creación del observatorio estatal alimentario.</t>
  </si>
  <si>
    <t xml:space="preserve">28</t>
  </si>
  <si>
    <t xml:space="preserve">https://www.boe.es/diario_boe/txt.php?id=BOE-A-2013-8554
https://www.mapa.gob.es/es/alimentacion/temas/observatorio-cadena/funcion-estructura-normativa
https://www.boe.es/eli/es/rd/2015/02/06/64/con
https://www.mapa.gob.es/dam/mapa/contenido/alimentacion/servicios/observatorio-de-precios-de-los-alimentos/memoria-de-actividades/memoria-del-observatorio-de-la-cadena-alimentaria.pdf</t>
  </si>
  <si>
    <t xml:space="preserve">Sin plantilla propia (verificado en norma: RD 64/2015, art. 13; apoyo de la DG de Alimentación del MAPA). No se publica el n.º de efectivos; los vocales no son plantilla</t>
  </si>
  <si>
    <t xml:space="preserve">Sin crédito de personal propio: el coste lo absorbe el MAPA (DG de Alimentación / SG de Promoción de los Alimentos de España); no se prorratea</t>
  </si>
  <si>
    <t xml:space="preserve">Sin ejecución de personal propia: el gasto está incluido en la DG de Alimentación del MAPA; no se prorratea</t>
  </si>
  <si>
    <t xml:space="preserve">No tiene presupuesto, plantilla ni capítulo 1 propios (RD 64/2015, art. 13, verificado). Miembros sin dietas; sin prorrateo; sin importe contextual. 4 plenos en 2024</t>
  </si>
  <si>
    <t xml:space="preserve">Sin plantilla propia. Funcionamiento y estudios con cargo al presupuesto del MAPA (RD 64/2015, art. 13); los miembros no perciben dietas. Apoyo de la DG de Alimentación y secretaría en la SG de Promoción de los Alimentos de España (Memoria 2024). Corrección: AICA es un organismo distinto y no financia el Observatorio según la norma. Los vocales no son plantilla.</t>
  </si>
  <si>
    <t xml:space="preserve">Funciones consultivas revisadas: Estudios/recomendaciones e informe anual a Cortes sobre cadena alimentaria</t>
  </si>
  <si>
    <t xml:space="preserve">Ley 12/2013 art 20</t>
  </si>
  <si>
    <t xml:space="preserve">https://www.boe.es/diario_boe/txt.php?id=BOE-A-2013-8554</t>
  </si>
  <si>
    <t xml:space="preserve">Apoyo: Según la norma, la secretaría es de la SG de Estructura de la Cadena Alimentaria (art. 11.1.d RD 64/2015); según la Memoria 2024, de la SG de Promoción de los Alimentos de España (DG de Alimentación, MAPA). Se financia con el presupuesto del MAPA (art. 13). vocales: 26. miembros: no retribuidos (art. 13 RD 64/2015: «ni sus miembros percibirán dietas por el ejercicio de sus funciones»).</t>
  </si>
  <si>
    <t xml:space="preserve">Organismo Estatal Inspección de Trabajo y Seguridad Social (OEITSS)</t>
  </si>
  <si>
    <t xml:space="preserve">Nueva entidad organizativa con funciones de inspección preexistentes</t>
  </si>
  <si>
    <t xml:space="preserve">2015-07-21</t>
  </si>
  <si>
    <t xml:space="preserve">Ley 23/2015; RD 192/2018, 6 de abril</t>
  </si>
  <si>
    <t xml:space="preserve">Gestionar sistema inspector laboral y Seguridad Social; vigilancia, actas, requerimientos y propuestas sancionadoras.</t>
  </si>
  <si>
    <t xml:space="preserve">Juicio: poder inspector y coercitivo real. La sanción corresponde al órgano legalmente competente; no toda acta equivale a multa decidida por el inspector.</t>
  </si>
  <si>
    <t xml:space="preserve">Presupuesto propio, crédito inicial 2026 203,131 M EUR; modificaciones netas +26,711 M; crédito total 229,842 M al 31/08/2026. IGAE p.42, cifras publicadas en miles de euros, no gasto ejecutado ni dotación solo administrativa.</t>
  </si>
  <si>
    <t xml:space="preserve">Creación legal 2015, estatutos/puesta en marcha 2018.</t>
  </si>
  <si>
    <t xml:space="preserve">https://www.boe.es/eli/es/l/2015/07/21/23/con
https://www.igae.pap.hacienda.gob.es/sitios/igae/es-ES/Contabilidad/ContabilidadPublica/CPE/EjecucionPresupuestaria/Documents/ORGANISMOS%2008.%202026.pdf
https://www.boe.es/eli/es/rd/2018/04/06/192/con
https://digital.gob.es/content/dam/portal-mtdfp/funcion-publica/rcp/boletin/2026_01/revision-agosto-2026/EPSAP_Enero_2026%20.pdf
https://digital.gob.es/content/dam/portal-mtdfp/funcion-publica/rcp/notaepsap/Noticia_EPSAP_Enero_26.pdf
https://oeitss.gob.es/content/dam/oeitss/documentos/2-0-sobre-la-itss/2-3-b-nuestra-actividad/02-recursos%20humanos.pdf</t>
  </si>
  <si>
    <t xml:space="preserve">Efectivos (personas) según Estadística del Personal al Servicio de las AA.PP. (EPSAP) enero 2026, Tabla 3.1 p.24: 3.339 funcionarios de carrera + 74 personal laboral + 183 otro personal = 3.596. Datos a enero de 2026 (la publicación no indica día). Estadística oficial de la DGFP; no son puestos RPT ni número medio anual.</t>
  </si>
  <si>
    <t xml:space="preserve">EPSAP enero 2026 cuenta 3.596 efectivos del O.A. (todo su personal). Contexto, otra fecha y fuente (no sumar ni mezclar): Informe Anual ITSS 2024, cap. Recursos humanos, Tabla 1 p.31: a 31/12/2024 la ITSS-AGE tenía 913 inspectores + 1.298 subinspectores (964 Empleo y SS + 334 SSL) = 2.211; p.33: personal de estructura y apoyo 1.150 efectivos (1.074 funcionarios + 76 laborales; la misma página y el Gráfico 11 dan 1.073/1.149, incoherencia interna). El total del sistema (2.439 inspectores/subinspectores) incluye Inspección de Cataluña (174) y del Gobierno Vasco (54), que no forman parte del O.A. No hay RPT verificada: no se calcula cobertura.</t>
  </si>
  <si>
    <t xml:space="preserve">Revisado: OEITSS Consejo Rector</t>
  </si>
  <si>
    <t xml:space="preserve">Conoce e informa propuestas normativas relativas al Sistema de Inspección; art29d no dice informe favorable ni veto.</t>
  </si>
  <si>
    <t xml:space="preserve">Consejo Rector interno del sistema; no tribunal ni órgano con veto legislativo.</t>
  </si>
  <si>
    <t xml:space="preserve">Ley23/2015 art29d</t>
  </si>
  <si>
    <t xml:space="preserve">https://www.boe.es/eli/es/l/2015/07/21/23/con</t>
  </si>
  <si>
    <t xml:space="preserve">Fuente primaria cotejada: IGAE edición12.2025, tabla y unidad milesEUR. No confundir con comparativa2025 de edición08.2026. Crédito comparativo edición08.2026: 176.453M; crédito cierre12.2025: 187.324M. La diferencia no prueba por sí sola origen/cause de transferencia.</t>
  </si>
  <si>
    <t xml:space="preserve">Inspecciona el trabajo y la Seguridad Social; el P100 le encarga perseguir la contratación irregular y los falsos autónomos.</t>
  </si>
  <si>
    <t xml:space="preserve">Explícito en el P100: Inmigración 4 e Impuestos 3</t>
  </si>
  <si>
    <t xml:space="preserve">Inspección de trabajo</t>
  </si>
  <si>
    <t xml:space="preserve">Personas (efectivos) a 31/12/2024 en la ITSS de ámbito estatal (columna 'ITSS AGE'), según el Informe Anual ITSS 2024, cap. Recursos humanos. Excluye la Inspección de Trabajo de Cataluña (174 inspectores y subinspectores) y la del Gobierno Vasco (54). No se ha localizado un Informe Anual 2025.</t>
  </si>
  <si>
    <t xml:space="preserve">Por función, con las categorías propias del Informe. Inspectores/as de Trabajo y SS (913) + Subinspectores/as (1.298 = 964 de la Escala de Empleo y SS + 334 de la Escala de Seguridad y Salud Laboral) van al núcleo. El 'personal de estructura y de apoyo' (1.150 = 1.074 funcionarios + 76 laborales) va a administración y apoyo. 'Otro' vale 0 por construcción: el Informe reparte todo el personal ITSS-AGE entre esas dos categorías.</t>
  </si>
  <si>
    <t xml:space="preserve">https://oeitss.gob.es/content/dam/oeitss/documentos/2-0-sobre-la-itss/2-3-b-nuestra-actividad/02-recursos%20humanos.pdf</t>
  </si>
  <si>
    <t xml:space="preserve">Informe Anual ITSS 2024, Tabla 1, p.31, a 31/12/2024, columna ITSS AGE: Inspectores/as 913; Subinspectores/as 1.298 (964 ESS + 334 SSL); total 2.211 (total del sistema con ITC y Gobierno Vasco: 2.439). P.33, ap. 2.1.2.B: 'A 31 de diciembre de 2024 la plantilla de personal de estructura y de apoyo es de 1.150 efectivos', 'de los cuales 1.074 son personal funcionario y 76 son personal laboral'. 2.211 + 1.150 = 3.361. Incoherencia interna: el ap. 2.1.2.C (p.33) y el Gráfico 11 (p.34) dan 1.073 funcionarios y 1.149 en total.</t>
  </si>
  <si>
    <t xml:space="preserve">Transformación de organismo/servicio anterior, no origen de sus funciones</t>
  </si>
  <si>
    <t xml:space="preserve">2007-10-26</t>
  </si>
  <si>
    <t xml:space="preserve">RD 1403/2007</t>
  </si>
  <si>
    <t xml:space="preserve">Gestionar y ejecutar política de cooperación y ayuda humanitaria.</t>
  </si>
  <si>
    <t xml:space="preserve">Juicio: actividad ejecutiva o técnica real y presupuesto propio. La transformación no prueba creación de funciones nuevas.</t>
  </si>
  <si>
    <t xml:space="preserve">Presupuesto propio, crédito inicial 2026 704,423 M EUR; modificaciones netas +53,842 M; crédito total 758,265 M al 31/08/2026. IGAE p.99, cifras publicadas en miles de euros, no gasto ejecutado ni dotación solo administrativa.</t>
  </si>
  <si>
    <t xml:space="preserve">73</t>
  </si>
  <si>
    <t xml:space="preserve">Cooperación y ayudas internacionales estatal y andaluza. La coincidencia de mandato no prueba duplicación de proyectos o gasto.</t>
  </si>
  <si>
    <t xml:space="preserve">https://www.boe.es/eli/es/rd/2007/10/26/1403/con
https://www.igae.pap.hacienda.gob.es/sitios/igae/es-ES/Contabilidad/ContabilidadPublica/CPE/EjecucionPresupuestaria/Documents/ORGANISMOS%2008.%202026.pdf
https://www.juntadeandalucia.es/boja/2006/98/d2.pdf
https://www.juntadeandalucia.es/export/presup2026/estado/programas/estadoIII-d-9.pdf</t>
  </si>
  <si>
    <t xml:space="preserve">https://www.boe.es/eli/es/rd/2007/10/26/1403/con
https://www.igae.pap.hacienda.gob.es/sitios/igae/es-ES/Contabilidad/ContabilidadPublica/CPE/EjecucionPresupuestaria/Documents/ORGANISMOS%2008.%202026.pdf</t>
  </si>
  <si>
    <t xml:space="preserve">2026-07-15</t>
  </si>
  <si>
    <t xml:space="preserve">empleados: 407 sede Madrid + 473 exterior</t>
  </si>
  <si>
    <t xml:space="preserve">https://www.aecid.es/informacion-de-recursos-humanos</t>
  </si>
  <si>
    <t xml:space="preserve">RPT laboral de convenio publicada a 15-7-2026 (https://www.aecid.es/documents/d/guest/rpt-aecid-personal-laboral-de-convenio-15-7-2026-pdf); conteo pendiente</t>
  </si>
  <si>
    <t xml:space="preserve">Revisado: AECID: planificación y ejecución cooperación</t>
  </si>
  <si>
    <t xml:space="preserve">Participa planificación/asesoramiento y tiene normas internas; no informe legislativo general en arts3-5. ConsejoCooperación que informa estatuto es otro órgano.</t>
  </si>
  <si>
    <t xml:space="preserve">RD1246/2024 arts3,5</t>
  </si>
  <si>
    <t xml:space="preserve">https://www.boe.es/eli/es/rd/2024/12/10/1246/con</t>
  </si>
  <si>
    <t xml:space="preserve">Fuente primaria cotejada: IGAE edición12.2025, tabla y unidad milesEUR. No confundir con comparativa2025 de edición08.2026. Crédito comparativo edición08.2026: 51.306M; crédito cierre12.2025: 51.38M. La diferencia no prueba por sí sola origen/cause de transferencia.</t>
  </si>
  <si>
    <t xml:space="preserve">Organismo estatal de referencia. 5 comunidades tienen el suyo propio; 6 organismos sobre este tema entre el Estado y las CCAA (verificados).</t>
  </si>
  <si>
    <t xml:space="preserve">Ejecuta la cooperación al desarrollo; el P100 deroga la senda del 0,7%, mantiene la ayuda humanitaria y concentra el resto en países que colaboren en el control migratorio.</t>
  </si>
  <si>
    <t xml:space="preserve">Explícito en el P100: Costes del Estado 5</t>
  </si>
  <si>
    <t xml:space="preserve">Agencia Estatal Boletín Oficial del Estado</t>
  </si>
  <si>
    <t xml:space="preserve">2007-11-12</t>
  </si>
  <si>
    <t xml:space="preserve">RD 1495/2007</t>
  </si>
  <si>
    <t xml:space="preserve">Publicar diario oficial y servicios de difusión normativa.</t>
  </si>
  <si>
    <t xml:space="preserve">Presupuesto propio, crédito inicial 2026 33,114 M EUR; modificaciones netas +0,594 M; crédito total 33,708 M al 31/08/2026. IGAE p.99, cifras publicadas en miles de euros, no gasto ejecutado ni dotación solo administrativa.</t>
  </si>
  <si>
    <t xml:space="preserve">https://www.boe.es/eli/es/rd/2007/11/12/1495
https://www.igae.pap.hacienda.gob.es/sitios/igae/es-ES/Contabilidad/ContabilidadPublica/CPE/EjecucionPresupuestaria/Documents/ORGANISMOS%2008.%202026.pdf
https://www.boe.es/transparencia/documentos/plan_accion_aeboe_2026.pdf
https://www.boe.es/transparencia/informacion_institucional_organizativa_planificacion.php
https://digital.gob.es/content/dam/portal-mtdfp/funcion-publica/rcp/boletin/2026_01/revision-agosto-2026/EPSAP_Enero_2026%20.pdf</t>
  </si>
  <si>
    <t xml:space="preserve">2026-01-01</t>
  </si>
  <si>
    <t xml:space="preserve">270 efectivos a 1/1/2026: 92 funcionarios + 178 laborales (Plan de acción anual 2026 de la AEBOE, ap. 3, p.5). Coincide con EPSAP enero 2026, Tabla 4.1 p.37 (92 funcionarios de carrera + 178 laborales + 0 otro personal = 270). Personas, no puestos RPT.</t>
  </si>
  <si>
    <t xml:space="preserve">https://www.boe.es/transparencia/documentos/plan_accion_aeboe_2026.pdf</t>
  </si>
  <si>
    <t xml:space="preserve">Crédito y gasto de personal individual verificados; plantilla ocupada verificada a 01/01/2026 (Plan de acción 2026, coincide con EPSAP); puestos RPT no verificados</t>
  </si>
  <si>
    <t xml:space="preserve">Plan de acción anual 2026 (ap. 3, p.5) prevé 17 bajas por jubilación y 11 nuevas incorporaciones (6 de OEP) durante 2026: previsión, no dato de plantilla. RPT no verificada.</t>
  </si>
  <si>
    <t xml:space="preserve">Revisado: BOE</t>
  </si>
  <si>
    <t xml:space="preserve">Publica/difunde leyes: publicar no es emitir dictamen favorable ni consentir aprobación.</t>
  </si>
  <si>
    <t xml:space="preserve">RD1495/2007 art6</t>
  </si>
  <si>
    <t xml:space="preserve">https://www.boe.es/eli/es/rd/2007/11/12/1495</t>
  </si>
  <si>
    <t xml:space="preserve">Publica el BOE; se financia en buena parte con sus propios ingresos.</t>
  </si>
  <si>
    <t xml:space="preserve">Aplicando el criterio del P100: Servicio directo</t>
  </si>
  <si>
    <t xml:space="preserve">Diario oficial</t>
  </si>
  <si>
    <t xml:space="preserve">Agencia Estatal Consejo Superior de Investigaciones Científicas (CSIC)</t>
  </si>
  <si>
    <t xml:space="preserve">2007-12-21</t>
  </si>
  <si>
    <t xml:space="preserve">RD 1730/2007</t>
  </si>
  <si>
    <t xml:space="preserve">Realizar investigación científica, desarrollo tecnológico, formación y transferencia.</t>
  </si>
  <si>
    <t xml:space="preserve">Presupuesto propio, crédito inicial 2026 1.213,105 M EUR; modificaciones netas +330,649 M; crédito total 1.543,754 M al 31/08/2026. IGAE p.100, cifras publicadas en miles de euros, no gasto ejecutado ni dotación solo administrativa.</t>
  </si>
  <si>
    <t xml:space="preserve">4, 89, 112, 117</t>
  </si>
  <si>
    <t xml:space="preserve">https://www.boe.es/eli/es/rd/2007/12/21/1730/con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</si>
  <si>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7.136 funcionarios de carrera + 9.767 personal laboral + 227 otro personal = 17.130. Datos a enero de 2026 (la publicación no indica día). Estadística oficial de la DGFP; no son puestos RPT ni número medio anual.</t>
  </si>
  <si>
    <t xml:space="preserve">Revisado: CSIC</t>
  </si>
  <si>
    <t xml:space="preserve">Asesoramiento científico; ComitéCientífico informes internos no aprobación general de leyes.</t>
  </si>
  <si>
    <t xml:space="preserve">RD1730/2007 art5.1j</t>
  </si>
  <si>
    <t xml:space="preserve">https://www.boe.es/eli/es/rd/2007/12/21/1730/con</t>
  </si>
  <si>
    <t xml:space="preserve">Fuente primaria cotejada: IGAE edición12.2025, tabla y unidad milesEUR. No confundir con comparativa2025 de edición08.2026. Crédito comparativo edición08.2026: 553.245M; crédito cierre12.2025: 563.009M. La diferencia no prueba por sí sola origen/cause de transferencia.</t>
  </si>
  <si>
    <t xml:space="preserve">Investiga: unas 7.500 personas de su plantilla son científicos y otras 7.750 técnicos.</t>
  </si>
  <si>
    <t xml:space="preserve">Investigación científica</t>
  </si>
  <si>
    <t xml:space="preserve">Personas a diciembre de 2025 (Memoria Anual CSIC 2025: total en pp.3 y 5; tablas de personal por Área Global en pp.11, 19 y 39; la memoria fecha sus datos 'a 31/12/2025', pp.12 y 20)</t>
  </si>
  <si>
    <t xml:space="preserve">Por función, con las categorías propias del CSIC. Núcleo = 'Investigador' (5.433) + 'Investigador en formación' (predoctorales, 2.032) + 'Técnico' (personal técnico de apoyo a la investigación, 7.751): los técnicos van en el núcleo, pero se indican aparte. Administración = 'Gestión / Admón. / Servicios' (1.139). Otro = 1.116 personas, diferencia entre el total de 17.471 y la suma de las tres Áreas Globales (16.355). Las tablas asignan a los no investigadores según el área de su instituto (ICU), así que estas 1.116 son, previsiblemente, personal de unidades sin área (organización central, delegaciones, servicios). La memoria no las desglosa en las páginas legibles. Si son sobre todo de gestión, la cifra de administración es una cota mínima.</t>
  </si>
  <si>
    <t xml:space="preserve">https://www.csic.es/sites/default/files/document/2026-08-07/Memoria%20Anual%20CSIC%202025.pdf</t>
  </si>
  <si>
    <t xml:space="preserve">Memoria Anual CSIC 2025 (publicada 2026), total p.3 (Carta de la presidenta: 'pasando de 13.888 personas en 2022... a 17.471 en diciembre de 2025') y p.5 ('17.471 personas impulsan la investigación'). Tablas 'Personal' por Área Global (columnas Investigador / Investigador en formación* (*Predoctorales) / Técnico / Gestión-Admón.-Servicios; dos subcolumnas sin etiqueta en el texto extraído). SOCIEDAD p.11 (cifras en orden de extracción: 205; 249; 45; 23; 454; 136; 114; 250; 68; 868; 4,09%; 54; 42; 96): Investigador 205+249=454; Técnico 136+114=250; Gestión/Admón./Servicios 45+23=68; Investigador en formación 54+42=96; Total 868. VIDA p.19 (1.296; 1.726; 420; 366; 3.022; 3.261; 2.114; 5.375; 786; 10.436; 59,73%; 750; 503; 1.253): Investigador 1.296+1.726=3.022; Técnico 3.261+2.114=5.375; Gestión 420+366=786; Formación 750+503=1.253; Total 10.436. MATERIA p.39: Investigador 675+1.282=1.957; Técnico 942+1.184=2.126; Gestión/Admón./Servicios 177+108=285; Formación 261+422=683; Total 5.051 (28,91%). Suma tres áreas: Investigador 454+3.022+1.957=5.433; Investigador en formación 96+1.253+683=2.032; Técnico 250+5.375+2.126=7.751; Gestión/Admón./Servicios 68+786+285=1.139; total áreas 868+10.436+5.051=16.355. Núcleo = 5.433+2.032+7.751 = 15.216 (de ellos 7.465 investigadores incl. predoctorales y 7.751 técnicos). Administración = 1.139. Otro = 17.471-16.355 = 1.116. AVISOS: (1) La tabla es texto OCR de maquetación; en Sociedad, 250=Técnico y 68=Gestión se asignan por la misma posición que en Vida (5.375 técnico / 786 gestión) y cuadran con la Memoria 2024 (Sociedad: técnico 213, gestión 84); una primera reconstrucción automática los invertía: conviene comprobarlo en el PDF. (2) El '4,09%' impreso para Sociedad no cuadra (868/17.471=4,97%); Vida 59,73% y Materia 28,91% sí cuadran con 17.471. (3) Nota p.39: 'El área asignada al personal investigador e investigador en formación es el área personal'; el resto se asigna al ICU de adscripción. COMPLEMENTO por escalas (otra fecha, NO sumado a las columnas): Informe Mujeres Investigadoras 2025 (Comisión Mujeres y Ciencia del CSIC), datos a 31/12/2024, Tabla 3 'Personal investigador por escalas' (p.4-5): Profesores/as de Investigación 639; Investigadores/as Científicos/as 1.050; Científicos/as Titulares 2.100 (escalas funcionariales: 3.789); Ramón y Cajal 225; Postdoctorales 1.180; Predoctorales 1.821; total 7.015. Tabla 1: personal funcionario 7.085 + laboral fijo 1.450 + laboral temporal 7.572 = 16.107. La Tabla 2 recoge el personal directivo (presidencia, vicepresidencias, direcciones de institutos), no altos cargos en sentido legal. La sección 'Recursos Humanos' de la Memoria 2025 (p.86, con funcionarios/laborales por escala) no es legible: la extracción de texto del PDF se corta en la p.39 (79.977 caracteres); igual en la Memoria 2024 (se corta en la p.43).</t>
  </si>
  <si>
    <t xml:space="preserve">Agencia Estatal de Meteorología (AEMET)</t>
  </si>
  <si>
    <t xml:space="preserve">RD 186/2008</t>
  </si>
  <si>
    <t xml:space="preserve">Servicios meteorológicos, vigilancia, avisos y observación.</t>
  </si>
  <si>
    <t xml:space="preserve">Presupuesto propio, crédito inicial 2026 133,758 M EUR; modificaciones netas +67,338 M; crédito total 201,096 M al 31/08/2026. IGAE p.99, cifras publicadas en miles de euros, no gasto ejecutado ni dotación solo administrativa.</t>
  </si>
  <si>
    <t xml:space="preserve">https://www.boe.es/eli/es/rd/2008/02/08/186/con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</si>
  <si>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941 funcionarios de carrera + 44 personal laboral + 73 otro personal = 1.058. Datos a enero de 2026 (la publicación no indica día). Estadística oficial de la DGFP; no son puestos RPT ni número medio anual.</t>
  </si>
  <si>
    <t xml:space="preserve">RPT laboral transparencia.gob.es parcialmente contada (62, PDF posiblemente truncado); RPT funcionario no contada. EPSAP enero 2026 (Tabla 4.1 p.37): 1.058 efectivos ocupados (941 funcionarios de carrera + 44 laborales + 73 otro personal). Sin total RPT verificado: no se calcula cobertura.</t>
  </si>
  <si>
    <t xml:space="preserve">Revisado: AEMET</t>
  </si>
  <si>
    <t xml:space="preserve">Asesoramiento técnico meteorológico; no informe general obligatorio de leyes en art8.</t>
  </si>
  <si>
    <t xml:space="preserve">RD186/2008 art8</t>
  </si>
  <si>
    <t xml:space="preserve">https://www.boe.es/eli/es/rd/2008/02/08/186/con</t>
  </si>
  <si>
    <t xml:space="preserve">gastos de personal (cap.1) crédito; 2026; https://www.aemet.es/documentos/es/conocenos/transparencia/economica-presupuestaria-estadistica/Presupuesto_AEMET_2026.pdf</t>
  </si>
  <si>
    <t xml:space="preserve">IGAE: columnas 2026 crédito / obligaciones / pagos;2025 crédito y obligaciones al mismo 31/08. No comparar 8 meses con año completo. Capítulo 1 no equivale solo a sueldos. PlantillaRPT del lote no incorporada sin verificación adicional. AEMET conserva crédito inicial 43,24706M en columna alternativa; crédito total actualizado 51,574M. Diferentes bases, no contradicción aritmética ni sumar.</t>
  </si>
  <si>
    <t xml:space="preserve">Fuente primaria cotejada: IGAE edición12.2025, tabla y unidad milesEUR. No confundir con comparativa2025 de edición08.2026. Crédito comparativo edición08.2026: 43.832M; crédito cierre12.2025: 45.864M. La diferencia no prueba por sí sola origen/cause de transferencia.</t>
  </si>
  <si>
    <t xml:space="preserve">Predicción meteorológica y avisos; nadie más los presta.</t>
  </si>
  <si>
    <t xml:space="preserve">Meteorología</t>
  </si>
  <si>
    <t xml:space="preserve">https://web2.aemet.es/documentos/es/conocenos/a_que_nos_dedicamos/plan_estrategico/Plan_Estrategico_AEMET_2025-2029.pdf</t>
  </si>
  <si>
    <t xml:space="preserve">Sin cifras absolutas: no se rellenan las columnas numéricas. Plan Estratégico AEMET 2025-2029, pp.18-19 (sección 5, 'Situación de los Recursos Humanos de AEMET'), sin fecha de referencia: plantilla de 'unas 1.000 personas' (cifra redondeada); 95% funcionarios y 5% laborales; 'Cuerpos especiales de meteorología: el 90% de la plantilla'. Por cuerpo: Superior de Meteorólogos del Estado (A1) 22%; Diplomados en Meteorología del Estado (A2) 27% en el texto y 29% en el gráfico; Observadores de Meteorología del Estado (C1) 49%. Con 29%, los tres suman 100%, así que parecen repartir solo los cuerpos especiales. Además, 70% del personal está en Delegaciones Territoriales (en otro gráfico, 69%). No se convierten en número: serían porcentajes sobre un total redondeado, es decir, una estimación. Lectura: unos 9 de cada 10 trabajadores son de cuerpos técnicos de meteorología; el resto (~10%) son cuerpos generales/administración y laborales, sin cifra exacta.</t>
  </si>
  <si>
    <t xml:space="preserve">Agencia estatal Agencia Española de Medicamentos y Productos Sanitarios (AEMPS)</t>
  </si>
  <si>
    <t xml:space="preserve">2011-09-16</t>
  </si>
  <si>
    <t xml:space="preserve">RD 1275/2011</t>
  </si>
  <si>
    <t xml:space="preserve">Autorizar, supervisar e inspeccionar medicamentos y productos sanitarios.</t>
  </si>
  <si>
    <t xml:space="preserve">Presupuesto propio, crédito inicial 2026 80,525 M EUR; modificaciones netas +14,830 M; crédito total 95,355 M al 31/08/2026. IGAE p.99, cifras publicadas en miles de euros, no gasto ejecutado ni dotación solo administrativa.</t>
  </si>
  <si>
    <t xml:space="preserve">https://www.boe.es/eli/es/rd/2011/09/16/1275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
https://memoria.aemps.gob.es/docs/memoria-2025.pdf</t>
  </si>
  <si>
    <t xml:space="preserve">Efectivos (personas) según Estadística del Personal al Servicio de las AA.PP. (EPSAP) enero 2026, Tabla 4.1 p.37: 525 funcionarios de carrera + 68 personal laboral + 36 otro personal = 629. Datos a enero de 2026 (la publicación no indica día). Estadística oficial de la DGFP; no son puestos RPT ni número medio anual.</t>
  </si>
  <si>
    <t xml:space="preserve">Memoria de actividades AEMPS 2025, p.6 (organigrama): '525 Personal científico-técnico', '108 Funciones administrativas', '22 Becas de formación', '12 Red de expertos', sin fecha ni definición de cómputo: no usadas como plantilla (becarios y red de expertos no son plantilla). La plantilla ocupada se toma de EPSAP enero 2026.</t>
  </si>
  <si>
    <t xml:space="preserve">Revisado: AEMPS propuestas normativas</t>
  </si>
  <si>
    <t xml:space="preserve">Art7.38: propone proyectos de disposiciones generales, directrices/circulares; no consentimiento general a leyes.</t>
  </si>
  <si>
    <t xml:space="preserve">Regulación técnica y autorizaciónmedicamentos no equivalen a veto parlamentario.</t>
  </si>
  <si>
    <t xml:space="preserve">RD1275/2011 art7.38</t>
  </si>
  <si>
    <t xml:space="preserve">https://www.boe.es/eli/es/rd/2011/09/16/1275</t>
  </si>
  <si>
    <t xml:space="preserve">Sí: la normativa farmacéutica de la UE exige una autoridad nacional competente</t>
  </si>
  <si>
    <t xml:space="preserve">Autoriza e inspecciona medicamentos y productos sanitarios.</t>
  </si>
  <si>
    <t xml:space="preserve">Medicamentos</t>
  </si>
  <si>
    <t xml:space="preserve">Personas del 'Equipo AEMPS' según la figura 02 de la Memoria de actividades de la AEMPS 2025 (p.6, 'Órganos y estructura de la AEMPS'); ejercicio 2025, sin fecha de corte explícita (memoria publicada el 2/6/2026)</t>
  </si>
  <si>
    <t xml:space="preserve">Por función, con las categorías propias de la memoria. Núcleo = 'Personal científico-técnico' (525): evaluadores, inspectores y técnicos, sin separar en la fuente. Administración = 'Funciones administrativas' (108). Otro = 'Becas de formación' (22): becarios en formación, no plantilla. Sin becas, la plantilla sería 633 (EPSAP ene-2026: 629). Quedan excluidos la 'Red de expertos' y los 'Comités técnicos' (79 y 12), que son colaboradores externos y figuran en un bloque aparte de la figura.</t>
  </si>
  <si>
    <t xml:space="preserve">https://memoria.aemps.gob.es/docs/memoria-2025.pdf</t>
  </si>
  <si>
    <t xml:space="preserve">Memoria de actividades AEMPS 2025, p.6, bloque 'EQUIPO AEMPS' de la figura 02. Fragmentos literales del texto extraído: '525 Personal científicotécnico', '108 Funciones administrativas 22 Becas de formación' y un '655' suelto junto a 'FIGURA 02'. Comprobación: 525+108+22=655. Bloque aparte 'RED DE EXPERTOS': 79 'Red de expertos' y 12 'Comités técnicos'. La asignación 79/12 es ambigua en la extracción (una lectura anterior daba '12 Red de expertos'), pero no afecta al desglose. Aviso: 525 coincide con los funcionarios de carrera de la EPSAP ene-2026 (525). Es otra fuente; no se ha verificado que la etiqueta 'científico-técnico' no sea en realidad 'funcionarios'. La página no tiene apartado de RRHH ni fecha de corte.</t>
  </si>
  <si>
    <t xml:space="preserve">Instituto de Vivienda, Infraestructura y Equipamiento de la Defensa (INVIED)</t>
  </si>
  <si>
    <t xml:space="preserve">Fusión y reordenación de gestión inmobiliaria de Defensa</t>
  </si>
  <si>
    <t xml:space="preserve">2010-10-15</t>
  </si>
  <si>
    <t xml:space="preserve">RD 1286/2010</t>
  </si>
  <si>
    <t xml:space="preserve">Gestionar vivienda, inmuebles, infraestructuras y equipamiento de Defensa.</t>
  </si>
  <si>
    <t xml:space="preserve">Juicio: poder patrimonial y contractual real, no observatorio.</t>
  </si>
  <si>
    <t xml:space="preserve">Presupuesto propio, crédito inicial 2026 255,108 M EUR; modificaciones netas +75,500 M; crédito total 330,608 M al 31/08/2026. IGAE p.42, cifras publicadas en miles de euros, no gasto ejecutado ni dotación solo administrativa.</t>
  </si>
  <si>
    <t xml:space="preserve">https://www.boe.es/diario_boe/txt.php?id=BOE-A-2010-16133
https://www.igae.pap.hacienda.gob.es/sitios/igae/es-ES/Contabilidad/ContabilidadPublica/CPE/EjecucionPresupuestaria/Documents/ORGANISMOS%2008.%202026.pdf</t>
  </si>
  <si>
    <t xml:space="preserve">77 funcionarios + 29 laborales + 91 militares; cobertura 58,1%</t>
  </si>
  <si>
    <t xml:space="preserve">https://www.defensa.gob.es/invied/13-transparencia/Informacion_Institucional/Plantilla.html</t>
  </si>
  <si>
    <t xml:space="preserve">puestos RPT (civil funcionario+laboral y militar)</t>
  </si>
  <si>
    <t xml:space="preserve">Revisado: INVIED: informes urbanísticos y técnicos</t>
  </si>
  <si>
    <t xml:space="preserve">Informes técnicos de instrumentos territoriales/urbanísticos y planes infraestructura; no consentimiento general a leyes.</t>
  </si>
  <si>
    <t xml:space="preserve">RD1286/2010 arts7m,n;16.5e</t>
  </si>
  <si>
    <t xml:space="preserve">https://www.boe.es/diario_boe/txt.php?id=BOE-A-2010-16133</t>
  </si>
  <si>
    <t xml:space="preserve">Fuente primaria cotejada: IGAE edición12.2025, tabla y unidad milesEUR. No confundir con comparativa2025 de edición08.2026. Crédito comparativo edición08.2026: 14.568M; crédito cierre12.2025: 14.784M. La diferencia no prueba por sí sola origen/cause de transferencia.</t>
  </si>
  <si>
    <t xml:space="preserve">Gestiona viviendas e inmuebles de Defensa; el P100 obliga a inventariar sus suelos y a vender o ceder lo que no tenga uso.</t>
  </si>
  <si>
    <t xml:space="preserve">Explícito en el P100: Costes del Estado 10</t>
  </si>
  <si>
    <t xml:space="preserve">Vivienda e infraestructura de Defensa</t>
  </si>
  <si>
    <t xml:space="preserve">Confederación Hidrográfica del Miño-Sil</t>
  </si>
  <si>
    <t xml:space="preserve">División de Confederación Hidrográfica del Norte, no sistema competencial nuevo</t>
  </si>
  <si>
    <t xml:space="preserve">2008-02-22</t>
  </si>
  <si>
    <t xml:space="preserve">RD 266/2008</t>
  </si>
  <si>
    <t xml:space="preserve">Administración y policía de aguas, concesiones, planificación e infraestructuras en demarcación.</t>
  </si>
  <si>
    <t xml:space="preserve">Juicio: autoridad administrativa real sobre aguas; distinguir ámbito competencial de primera creación de entidad.</t>
  </si>
  <si>
    <t xml:space="preserve">Presupuesto propio, crédito inicial 2026 48,162 M EUR; modificaciones netas +4,070 M; crédito total 52,232 M al 31/08/2026. IGAE p.43, cifras publicadas en miles de euros, no gasto ejecutado ni dotación solo administrativa.</t>
  </si>
  <si>
    <t xml:space="preserve">Ámbito compartido; jurisdicciones distintas</t>
  </si>
  <si>
    <t xml:space="preserve">38, 84</t>
  </si>
  <si>
    <t xml:space="preserve">Políticas y gestión de aguas en demarcaciones y ámbito autonómico diferentes. No identidad de territorio ni duplicación presupuestaria demostrada.</t>
  </si>
  <si>
    <t xml:space="preserve">https://www.boe.es/eli/es/rd/2008/02/22/266/con
https://www.igae.pap.hacienda.gob.es/sitios/igae/es-ES/Contabilidad/ContabilidadPublica/CPE/EjecucionPresupuestaria/Documents/ORGANISMOS%2008.%202026.pdf
https://www.boe.es/eli/es-cm/l/2009/12/17/6</t>
  </si>
  <si>
    <t xml:space="preserve">https://www.boe.es/eli/es/rd/2008/02/22/266/con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</si>
  <si>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p.24: 158 funcionarios de carrera + 52 personal laboral + 0 otro personal ('-' en la tabla) = 210. Datos a enero de 2026 (la publicación no indica día). Estadística oficial de la DGFP; no son puestos RPT ni número medio anual.</t>
  </si>
  <si>
    <t xml:space="preserve">Revisado: Confederación, informes previos planes y ordenanzas</t>
  </si>
  <si>
    <t xml:space="preserve">Sí: actos/planes autonómicos y ordenanzas locales que afecten aguas o dominio públicohidráulico; nuevasdemandas requieren juicio suficienciarecursos. No todas lasleyes.</t>
  </si>
  <si>
    <t xml:space="preserve">TRLA: silencio desfavorable. TRLS: determinante para memoriaambiental, apartarse exige motivaciónexpresa. No permiso general para ley.</t>
  </si>
  <si>
    <t xml:space="preserve">Puede condicionar planificación/actos sectoriales. Efecto vinculante concreto requiere examinar recursos/procedimiento y jurisprudencia; no veto parlamentario.</t>
  </si>
  <si>
    <t xml:space="preserve">TRLA RDL1/2001 art25.4; TRLS RDL7/2015 art22.3</t>
  </si>
  <si>
    <t xml:space="preserve">https://boe.es/buscar/act.php?id=BOE-A-2001-14276&amp;p=20231228&amp;tn=0
https://www.boe.es/buscar/act.php?id=BOE-A-2015-11723</t>
  </si>
  <si>
    <t xml:space="preserve">Fuente primaria cotejada: IGAE edición12.2025, tabla y unidad milesEUR. No confundir con comparativa2025 de edición08.2026. Crédito comparativo edición08.2026: 8.375M; crédito cierre12.2025: 8.784M. La diferencia no prueba por sí sola origen/cause de transferencia.</t>
  </si>
  <si>
    <t xml:space="preserve">Confederación hidrográfica: organismo autónomo estatal que gestiona el agua de su cuenca; no duplica a ningún organismo autonómico. La medida 12 de «Menos normas» cambia el régimen de sus informes (silencio favorable y plazo único), pero es un cambio de procedimiento que afecta a todos los organismos que informan planes, igual que la medida 9 de Costes a la CNMC o la AIReF, que siguen en Mantener. Solo Miño-Sil y Cantábrico están en el inventario (creadas o transformadas desde 2004); el resto de cuencas no tiene ficha.</t>
  </si>
  <si>
    <t xml:space="preserve">Aplicando el criterio del P100: Servicio directo; Menos normas 12 solo cambia el régimen de sus informes</t>
  </si>
  <si>
    <t xml:space="preserve">Agua (cuencas hidrográficas)</t>
  </si>
  <si>
    <t xml:space="preserve">Confederación Hidrográfica del Cantábrico</t>
  </si>
  <si>
    <t xml:space="preserve">Presupuesto propio, crédito inicial 2026 25,386 M EUR; modificaciones netas +2,105 M; crédito total 27,491 M al 31/08/2026. IGAE p.43, cifras publicadas en miles de euros, no gasto ejecutado ni dotación solo administrativa.</t>
  </si>
  <si>
    <t xml:space="preserve">37, 84</t>
  </si>
  <si>
    <t xml:space="preserve">Efectivos (personas) según Estadística del Personal al Servicio de las AA.PP. (EPSAP) enero 2026, Tabla 3.1 p.24: 185 funcionarios de carrera + 74 personal laboral + 1 otro personal = 260. Datos a enero de 2026 (la publicación no indica día). Estadística oficial de la DGFP; no son puestos RPT ni número medio anual.</t>
  </si>
  <si>
    <t xml:space="preserve">Fuente primaria cotejada: IGAE edición12.2025, tabla y unidad milesEUR. No confundir con comparativa2025 de edición08.2026. Crédito comparativo edición08.2026: 10.987M; crédito cierre12.2025: 11.069M. La diferencia no prueba por sí sola origen/cause de transferencia.</t>
  </si>
  <si>
    <t xml:space="preserve">Organismo Autónomo Programas Educativos Europeos (OAPEE), hoy SEPIE</t>
  </si>
  <si>
    <t xml:space="preserve">Organismo nuevo; nombre posterior SEPIE</t>
  </si>
  <si>
    <t xml:space="preserve">2006-12-28 (ley); efectos 2007-01-01</t>
  </si>
  <si>
    <t xml:space="preserve">Creación Ley 42/2006, de 28 de diciembre, DA46, con efectos de 1/01/2007; estatuto RD 903/2007 de 6 de julio</t>
  </si>
  <si>
    <t xml:space="preserve">Gestionar programas europeos educativos y ayudas de movilidad.</t>
  </si>
  <si>
    <t xml:space="preserve">Juicio: capacidad administrativa de gestionar ayudas real; no regulador.</t>
  </si>
  <si>
    <t xml:space="preserve">Presupuesto propio, crédito inicial 2026 53,994 M EUR; modificaciones netas +35,334 M; crédito total 89,328 M al 31/08/2026. IGAE p.44, cifras publicadas en miles de euros, no gasto ejecutado ni dotación solo administrativa.</t>
  </si>
  <si>
    <t xml:space="preserve">Continuidad bajo SEPIE; no contar renombramiento como nueva creación.</t>
  </si>
  <si>
    <t xml:space="preserve">El presupuesto incluye actividad/ayudas, no solo costes de administración.</t>
  </si>
  <si>
    <t xml:space="preserve">https://www.boe.es/buscar/act.php?id=BOE-A-2007-13179
https://www.igae.pap.hacienda.gob.es/sitios/igae/es-ES/Contabilidad/ContabilidadPublica/CPE/EjecucionPresupuestaria/Documents/ORGANISMOS%2008.%202026.pdf
https://www.boe.es/eli/es/l/2006/12/28/42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</si>
  <si>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p.23: 116 funcionarios de carrera + 4 personal laboral + 0 otro personal ('-' en la tabla) = 120. Datos a enero de 2026 (la publicación no indica día). Estadística oficial de la DGFP; no son puestos RPT ni número medio anual.</t>
  </si>
  <si>
    <t xml:space="preserve">Revisado: SEPIE</t>
  </si>
  <si>
    <t xml:space="preserve">GestionaErasmus/programas; órganos internos aprueban presupuesto y plan, no leyes generales.</t>
  </si>
  <si>
    <t xml:space="preserve">RD903/2007 arts3,6</t>
  </si>
  <si>
    <t xml:space="preserve">https://www.boe.es/buscar/act.php?id=BOE-A-2007-13179</t>
  </si>
  <si>
    <t xml:space="preserve">Sí: el Reglamento (UE) 2021/817 exige una agencia nacional de Erasmus+</t>
  </si>
  <si>
    <t xml:space="preserve">Agencia nacional de Erasmus+, exigida por el reglamento europeo.</t>
  </si>
  <si>
    <t xml:space="preserve">Aplicando el criterio del P100: Servicio directo (exigida por la UE)</t>
  </si>
  <si>
    <t xml:space="preserve">Programas educativos europeos</t>
  </si>
  <si>
    <t xml:space="preserve">Sánchez</t>
  </si>
  <si>
    <t xml:space="preserve">Agencia Espacial Española (AEE)</t>
  </si>
  <si>
    <t xml:space="preserve">Agencia nueva que integra funciones previas</t>
  </si>
  <si>
    <t xml:space="preserve">2023-03-07</t>
  </si>
  <si>
    <t xml:space="preserve">RD 158/2023; autorización Ley 17/2022, DA 3</t>
  </si>
  <si>
    <t xml:space="preserve">Coordinar la política espacial, representar a España y ejecutar programas espaciales civiles y de seguridad.</t>
  </si>
  <si>
    <t xml:space="preserve">Juicio: Poder de gestión y asignación real. Presupuesto propio y obligaciones no financieras de 875,964 M EUR a agosto; no es un mero foro.</t>
  </si>
  <si>
    <t xml:space="preserve">Gastos 2026: 315,001 M EUR iniciales; +647,513 M de modificaciones netas; 962,514 M de crédito total a agosto (IGAE p.100). No confundir con ingresos ni con gasto ya pagado.</t>
  </si>
  <si>
    <t xml:space="preserve">31/08/2026 para IGAE; consulta 11/10/2026 para normas y actividad</t>
  </si>
  <si>
    <t xml:space="preserve">Creación acreditada; continuidad legal revisada, sin auditoría completa de actividad.</t>
  </si>
  <si>
    <t xml:space="preserve">Las modificaciones agregadas no identifican cada origen. Los 625 M anunciados para programas ESA el 31/03/2026 no se suman al crédito total: puede haber solapamiento.</t>
  </si>
  <si>
    <t xml:space="preserve">64</t>
  </si>
  <si>
    <t xml:space="preserve">Política espacial ejecutiva frente a apoyo al Consejo de Seguridad Nacional en riesgos aeroespaciales.</t>
  </si>
  <si>
    <t xml:space="preserve">https://www.boe.es/eli/es/rd/2023/03/07/158
https://www.igae.pap.hacienda.gob.es/sitios/igae/es-ES/Contabilidad/ContabilidadPublica/CPE/EjecucionPresupuestaria/Documents/ORGANISMOS%2008.%202026.pdf
https://www.aee.gob.es/Noticias/2026/marzo/inversion-625-millones-euros.html
https://boe.es/buscar/doc.php?id=BOE-A-2020-3638</t>
  </si>
  <si>
    <t xml:space="preserve">https://www.boe.es/eli/es/rd/2023/03/07/158
https://www.igae.pap.hacienda.gob.es/sitios/igae/es-ES/Contabilidad/ContabilidadPublica/CPE/EjecucionPresupuestaria/Documents/ORGANISMOS%2008.%202026.pdf
https://www.aee.gob.es/Noticias/2026/marzo/inversion-625-millones-euros.html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</si>
  <si>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53 funcionarios de carrera + 12 personal laboral + 0 otro personal ('-' en la tabla) = 65. Datos a enero de 2026 (la publicación no indica día). Estadística oficial de la DGFP; no son puestos RPT ni número medio anual.</t>
  </si>
  <si>
    <t xml:space="preserve">Revisado: AEE</t>
  </si>
  <si>
    <t xml:space="preserve">Diseña política/estrategia espacial y planes; no consentimiento legislativo general identificado.</t>
  </si>
  <si>
    <t xml:space="preserve">RD158/2023 art5</t>
  </si>
  <si>
    <t xml:space="preserve">https://www.boe.es/eli/es/rd/2023/03/07/158</t>
  </si>
  <si>
    <t xml:space="preserve">Canaliza programas espaciales y la aportación a la Agencia Espacial Europea, que el CDTI gestionaba hasta 2023; creada después de 2004.</t>
  </si>
  <si>
    <t xml:space="preserve">Aplicando el criterio del P100: Costes del Estado 9 (alguien más ya lo hacía)</t>
  </si>
  <si>
    <t xml:space="preserve">Centro para el Desarrollo Tecnológico y la Innovación (CDTI, E.P.E.)</t>
  </si>
  <si>
    <t xml:space="preserve">Espacio</t>
  </si>
  <si>
    <t xml:space="preserve">Agencia Española de Supervisión de Inteligencia Artificial (AESIA)</t>
  </si>
  <si>
    <t xml:space="preserve">Agencia nueva</t>
  </si>
  <si>
    <t xml:space="preserve">2023-08-22</t>
  </si>
  <si>
    <t xml:space="preserve">RD 729/2023; Ley 28/2022, DA 7</t>
  </si>
  <si>
    <t xml:space="preserve">Supervisión, asesoramiento y formación sobre IA; inspección y sanción en los términos de la normativa aplicable.</t>
  </si>
  <si>
    <t xml:space="preserve">Juicio: Capacidad institucional real, todavía en despliegue. Tiene ejecución de gasto y contratación de personal. No atribuir automáticamente todas las sanciones de un proyecto de ley.</t>
  </si>
  <si>
    <t xml:space="preserve">Gastos 2026: 4,999 M EUR iniciales; +1,995 M de modificaciones; 6,994 M totales. Obligaciones no financieras: 1,828 M (IGAE pp.100,102).</t>
  </si>
  <si>
    <t xml:space="preserve">Alberto Gago nombrado director en diciembre 2025. Las 19 plazas convocadas no son 19 puestos ocupados; 55 empleados era una previsión, no plantilla comprobada. En mayo 2026 la ley española de gobernanza se remitía como proyecto.</t>
  </si>
  <si>
    <t xml:space="preserve">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
https://digital.gob.es/content/dam/portal-mtdfp/funcion-publica/rcp/boletin/2026_01/revision-agosto-2026/EPSAP_Enero_2026%20.pdf
https://digital.gob.es/content/dam/portal-mtdfp/funcion-publica/rcp/notaepsap/Noticia_EPSAP_Enero_26.pdf
https://aesia.digital.gob.es/storage/media/0545dbdb-0d27-4f51-90be-b847e13e7659.pdf
https://www.hacienda.gob.es/BoletinesHacienda/Boletines/2023/84009.pdf</t>
  </si>
  <si>
    <t xml:space="preserve">Efectivos (personas) según Estadística del Personal al Servicio de las AA.PP. (EPSAP) enero 2026, Tabla 4.1 p.37: 26 funcionarios de carrera + 9 personal laboral + 0 otro personal ('-' en la tabla) = 35. Datos a enero de 2026 (la publicación no indica día). Estadística oficial de la DGFP; no son puestos RPT ni número medio anual.</t>
  </si>
  <si>
    <t xml:space="preserve">Memoria y Plan Inicial de Actuación de AESIA (revisión agosto 2024): preveía 23 personas el primer año y 41 puestos para 2024 y siguientes (Tabla 10, p.30, 'PUESTOS CREADOS'/'EFECTIVOS'); es previsión de planificación, no RPT aprobada ni ocupación. Ocupación real EPSAP enero 2026: 35.</t>
  </si>
  <si>
    <t xml:space="preserve">Revisado: AESIA informes de pilotos, no leyes</t>
  </si>
  <si>
    <t xml:space="preserve">Informes preceptivos sobre pilotos/sandboxes AGE; no informes legislativos generales identificados en estatuto.</t>
  </si>
  <si>
    <t xml:space="preserve">Informes sobre pilotos IA y control de sistemas no equivalen a aprobar leyes.</t>
  </si>
  <si>
    <t xml:space="preserve">RD729/2023 art25; funciones estatutarias</t>
  </si>
  <si>
    <t xml:space="preserve">https://www.boe.es/buscar/doc.php?id=BOE-A-2023-18911</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</si>
  <si>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Anual 2025 (BO–BU) sin rellenar: no se han podido leer las págs. 99-119 ('resto de entidades') de la IGAE 12.2025 en la revisión del 12/10/2026. Régimen previo: RD 729/2023, DT 1ª: 'En tanto en cuanto la Agencia no tenga presupuesto aprobado por ley, los gastos se imputarán con cargo al presupuesto del Ministerio de Asuntos Económicos y Transformación Digital'. El gasto de AESIA anterior a su presupuesto propio pudo imputarse al Ministerio; no se reparte.</t>
  </si>
  <si>
    <t xml:space="preserve">Sin cifra anual 2025 verificada: no se ha cotejado la IGAE edición 12.2025 (ORGANISMOS 12. 2025, págs. 99-119, resto de entidades) en esta pasada, porque el texto accesible se corta en la p.27. La edición 08.2026 no trae comparativo 2025 a 31/08. No se afirma que AESIA esté ausente de la edición 12.2025: queda pendiente de cotejo directo. Nulo, NO cero.</t>
  </si>
  <si>
    <t xml:space="preserve">Sí: el Reglamento (UE) 2024/1689 exige una autoridad de vigilancia del mercado de IA</t>
  </si>
  <si>
    <t xml:space="preserve">Vigila el mercado de la inteligencia artificial, como exige el reglamento europeo.</t>
  </si>
  <si>
    <t xml:space="preserve">Inteligencia artificial</t>
  </si>
  <si>
    <t xml:space="preserve">https://aesia.digital.gob.es/storage/media/0545dbdb-0d27-4f51-90be-b847e13e7659.pdf</t>
  </si>
  <si>
    <t xml:space="preserve">Memoria y Plan Inicial de Actuación de AESIA (revisión de agosto de 2024): la persona titular de la Dirección es alto cargo con rango de Director General (Tabla 10, fila 'Director/a General'). La Presidencia la ejerce la persona titular de la Secretaría de Estado de Digitalización e IA, alto cargo del Ministerio que no se cuenta en AESIA.</t>
  </si>
  <si>
    <t xml:space="preserve">Entidad nueva; sucede a la Secretaría General de Administración Digital</t>
  </si>
  <si>
    <t xml:space="preserve">2024-11-05</t>
  </si>
  <si>
    <t xml:space="preserve">RD 1118/2024</t>
  </si>
  <si>
    <t xml:space="preserve">Prestar servicios e infraestructuras digitales comunes y ejecutar la transformación digital de la AGE.</t>
  </si>
  <si>
    <t xml:space="preserve">Juicio: Poder operativo real sobre sistemas y servicios compartidos. La sucesión de funciones no equivale a creación de capacidades desde cero.</t>
  </si>
  <si>
    <t xml:space="preserve">Gastos 2026: 49,972 M EUR iniciales; +155,553 M de modificaciones; 205,525 M totales. Obligaciones no financieras 104,482 M (IGAE pp.100,102).</t>
  </si>
  <si>
    <t xml:space="preserve">El estatuto preserva competencias específicas de AEAT, IGAE, Seguridad Social, Interior y Presidencia; no controla todos los sistemas del Estado.</t>
  </si>
  <si>
    <t xml:space="preserve">https://www.boe.es/buscar/doc.php?id=BOE-A-2024-22929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
https://boe.es/boe/dias/2025/05/10/pdfs/BOE-A-2025-9189.pdf
https://boe.es/boe/dias/2025/01/24/pdfs/BOE-A-2025-1315.pdf</t>
  </si>
  <si>
    <t xml:space="preserve">Efectivos (personas) según Estadística del Personal al Servicio de las AA.PP. (EPSAP) enero 2026, Tabla 4.1 p.37: 416 funcionarios de carrera + 6 personal laboral + 16 otro personal = 438. Datos a enero de 2026 (la publicación no indica día). Estadística oficial de la DGFP; no son puestos RPT ni número medio anual.</t>
  </si>
  <si>
    <t xml:space="preserve">Revisado: AEAD intervención normativa</t>
  </si>
  <si>
    <t xml:space="preserve">Secretaría General informa proyectos normativos de su ámbito y prepara propuestas; no literal preceptivo en esta cláusula.</t>
  </si>
  <si>
    <t xml:space="preserve">Elabora/informa; no facultad de impedir aprobación de ley declarada en art19.</t>
  </si>
  <si>
    <t xml:space="preserve">RD1118/2024 art19</t>
  </si>
  <si>
    <t xml:space="preserve">https://www.boe.es/buscar/doc.php?id=BOE-A-2024-22929</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</si>
  <si>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Anual 2025 (BO–BU) sin rellenar: no se han podido leer las págs. 99-119 de la IGAE 12.2025 en la revisión del 12/10/2026. Atención: la AEAD ya estaba constituida en 2025. En enero de 2025 la constitución efectiva aún estaba pendiente (BOE-A-2025-1315, recital cuarto). El 15/04/2025 firmó como AEAD, sucesora de la SGAD 'desde el momento de su constitución efectiva', un convenio con efectos desde el 17/04/2025 (BOE-A-2025-9189, p.61429). Por tanto, la IGAE 12.2025 podría recogerla con datos de 2025, o su gasto 2025 podría seguir en el presupuesto ministerial; no verificado.</t>
  </si>
  <si>
    <t xml:space="preserve">Sin cifra anual 2025 verificada: la IGAE edición 12.2025 (págs. 99-119) no se ha cotejado en esta pasada, porque el texto accesible se corta en la p.27. La AEAD existía desde algún momento entre enero y abril de 2025, así que es posible que haya ejecución 2025 propia: pendiente de cotejo directo en ORGANISMOS 12. 2025 o en las cuentas anuales 2025 publicadas en BOE. Nulo, NO cero. Revisión 12/10/2026 (2ª ronda): ORGANISMOS 12. 2025 es accesible por WebFetch, pero su texto extraído tiene 60.454 caracteres y termina en la p.27 (tablas de ingresos de OOAA); un offset de 200.000 no devuelve nada. El bloque de gastos por capítulos de 'resto de entidades' (pp.99-119) sigue sin poder cotejarse. La búsqueda de cuentas anuales 2025 o plan de acción de la AEAD en BOE solo devuelve convenios (p. ej. BOE-A-2026-7887, convenio AEAD-Tribunal de Cuentas, sin cifras presupuestarias). Nulo, NO cero.</t>
  </si>
  <si>
    <t xml:space="preserve">Presta los servicios digitales comunes del Estado: es la pieza natural para la web única del P100.</t>
  </si>
  <si>
    <t xml:space="preserve">Aplicando el criterio del P100: Organización del Estado 17</t>
  </si>
  <si>
    <t xml:space="preserve">Autoridad Independiente de Protección del Informante (A.A.I.)</t>
  </si>
  <si>
    <t xml:space="preserve">Autoridad nueva; estatuto 2024</t>
  </si>
  <si>
    <t xml:space="preserve">2023-02-20</t>
  </si>
  <si>
    <t xml:space="preserve">Ley 2/2023; RD 1101/2024</t>
  </si>
  <si>
    <t xml:space="preserve">Canal externo de denuncias, apoyo a informantes, instrucciones y régimen sancionador en su ámbito.</t>
  </si>
  <si>
    <t xml:space="preserve">Juicio: Poder jurídico real: tramita procedimientos e impone sanciones conforme a la Ley 2/2023. La ejecución acredita actividad presupuestaria, no eficacia completa.</t>
  </si>
  <si>
    <t xml:space="preserve">Gastos 2026: 4,288 M EUR iniciales y totales; saldo neto de modificaciones 0. Obligaciones no financieras 1,567 M (IGAE pp.99,101).</t>
  </si>
  <si>
    <t xml:space="preserve">Saldo neto 0 no descarta movimientos compensados entre partidas. Plantilla: 17 de 22 puestos RPT cubiertos (jul-2026, ver columnas de personal) ni sanciones efectivas.</t>
  </si>
  <si>
    <t xml:space="preserve">Ámbito próximo; facultades distintas</t>
  </si>
  <si>
    <t xml:space="preserve">56, 95</t>
  </si>
  <si>
    <t xml:space="preserve">Protección de informantes, prevención de fraude sanitario e investigación administrativa autonómica. No son funciones íntegramente equivalentes ni gasto duplicado acreditado.</t>
  </si>
  <si>
    <t xml:space="preserve">https://www.boe.es/eli/es/l/2023/02/20/2/con
https://boe.es/buscar/doc.php?id=BOE-A-2024-22298
https://www.igae.pap.hacienda.gob.es/sitios/igae/es-ES/Contabilidad/ContabilidadPublica/CPE/EjecucionPresupuestaria/Documents/ORGANISMOS%2008.%202026.pdf
https://www.sanidad.gob.es/organizacion/transparenciaGobierno/OCFCS/docs/ORDEN_MINISTERIAL.OBSERVATORIO_ANTIFRAUDE._FIRMA.pdf
https://www.sanidad.gob.es/organizacion/transparenciaGobierno/OCFCS/home.htm
https://vsf-iwsold-pro-portal.sanidad.gob.es/ca/gabinete/notasPrensa.do?id=6876
https://www.boe.es/buscar/doc.php?id=BOE-A-2016-12048
https://www.antifraucv.es/wp-content/uploads/2026/03/Memoria_Avaf_2025_es.pdf</t>
  </si>
  <si>
    <t xml:space="preserve">https://www.boe.es/eli/es/l/2023/02/20/2/con
https://boe.es/buscar/doc.php?id=BOE-A-2024-22298
https://www.igae.pap.hacienda.gob.es/sitios/igae/es-ES/Contabilidad/ContabilidadPublica/CPE/EjecucionPresupuestaria/Documents/ORGANISMOS%2008.%202026.pdf
https://www.proteccioninformante.gob.es/content/dam/aipi/documentos/PLAN_ACTUACION_ANUAL_2026_AIPI.pdf
https://www.boe.es/eli/es/o/2025/08/08/pjc908
https://www.boe.es/buscar/doc.php?id=BOE-A-2025-16764
https://www.boe.es/buscar/doc.php?id=BOE-A-2025-27082
https://www.boe.es/buscar/doc.php?id=BOE-A-2026-14196</t>
  </si>
  <si>
    <t xml:space="preserve">2026-07</t>
  </si>
  <si>
    <t xml:space="preserve">17 puestos de la RPT cubiertos (personas en puesto RPT; no incluye a la Presidencia, alto cargo). Plan de Actuación Anual 2026 de la AIPI, ap. 2.4, p.19: 'RPT con 22 puestos de los que están cubiertos 17'; Ilustración 3 fechada 'Julio de 2026. Registro Central de Personal'. Sin desglose funcionarios/laborales.</t>
  </si>
  <si>
    <t xml:space="preserve">https://www.proteccioninformante.gob.es/content/dam/aipi/documentos/PLAN_ACTUACION_ANUAL_2026_AIPI.pdf</t>
  </si>
  <si>
    <t xml:space="preserve">Crédito y gasto de personal individual verificados; plantilla ocupada (17) y puestos RPT (22) verificados a julio de 2026 (PAA 2026)</t>
  </si>
  <si>
    <t xml:space="preserve">Puestos RPT según el texto del PAA 2026, p.19 ('RPT con 22 puestos'). La Ilustración 3 (RCP, julio 2026), en lectura automática, lista 24 filas (17 ocupadas 'O', 7 vacantes 'V'): discrepancia interna no resuelta; se adopta la cifra literal del texto.</t>
  </si>
  <si>
    <t xml:space="preserve">Cobertura RPT 77,3% (17/22), misma fuente y fecha (PAA 2026, julio 2026). Inicio de funcionamiento 1/9/2025 (Orden PJC/908/2025), con soporte del Ministerio de Presidencia en RRHH y otros servicios hasta 1/11/2025. Indicador de la Memoria 2025 citado en el PAA (p.9): 'Cobertura de RPT. 8 puestos 44%' (fecha 2025, no comparable). El Plan Inicial de Actuación preveía 42 efectivos (previsión, no dato). Los puestos denominados 'Vocal' en la RPT son puestos de trabajo, no miembros de órgano colegiado.</t>
  </si>
  <si>
    <t xml:space="preserve">Revisado: informe previo obligatorio, AAI informante</t>
  </si>
  <si>
    <t xml:space="preserve">Sí: anteproyectos y proyectos de disposiciones generales de su ámbito.</t>
  </si>
  <si>
    <t xml:space="preserve">RD1101/2024 art3.3; Ley2/2023 art43</t>
  </si>
  <si>
    <t xml:space="preserve">https://www.boe.es/buscar/pdf/2024/BOE-A-2024-22298-consolidado.pdf</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</si>
  <si>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2025 sin presupuesto propio, verificado en norma. La Orden PJC/908/2025 (BOE 12/08/2025) fija la puesta en funcionamiento el 01/09/2025 y dispone en su apartado tercero: 'Hasta que la Autoridad ... disponga de un presupuesto propio su actividad se financiará con cargo a los créditos presupuestarios del Ministerio de la Presidencia, Justicia y Relaciones con las Cortes'. La Orden PJC/1554/2025 (BOE 30/12/2025) justifica en el preámbulo la prórroga del apoyo ministerial para finalizar la puesta en funcionamiento 'una vez cuente con presupuesto propio en 2026'. El gasto 2025 está en el Ministerio y no se reparte.</t>
  </si>
  <si>
    <t xml:space="preserve">Sin cap.1 propio anual 2025: la A.A.I. no tuvo presupuesto propio en 2025. Se financió con créditos del Ministerio de la Presidencia, Justicia y Relaciones con las Cortes (Orden PJC/908/2025, apartado tercero) y el presupuesto propio empieza en 2026 (Orden PJC/1554/2025, preámbulo). Esto es coherente con que la IGAE 08.2026 no traiga comparativo 2025. La IGAE 12.2025 (págs. 99-119) no se ha cotejado directamente. BO-BQ vacíos: nulo, NO cero.</t>
  </si>
  <si>
    <t xml:space="preserve">Sí: la Directiva (UE) 2019/1937 exige autoridades de canal externo de denuncias</t>
  </si>
  <si>
    <t xml:space="preserve">Canal externo de denuncias y protección del informante, exigido por la directiva europea.</t>
  </si>
  <si>
    <t xml:space="preserve">Aplicando el criterio del P100: Costes del Estado 9 (imparcialidad; exigida por la UE)</t>
  </si>
  <si>
    <t xml:space="preserve">Puestos de la RPT ocupados (personas en puesto) en julio de 2026, según el Plan de Actuación Anual 2026, Ilustración 3 (fuente: Registro Central de Personal). No incluye la Presidencia.</t>
  </si>
  <si>
    <t xml:space="preserve">Por función, según la unidad orgánica del Estatuto y la denominación del puesto. El Dpto. de Protección del Informante (art. 20) y el Dpto. de Seguimiento y Régimen Sancionador (art. 21) van al núcleo. La Gerencia (art. 22: RRHH, gestión económico-financiera, contratación, sistemas, patrimonio y asesoría jurídica interna) y los puestos de Secretario/a van a administración y apoyo. La Unidad de Apoyo (Director/a + 3 Vocales; el PAA no describe sus funciones) va a 'otro'.</t>
  </si>
  <si>
    <t xml:space="preserve">PAA 2026, ap. 2.4, p.19: 'RPT con 22 puestos de los que están cubiertos 17'. Ilustración 3 ('Julio de 2026. Registro Central de Personal'), puestos ocupados ('O'). Dpto. Protección del Informante: Director/a N30, Vocal N30, Vocal N30 = 3. Dpto. Seguimiento y Régimen Sancionador: Director/a N30, Vocal N30 = 2. Núcleo: 5. Gerencia: Gerente N30, Jefe/a de Servicio N26 x3, Coordinador/a N29, Jefe/a de Sección N20, Analista N20 = 7. Unidad de Apoyo: Secretario/a N22 = 1. Administración: 8. Unidad de Apoyo: Director/a N30 + Vocal N30 x3 = 4, que van a 'otro'. 5 + 8 + 4 = 17, igual a los cubiertos del texto. La Ilustración tiene 24 filas (17 ocupadas y 7 vacantes) frente a los 22 puestos del texto: la discrepancia no está resuelta y no afecta a los ocupados. Altos cargos: la Presidencia (nombrada por el RD 328/2025, según el PAA), fuera de la RPT. La Ilustración 3 no tiene columnas de subgrupo ni de forma de provisión.</t>
  </si>
  <si>
    <t xml:space="preserve">Autoridad Independiente para la Igualdad de Trato y la No Discriminación</t>
  </si>
  <si>
    <t xml:space="preserve">Autoridad nueva; estatuto julio 2026</t>
  </si>
  <si>
    <t xml:space="preserve">2022-07-12</t>
  </si>
  <si>
    <t xml:space="preserve">Ley 15/2022, art.40; RD 606/2026</t>
  </si>
  <si>
    <t xml:space="preserve">Asistir a víctimas, investigar discriminación, mediar, litigar y emitir informes preceptivos.</t>
  </si>
  <si>
    <t xml:space="preserve">Juicio: Poder jurídico real, distinto del de un regulador sancionador general: investiga, puede acudir a tribunales y la mediación aceptada vincula. Solicita sanciones a la administración competente.</t>
  </si>
  <si>
    <t xml:space="preserve">No se ha identificado crédito propio separado. RD 606/2026, de 22 de julio (BOE-A-2026-16172), disposición transitoria única, apdo.1 (p.104854): 'Hasta que la Autoridad cuente con un presupuesto propio' ... 'su actividad se financiará con cargo a los créditos presupuestarios del Ministerio de Igualdad' ... 'que no afecten a los créditos del Instituto de las Mujeres, O.A.'; apdo.2 (p.104855): el Ministerio de Igualdad presta los servicios y el apoyo administrativo necesario hasta su puesta en funcionamiento en la fecha que determine una orden de la persona titular del Ministerio. Régimen futuro: anteproyecto de presupuesto aprobado por su órgano de gobierno y remitido a Hacienda (art.10.f, p.104864). Importe individual no verificado. IGAE 08.2026, bloque 'resto de entidades': no comprobado (extracción del PDF truncada en la p.27). La MAIN del proyecto de Estatuto (audiencia pública, nov. 2025, p.23) cita un presupuesto provisional 2025 de 112.447,76 EUR con cargo a las aplicaciones 30.01.232M.620, 22002 y 22706 del presupuesto prorrogado de Igualdad, y un coste 2026 con unidades internamente inconsistentes: es una previsión de proyecto, no crédito ni ejecución, y no se usa como cifra.</t>
  </si>
  <si>
    <t xml:space="preserve">Poder legal no es prueba de capacidad desplegada. Faltan presupuesto propio vigente, plantilla ocupada y resultados de expedientes.</t>
  </si>
  <si>
    <t xml:space="preserve">https://www.boe.es/diario_boe/txt.php?id=BOE-A-2026-16172
https://boe.es/diario_boe/txt.php?id=BOE-A-2026-19049
https://www.boe.es/boe/dias/2026/07/25/pdfs/BOE-A-2026-16172.pdf
https://www.igualdad.gob.es/wp-content/uploads/2025/11/MAIN_ESTATUTO_AAI_Audiencia.pdf</t>
  </si>
  <si>
    <t xml:space="preserve">Apoyo ministerial/departamental indicado en el lote y norma de la ficha; gasto individual no desglosado verificado. No repartir gasto total del ministerio. Financiación provisional con créditos del Ministerio de Igualdad (estatuto) Precisión con fuente: RD 606/2026, DT única apdo.1 (p.104854, financiación con créditos de Igualdad sin afectar al Instituto de las Mujeres), apdo.2 (p.104855, apoyo administrativo del Ministerio hasta la puesta en funcionamiento) y apdo.3 (cobertura inicial de los puestos de su RPT, posible por comisión de servicios). Personal propio: funcionario de carrera o laboral (art.19.1). La MAIN (nov. 2025, p.20) preveía una RPT provisional de 19 puestos: previsión de proyecto, no RPT aprobada ni ocupación.</t>
  </si>
  <si>
    <t xml:space="preserve">Revisado: dictamen preceptivo AAI igualdad</t>
  </si>
  <si>
    <t xml:space="preserve">Sí: disposiciones generales de desarrolloLey15/2022 y otras disposiciones, procedimientos, planes y estrategias que afecten igualdad.</t>
  </si>
  <si>
    <t xml:space="preserve">Mediación vinculante para partes (art4e) NO vinculación del dictamen normativo. Trámite previo en ámbito específico. Omitirlo puede generar cuestión procedimental, no veto parlamentario automático; efecto exacto requiere analizar procedimiento.</t>
  </si>
  <si>
    <t xml:space="preserve">RD606/2026 art4l (y4e para distinción)</t>
  </si>
  <si>
    <t xml:space="preserve">https://www.boe.es/diario_boe/txt.php?id=BOE-A-2026-16172</t>
  </si>
  <si>
    <t xml:space="preserve">Sí: las directivas de igualdad de trato exigen un organismo de igualdad</t>
  </si>
  <si>
    <t xml:space="preserve">El P100 la suprime porque duplica funciones de otros organismos; sus garantías pasan al Defensor del Pueblo.</t>
  </si>
  <si>
    <t xml:space="preserve">Explícito en el P100: Derogar el sanchismo; Organización del Estado 5</t>
  </si>
  <si>
    <t xml:space="preserve">Defensor del Pueblo</t>
  </si>
  <si>
    <t xml:space="preserve">Igualdad de trato y no discriminación</t>
  </si>
  <si>
    <t xml:space="preserve">Nueva personalidad jurídica; reemplaza al Instituto para la Evaluación de Políticas Públicas</t>
  </si>
  <si>
    <t xml:space="preserve">2022-12-20</t>
  </si>
  <si>
    <t xml:space="preserve">Ley 27/2022, art.29; RD 65/2026</t>
  </si>
  <si>
    <t xml:space="preserve">Evaluar políticas, estandarizar métodos y coordinar el sistema público de evaluación.</t>
  </si>
  <si>
    <t xml:space="preserve">Juicio: Capacidad técnica e institucional, no veto de políticas ni potestad general para sancionar su fracaso. Constituida 24/04/2026; directora nombrada.</t>
  </si>
  <si>
    <t xml:space="preserve">No se ha localizado crédito propio separado. RD 65/2026, de 3 de febrero (BOE-A-2026-2553), disposición transitoria tercera (p.17526): 'Hasta que la Agencia cuente con un presupuesto propio, los gastos que conlleve su puesta en funcionamiento o su actividad' ... 'se financiarán con cargo a los créditos presupuestarios de la Secretaría de Estado' de la que dependía el Instituto; 'Hasta la aprobación de su presupuesto, la Agencia actuará de acuerdo con el régimen presupuestario' del Instituto. DT primera (p.17525): hasta la aprobación de la RPT de la Agencia, los puestos del Instituto 'subsistirán transitoriamente y serán retribuidos con cargo a los mismos créditos presupuestarios'. Recursos previstos: transferencias consignadas en los PGE e ingresos propios (art.41.1, p.17546); presupuesto de gastos limitativo por su importe global y equilibrado (art.42.2). Puesta en funcionamiento con la sesión constitutiva del Consejo Rector (DA primera, p.17524; según la ficha, 24/04/2026), que suprime el Instituto. Presencia en la IGAE 08.2026: no comprobada (extracción del PDF truncada en la p.27). No cuantificado.</t>
  </si>
  <si>
    <t xml:space="preserve">Consejo Rector constituido 24/04/2026. Sustitución del Instituto, no recuperación sin antecedentes.</t>
  </si>
  <si>
    <t xml:space="preserve">Directora María Milagros Paniagua San Martín. No se ha auditado su primer plan ni plantilla. El RD suprime el Instituto al constituirse la agencia, no la función evaluadora.</t>
  </si>
  <si>
    <t xml:space="preserve">1</t>
  </si>
  <si>
    <t xml:space="preserve">https://www.boe.es/diario_boe/txt.php?id=BOE-A-2026-2553
https://www.boe.es/boe/dias/2026/05/12/pdfs/BOE-A-2026-10246.pdf
https://boe.es/boe/dias/2026/02/04/pdfs/BOE-A-2026-2553.pdf</t>
  </si>
  <si>
    <t xml:space="preserve">Apoyo ministerial/departamental indicado en el lote y norma de la ficha; gasto individual no desglosado verificado. No repartir gasto total del ministerio. Régimen transitorio: gastos con cargo a la Secretaría de Estado precedente Precisión con fuente: RD 65/2026, DT tercera (p.17526, gastos con cargo a los créditos de la Secretaría de Estado hasta tener presupuesto propio); DT primera (p.17525, puestos del Instituto subsisten y se retribuyen con los mismos créditos hasta la RPT de la Agencia); DA sexta (p.17525, integración del personal funcionario del Instituto y subrogación del laboral). El RD no fija número de puestos ni plantilla; la RPT la aprueba el Consejo Rector (arts.16.i y 30.2).</t>
  </si>
  <si>
    <t xml:space="preserve">Revisado: agencia evaluación2026</t>
  </si>
  <si>
    <t xml:space="preserve">Sí: regulación específica evaluación actividades art3.4Ley27/2022. Otros informes sobre normas/planes antes aprobar: a solicitud.</t>
  </si>
  <si>
    <t xml:space="preserve">RD65/2026 art11p y art26n; Ley27/2022 art3.4</t>
  </si>
  <si>
    <t xml:space="preserve">https://www.boe.es/diario_boe/txt.php?id=BOE-A-2026-2553</t>
  </si>
  <si>
    <t xml:space="preserve">Organismo estatal de referencia. 2 comunidades tienen el suyo propio; 3 organismos sobre este tema entre el Estado y las CCAA (verificados).</t>
  </si>
  <si>
    <t xml:space="preserve">Evalúa políticas públicas, la misma función que el P100 encarga a la AIReF.</t>
  </si>
  <si>
    <t xml:space="preserve">Aplicando el criterio del P100: Costes del Estado 1 y 12</t>
  </si>
  <si>
    <t xml:space="preserve">Creación legal nueva con antecedente de centro previsto en Ley 33/2011</t>
  </si>
  <si>
    <t xml:space="preserve">2025-07-28</t>
  </si>
  <si>
    <t xml:space="preserve">Ley 7/2025</t>
  </si>
  <si>
    <t xml:space="preserve">Vigilancia de salud pública, evaluación de amenazas, preparación y respuesta sanitaria, información y asesoramiento.</t>
  </si>
  <si>
    <t xml:space="preserve">Juicio: Mandato sustantivo, pero despliegue efectivo no acreditado en esta revisión. No confundir ley y sede elegida con una agencia plenamente operativa.</t>
  </si>
  <si>
    <t xml:space="preserve">Sin presupuesto propio individual identificado. No se atribuye a la agencia la inversión de vigilancia sanitaria ni el presupuesto de Sanidad. Orden PJC/101/2026 (BOE-A-2026-3787, 18/02/2026, p.25284): la Agencia podría operar 'de manera inmediata desde la sede central del Ministerio de Sanidad' mientras no se fije su sede, y el real decreto de Estatuto 'se encuentra en una fase muy avanzada de tramitación'; el acuerdo de urgencia de 18/11/2025 citaba el hito CID 281 (componente 18 del PRTR), que incluye equipamiento tecnológico de la Agencia, sin importe. Orden PJC/781/2026 (BOE-A-2026-16527, 29/07/2026, p.106639): recuerda que la Ley 7/2025 fijó seis meses para aprobar el Estatuto y no indica que se haya aprobado. Las cifras de la candidatura de Zaragoza incluidas en esa orden (316 puestos de trabajo en la sede definitiva y 67 en la provisional; obras por 20.256.380,23 EUR; mantenimiento asumido por el Gobierno de Aragón durante cinco años; pp.106654-106656) son compromisos de la candidatura autonómica, NO presupuesto ni plantilla de la AESAP. Ley 7/2025 (arts.4-5, régimen económico y presupuestario): no releída en BOE.</t>
  </si>
  <si>
    <t xml:space="preserve">Sede Zaragoza fijada 28/07/2026. No se ha localizado en esta revisión su estatuto aprobado, plantilla efectiva y crédito propio; su ausencia en una búsqueda no prueba inexistencia.</t>
  </si>
  <si>
    <t xml:space="preserve">https://www.boe.es/eli/es/l/2025/07/28/7
https://www.boe.es/diario_boe/txt.php?id=BOE-A-2026-16527
https://boe.es/boe/dias/2026/02/18/pdfs/BOE-A-2026-3787.pdf
https://www.boe.es/boe/dias/2026/07/29/pdfs/BOE-A-2026-16527.pdf</t>
  </si>
  <si>
    <t xml:space="preserve">Apoyo ministerial/departamental indicado en el lote y norma de la ficha; gasto individual no desglosado verificado. No repartir gasto total del ministerio. Medios del Ministerio de Sanidad en fase de constitución Precisión con fuente: Orden PJC/101/2026 (BOE-A-2026-3787, p.25284), operación provisional desde la sede central del Ministerio de Sanidad y Estatuto en tramitación (feb. 2026); Orden PJC/781/2026 (BOE-A-2026-16527), sede física en Zaragoza, sin regular plantilla ni presupuesto. Estatuto aprobado: no localizado a 12/10/2026.</t>
  </si>
  <si>
    <t xml:space="preserve">Revisado: AESAP: asesoramiento y análisis sanitario</t>
  </si>
  <si>
    <t xml:space="preserve">Ley de creación atribuye evaluación, recomendaciones e informes sanitarios; no trámite normativo general. Informes preceptivos AEPD/CISNS en esta ley pertenecen a otros órganos. Estatuto/operación no confirmados.</t>
  </si>
  <si>
    <t xml:space="preserve">Ley7/2025 art2</t>
  </si>
  <si>
    <t xml:space="preserve">https://www.boe.es/eli/es/l/2025/07/28/7/con</t>
  </si>
  <si>
    <t xml:space="preserve">Organismo estatal de referencia. 4 comunidades tienen el suyo propio; 5 organismos sobre este tema entre el Estado y las CCAA (verificados).</t>
  </si>
  <si>
    <t xml:space="preserve">Agencia de salud pública creada en 2025, sin presupuesto ni actividad acreditada; el Ministerio ya tiene vigilancia y alertas sanitarias.</t>
  </si>
  <si>
    <t xml:space="preserve">El P100 aún no tiene apartado de Sanidad</t>
  </si>
  <si>
    <t xml:space="preserve">Ministerio de Sanidad (criterio Costes del Estado 9)</t>
  </si>
  <si>
    <t xml:space="preserve">Observatorio del Comercio 4.0</t>
  </si>
  <si>
    <t xml:space="preserve">Órgano colegiado; suprime el Observatorio de Pagos con Tarjeta Electrónica</t>
  </si>
  <si>
    <t xml:space="preserve">2018-10-11</t>
  </si>
  <si>
    <t xml:space="preserve">Acuerdo CM 11/10/2018, publicado 25/10/2018</t>
  </si>
  <si>
    <t xml:space="preserve">Analizar digitalización y omnicanalidad del comercio; foro, estudios y propuestas de formación.</t>
  </si>
  <si>
    <t xml:space="preserve">Juicio: Consultivo, sin poder normativo ni sanción propios. La norma contempla informes no preceptivos; funcionamiento actual no auditado.</t>
  </si>
  <si>
    <t xml:space="preserve">Sin presupuesto propio, verificado en norma: Acuerdo CM 11/10/2018 publicado por Resolución de 25/10/2018 de la Secretaría de Estado de Comercio (BOE-A-2018-15776), apartado noveno 'No incremento de gasto público': el departamento 'atenderá con sus medios personales y materiales la constitución y funcionamiento del Observatorio' 'sin que pueda suponer un aumento del gasto público'. Coste absorbido por la Secretaría de Estado de Comercio (secretaría del Pleno: Subdirección General de Apoyo a la Competitividad del Pequeño Comercio, apdo. cuarto). Coste absorbido no cuantificado ni prorrateado; no significa 0 EUR. El apartado undécimo suprime el Observatorio de Pagos con Tarjeta Electrónica (2006-2018). Página oficial (comercio.gob.es, consulta 11/10/2026): de los cuatro grupos de trabajo, el de Información 'es el único que ha iniciado sus trabajos'; sin datos de presupuesto o contrato propios.</t>
  </si>
  <si>
    <t xml:space="preserve">Creado 2018. Antecesor de pagos con tarjeta suprimido por este acuerdo.</t>
  </si>
  <si>
    <t xml:space="preserve">El antecesor de pagos (2006-2018) se suprime: no contar ambos como dos entidades vigentes.</t>
  </si>
  <si>
    <t xml:space="preserve">https://www.boe.es/diario_boe/txt.php?id=BOE-A-2018-15776
https://boe.es/diario_boe/txt.php?id=BOE-A-2018-15776
https://comercio.gob.es/ComercioInterior/Observatorio/Paginas/GTAnalisisMetricasyVariables.aspx</t>
  </si>
  <si>
    <t xml:space="preserve">Sin plantilla propia según norma (apdo. noveno del Acuerdo CM 11/10/2018): apoyo con medios de la Secretaría de Estado de Comercio (DG de Política Comercial); no hay cifra publicada de personal de apoyo asignado; vocales no son plantilla</t>
  </si>
  <si>
    <t xml:space="preserve">Sin crédito de personal propio (verificado en norma, apdo. noveno del Acuerdo CM 11/10/2018): coste absorbido por créditos de la Secretaría de Estado de Comercio (DG de Política Comercial); no desglosado ni prorrateado</t>
  </si>
  <si>
    <t xml:space="preserve">Sin ejecución propia: el gasto que genere se imputa a la Secretaría de Estado de Comercio (DG de Política Comercial) sin desglose publicado; no prorrateado</t>
  </si>
  <si>
    <t xml:space="preserve">Sin presupuesto propio (verificado en norma, apdo. noveno del Acuerdo CM 11/10/2018); personal y salarios absorbidos por la Secretaría de Estado de Comercio (DG de Política Comercial), sin desglose ni plantilla propia publicada. No significa 0 EUR.</t>
  </si>
  <si>
    <t xml:space="preserve">Secretaría del Pleno: titular de la Subdirección General de Apoyo a la Competitividad del Pequeño Comercio (DG de Política Comercial y Competitividad, denominación 2018), con voz y voto; gestiona los grupos de trabajo (apdos. cuarto y sexto). Medios personales y materiales del departamento (apdo. noveno; en 2018 Ministerio de Industria, Comercio y Turismo; la web del Observatorio figura hoy bajo el Ministerio de Economía, Comercio y Empresa, Secretaría de Estado de Comercio). La norma no prevé retribuciones ni indemnizaciones de vocales. Vocales/miembros no son plantilla. No repartir gasto ministerial.</t>
  </si>
  <si>
    <t xml:space="preserve">Estudios y foro sobre regulación comercial</t>
  </si>
  <si>
    <t xml:space="preserve">Informes técnicos de diagnóstico expresamente NO preceptivos</t>
  </si>
  <si>
    <t xml:space="preserve">No consentimiento favorable exigido en funciones revisadas</t>
  </si>
  <si>
    <t xml:space="preserve">Sin veto a leyes atribuido en funciones revisadas; aportación técnica y debate regulatorio.</t>
  </si>
  <si>
    <t xml:space="preserve">OrdenICT/1118/2018 apartadoTercero.4,6,7</t>
  </si>
  <si>
    <t xml:space="preserve">https://www.boe.es/diario_boe/txt.php?id=BOE-A-2018-15776</t>
  </si>
  <si>
    <t xml:space="preserve">Comercio</t>
  </si>
  <si>
    <t xml:space="preserve">Apoyo: Secretaría: titular de la SG de Apoyo a la Competitividad del Pequeño Comercio (DG de Política Comercial), que gestiona los grupos de trabajo (apdos. Cuarto y Sexto); medios personales y materiales del departamento (apdo. Noveno). vocales: 20.</t>
  </si>
  <si>
    <t xml:space="preserve">Observatorio Mujeres, Ciencia e Innovación</t>
  </si>
  <si>
    <t xml:space="preserve">Órgano colegiado interministerial; no nueva creación independiente en 2020</t>
  </si>
  <si>
    <t xml:space="preserve">2018-11-23</t>
  </si>
  <si>
    <t xml:space="preserve">RD 1401/2018; regulado de nuevo por RD 938/2020</t>
  </si>
  <si>
    <t xml:space="preserve">Seguir desigualdad de género en I+D+i, planes de igualdad y proponer actuaciones.</t>
  </si>
  <si>
    <t xml:space="preserve">Juicio: Función de seguimiento y asesoramiento, sin decidir subvenciones ni sancionar. La norma fija objetivos concretos; resultados y reuniones 2026 pendientes.</t>
  </si>
  <si>
    <t xml:space="preserve">Sin presupuesto propio, verificado en norma: RD 938/2020 (BOE-A-2020-13026), disposición adicional única 'No incremento del gasto público': la creación y el funcionamiento del Observatorio 'no supondrá incremento del gasto público' y se atenderá 'con los medios personales, técnicos y presupuestarios asignados al Ministerio de Ciencia e Innovación'. Coste absorbido por el Gabinete del Ministerio (secretaría, art. 4.2; Unidad de Mujeres y Ciencia/Unidad de Igualdad, art. 4.1.i). Coste absorbido no cuantificado ni prorrateado; no significa 0 EUR. El RD 938/2020 deroga el RD 1401/2018 sin extinguir el Observatorio.</t>
  </si>
  <si>
    <t xml:space="preserve">Derogar el RD 2018 al aprobar el de 2020 no es abolir el observatorio.</t>
  </si>
  <si>
    <t xml:space="preserve">21, 50</t>
  </si>
  <si>
    <t xml:space="preserve">https://www.boe.es/boe/dias/2018/12/11/pdfs/BOE-A-2018-16905.pdf
https://www.boe.es/buscar/act.php?id=BOE-A-2020-13026
https://www.boe.es/eli/es/rd/2020/10/27/938</t>
  </si>
  <si>
    <t xml:space="preserve">Sin plantilla propia según norma (RD 938/2020, disposición adicional única): apoyo con medios del Ministerio competente en ciencia (Gabinete del Ministro; Unidad de Mujeres y Ciencia); no hay cifra publicada de personal de apoyo asignado; vocales no son plantilla</t>
  </si>
  <si>
    <t xml:space="preserve">Sin crédito de personal propio (verificado en norma, RD 938/2020, disposición adicional única): coste absorbido por créditos del Ministerio competente en ciencia (Gabinete del Ministro; Unidad de Mujeres y Ciencia); no desglosado ni prorrateado</t>
  </si>
  <si>
    <t xml:space="preserve">Sin ejecución propia: el gasto que genere se imputa al Ministerio competente en ciencia (Gabinete del Ministro; Unidad de Mujeres y Ciencia) sin desglose publicado; no prorrateado</t>
  </si>
  <si>
    <t xml:space="preserve">Sin presupuesto propio (verificado en norma, RD 938/2020, disposición adicional única); personal y salarios absorbidos por el Ministerio competente en ciencia (Gabinete del Ministro; Unidad de Mujeres y Ciencia), sin desglose ni plantilla propia publicada. No significa 0 EUR.</t>
  </si>
  <si>
    <t xml:space="preserve">Secretaría: un/a funcionario/a de carrera de nivel 28 o superior del Gabinete de la persona titular del Ministerio, con voz y sin voto (art. 4.2). Vocalía de la Unidad de Mujeres y Ciencia/Unidad de Igualdad del Gabinete (art. 4.1.i). Medios personales, técnicos y presupuestarios del Ministerio (DA única; denominación 2020 'Ciencia e Innovación'). La norma no regula retribuciones ni indemnizaciones de miembros. Vocales/miembros no son plantilla. No repartir gasto ministerial.</t>
  </si>
  <si>
    <t xml:space="preserve">Seguimiento de igualdad en ciencia, informe de asuntos sometidos a criterio y propuestas</t>
  </si>
  <si>
    <t xml:space="preserve">RD938/2020 art 6</t>
  </si>
  <si>
    <t xml:space="preserve">https://www.boe.es/buscar/act.php?id=BOE-A-2020-13026</t>
  </si>
  <si>
    <t xml:space="preserve">Igualdad (sectorial)</t>
  </si>
  <si>
    <t xml:space="preserve">Apoyo: Gabinete de la persona titular del Ministerio: secretaría a cargo de un funcionario de carrera de nivel 28 o superior (art. 4.2) y vocalía de la Unidad de Mujeres y Ciencia (art. 4.1.i); medios del Ministerio (DA única RD 938/2020). vocales: 18.</t>
  </si>
  <si>
    <t xml:space="preserve">Observatorio para la lucha contra el fraude a la Seguridad Social</t>
  </si>
  <si>
    <t xml:space="preserve">Órgano colegiado integrado en TGSS</t>
  </si>
  <si>
    <t xml:space="preserve">2019-06-05</t>
  </si>
  <si>
    <t xml:space="preserve">Orden TMS/667/2019</t>
  </si>
  <si>
    <t xml:space="preserve">Coordinar entidades y agentes sociales, explotar información, proponer inspecciones y seguir resultados antifraude.</t>
  </si>
  <si>
    <t xml:space="preserve">Juicio: Influencia de coordinación real prevista, pero no sustituye a TGSS/INSS/Inspección ni tiene sanción propia. No se ha auditado actividad reciente.</t>
  </si>
  <si>
    <t xml:space="preserve">Sin presupuesto propio, verificado en norma: Orden TMS/667/2019 (BOE-A-2019-9215; modificada por Orden TMS/1066/2019, sin derogación), disposición adicional única 'Medios personales y materiales': constitución y funcionamiento atendidos 'con cargo a sus actuales medios personales y materiales', 'sin que se pueda generar, en ningún caso, aumento de las dotaciones presupuestarias'. Coste absorbido por la TGSS (secretaría del Pleno: titular de la Subdirección General de Recaudación en Periodo Voluntario, art. 6.1; comisiones provinciales: subdirecciones provinciales de recaudación, art. 7.1). Coste absorbido no cuantificado ni prorrateado; no significa 0 EUR.</t>
  </si>
  <si>
    <t xml:space="preserve">Presidido por Dirección General TGSS, con comisiones provinciales. Frecuencia legal de reunión no prueba cumplimiento.</t>
  </si>
  <si>
    <t xml:space="preserve">https://www.boe.es/diario_boe/txt.php?id=BOE-A-2019-9215
https://www.seg-social.es/wps/portal/wss/internet/Trabajadores/CotizacionRecaudacionTrabajadores/9896/lfraude2
https://www.boe.es/eli/es/o/2019/06/05/tms667/con
https://www.boe.es/eli/es/o/2019/06/05/tms667</t>
  </si>
  <si>
    <t xml:space="preserve">Sin plantilla propia según norma (Orden TMS/667/2019, disposición adicional única): apoyo con medios de la Tesorería General de la Seguridad Social (SG de Recaudación en Periodo Voluntario y subdirecciones provinciales); no hay cifra publicada de personal de apoyo asignado; vocales no son plantilla</t>
  </si>
  <si>
    <t xml:space="preserve">Sin crédito de personal propio (verificado en norma, Orden TMS/667/2019, disposición adicional única): coste absorbido por créditos de la Tesorería General de la Seguridad Social (SG de Recaudación en Periodo Voluntario y subdirecciones provinciales); no desglosado ni prorrateado</t>
  </si>
  <si>
    <t xml:space="preserve">Sin ejecución propia: el gasto que genere se imputa a la Tesorería General de la Seguridad Social (SG de Recaudación en Periodo Voluntario y subdirecciones provinciales) sin desglose publicado; no prorrateado</t>
  </si>
  <si>
    <t xml:space="preserve">Sin presupuesto propio (verificado en norma, Orden TMS/667/2019, disposición adicional única); personal y salarios absorbidos por la Tesorería General de la Seguridad Social (SG de Recaudación en Periodo Voluntario y subdirecciones provinciales), sin desglose ni plantilla propia publicada. No significa 0 EUR.</t>
  </si>
  <si>
    <t xml:space="preserve">Secretaría del Pleno: titular de la Subdirección General de Recaudación en Periodo Voluntario de la TGSS (art. 6.1.2.º); comisiones provinciales: titular de la subdirección provincial competente en recaudación en periodo voluntario (art. 7.1.2.º). Medios personales y materiales existentes, sin aumento de dotaciones (DA única). La norma no regula retribuciones ni indemnizaciones de miembros. Vocales/miembros no son plantilla. No repartir gasto ministerial.</t>
  </si>
  <si>
    <t xml:space="preserve">Análisis de normativa vigente e impacto de modificaciones para evitar fraude</t>
  </si>
  <si>
    <t xml:space="preserve">OrdenTMS/667/2019 art 4(g)</t>
  </si>
  <si>
    <t xml:space="preserve">https://www.boe.es/diario_boe/txt.php?id=BOE-A-2019-9215</t>
  </si>
  <si>
    <t xml:space="preserve">Fraude a la Seguridad Social</t>
  </si>
  <si>
    <t xml:space="preserve">Apoyo: TGSS: secretaría del Pleno a cargo del titular de la SG de Recaudación en Periodo Voluntario (art. 6.1.2.º) y, en las comisiones provinciales, de las subdirecciones provinciales de recaudación (art. 7.1.2.º); medios actuales sin aumento de dotaciones (DA única). vocales: 14.</t>
  </si>
  <si>
    <t xml:space="preserve">Observatorio de Igualdad de Género en el ámbito de la Cultura</t>
  </si>
  <si>
    <t xml:space="preserve">Órgano colegiado; antecedente Comisión de Igualdad de Género 08/03/2018</t>
  </si>
  <si>
    <t xml:space="preserve">2019-02-15</t>
  </si>
  <si>
    <t xml:space="preserve">Orden ministerial 15/02/2019; regulación posterior publicada por Cultura</t>
  </si>
  <si>
    <t xml:space="preserve">Analizar y promover igualdad en cultura, visibilidad de creadoras e indicadores.</t>
  </si>
  <si>
    <t xml:space="preserve">Juicio: Función consultiva y técnica, no poder de contratación o sanción. Página institucional acredita existencia y dirección; no se ha medido impacto.</t>
  </si>
  <si>
    <t xml:space="preserve">Sin presupuesto propio, verificado en norma: Orden del Ministerio de Cultura por la que se regula el Observatorio de Igualdad de Género en el ámbito de la Cultura (firma electrónica 16/09/2024, Ministro Ernest Urtasun), apartado quinto: el funcionamiento 'se atenderá con los recursos humanos y medios técnicos y materiales del Ministerio de Cultura'. No contiene cláusula expresa de 'no incremento del gasto'. Coste absorbido por el Ministerio de Cultura (DG de Derechos Culturales). Coste absorbido no cuantificado ni prorrateado; no significa 0 EUR. No equivale al presupuesto de igualdad cultural.</t>
  </si>
  <si>
    <t xml:space="preserve">La página señala presidencia de Dirección General de Derechos Culturales. No se ha cuantificado plantilla o gasto.</t>
  </si>
  <si>
    <t xml:space="preserve">21, 48</t>
  </si>
  <si>
    <t xml:space="preserve">https://www.cultura.gob.es/dam/jcr:85ee66d9-d300-4e8a-9903-07653ae01b27/report-orden-reguladora-observatorio-igualdad.pdf
https://www.cultura.gob.es/cultura/mc/espacio-igualdad/observatorio.html
https://culturaygenero.com/wp-content/uploads/2024/12/orden-reguladora-observatorio-igualdad.pdf</t>
  </si>
  <si>
    <t xml:space="preserve">Sin plantilla propia según norma (Orden reguladora de 2024, apdo. quinto): apoyo con medios del Ministerio de Cultura (Dirección General de Derechos Culturales); no hay cifra publicada de personal de apoyo asignado; vocales no son plantilla</t>
  </si>
  <si>
    <t xml:space="preserve">Sin crédito de personal propio (verificado en norma, Orden reguladora de 2024, apdo. quinto): coste absorbido por créditos del Ministerio de Cultura (Dirección General de Derechos Culturales); no desglosado ni prorrateado</t>
  </si>
  <si>
    <t xml:space="preserve">Sin ejecución propia: el gasto que genere se imputa al Ministerio de Cultura (Dirección General de Derechos Culturales) sin desglose publicado; no prorrateado</t>
  </si>
  <si>
    <t xml:space="preserve">Sin presupuesto propio (verificado en norma, Orden reguladora de 2024, apdo. quinto); personal y salarios absorbidos por el Ministerio de Cultura (Dirección General de Derechos Culturales), sin desglose ni plantilla propia publicada. No significa 0 EUR.</t>
  </si>
  <si>
    <t xml:space="preserve">Secretaría: 'una persona funcionaria del Ministerio de Cultura, con voz pero sin voto', designada por la persona titular de la Dirección General de Derechos Culturales (apdo. tercero.1.d). Recursos humanos y medios técnicos y materiales del Ministerio (apdo. quinto). La orden no regula retribuciones ni indemnizaciones de miembros. Vocales/miembros no son plantilla. No repartir gasto ministerial.</t>
  </si>
  <si>
    <t xml:space="preserve">Propuestas, estudios y participación en Plan de Igualdad de Género en Cultura</t>
  </si>
  <si>
    <t xml:space="preserve">No informe preceptivo general sobre aprobación de leyes identificado en funciones revisadas</t>
  </si>
  <si>
    <t xml:space="preserve">No veto legislativo atribuido por las disposiciones revisadas. Proponer medidas o cambios legislativos no equivale a aprobarlos; no auditoría de todas las normas sectoriales posteriores.</t>
  </si>
  <si>
    <t xml:space="preserve">Orden ministerial publicada por Cultura, apartado Segundo</t>
  </si>
  <si>
    <t xml:space="preserve">https://www.cultura.gob.es/dam/jcr:85ee 66d 9-d 300-4e 8a-9903-07653ae 01b 27/report-orden-reguladora-observatorio-igualdad.pdf</t>
  </si>
  <si>
    <t xml:space="preserve">Apoyo: DG de Derechos Culturales: secretaría a cargo de una persona funcionaria designada por su titular (apdo. Tercero.1.d); recursos humanos y medios del Ministerio de Cultura (apdo. Quinto). vocales: 9.</t>
  </si>
  <si>
    <t xml:space="preserve">Observatorio Global del Español</t>
  </si>
  <si>
    <t xml:space="preserve">Órgano colegiado, no agencia con personalidad jurídica</t>
  </si>
  <si>
    <t xml:space="preserve">2022-06-07</t>
  </si>
  <si>
    <t xml:space="preserve">RD 431/2022</t>
  </si>
  <si>
    <t xml:space="preserve">Estudiar español en el mundo y economía de la lengua, coordinar observatorios e informes.</t>
  </si>
  <si>
    <t xml:space="preserve">Juicio: Función técnica comprobada: catálogo de publicaciones y estudios periódicos. Sin potestad reguladora ni sanción; no es solo un nombre.</t>
  </si>
  <si>
    <t xml:space="preserve">Sin presupuesto propio, verificado en norma: RD 431/2022 (BOE-A-2022-9382), art. 5.7: 'La creación y funcionamiento del Observatorio Global del Español no supondrá incremento del gasto público'; para sus funciones 'se podrán asignar puestos de trabajo incluidos en la plantilla del Instituto Cervantes'. Secretaría del Pleno: Secretaría General del Instituto Cervantes (art. 4.3); Comisión ejecutiva presidida por la Dirección del Instituto Cervantes (art. 5.2). Coste absorbido por el Instituto Cervantes. Coste absorbido no cuantificado ni prorrateado; no significa 0 EUR. No asignar al observatorio los 1.100 M EUR del PERTE de lengua.</t>
  </si>
  <si>
    <t xml:space="preserve">Francisco Moreno Fernández identificado como director en actividad oficial abril 2026. Plantilla ocupada y coste anual no verificados.</t>
  </si>
  <si>
    <t xml:space="preserve">https://www.boe.es/diario_boe/txt.php?id=BOE-A-2022-9382
https://observatoriodelespanol.cervantes.org/catalogo-publicaciones/
https://observatoriodelespanol.cervantes.org/noticia/clabe-inteligencia-idioma/
https://www.boe.es/eli/es/rd/2022/06/07/431/con</t>
  </si>
  <si>
    <t xml:space="preserve">Sin plantilla propia según norma (RD 431/2022, art. 5.7): apoyo con medios del Instituto Cervantes (plantilla y presupuesto del Instituto); no hay cifra publicada de personal de apoyo asignado; vocales no son plantilla</t>
  </si>
  <si>
    <t xml:space="preserve">Sin crédito de personal propio (verificado en norma, RD 431/2022, art. 5.7): coste absorbido por créditos del Instituto Cervantes (plantilla y presupuesto del Instituto); no desglosado ni prorrateado</t>
  </si>
  <si>
    <t xml:space="preserve">Sin ejecución propia: el gasto que genere se imputa al Instituto Cervantes (plantilla y presupuesto del Instituto) sin desglose publicado; no prorrateado</t>
  </si>
  <si>
    <t xml:space="preserve">Sin presupuesto propio (verificado en norma, RD 431/2022, art. 5.7); personal y salarios absorbidos por el Instituto Cervantes (plantilla y presupuesto del Instituto), sin desglose ni plantilla propia publicada. No significa 0 EUR.</t>
  </si>
  <si>
    <t xml:space="preserve">RD 431/2022 art. 5.7 permite asignar puestos de la plantilla del Instituto Cervantes (personal del Cervantes, no plantilla propia del observatorio); no se ha localizado cifra publicada de puestos asignados. Pleno presidido por el titular de Exteriores (art. 4.1); secretaría del Pleno: Secretaría General del Instituto Cervantes (art. 4.3). La norma no regula retribuciones ni indemnizaciones de miembros. Vocales y director no equivalen a plantilla propia. No repartir el presupuesto del Instituto Cervantes.</t>
  </si>
  <si>
    <t xml:space="preserve">Estudios y recomendaciones sobre español, economía de la lengua y asuntos sometidos a criterio</t>
  </si>
  <si>
    <t xml:space="preserve">RD431/2022 art 3</t>
  </si>
  <si>
    <t xml:space="preserve">https://www.boe.es/diario_boe/txt.php?id=BOE-A-2022-9382</t>
  </si>
  <si>
    <t xml:space="preserve">Lengua española</t>
  </si>
  <si>
    <t xml:space="preserve">Apoyo: Instituto Cervantes: la Secretaría General ejerce la secretaría del Pleno (art. 4.3); la Dirección del IC preside la Comisión ejecutiva (art. 5.2); pueden asignarse puestos de la plantilla del IC (art. 5.7 RD 431/2022). puestos asignados según fuente oficial: 1. vocales: 10. gasto con nombre propio: 73.693,05 EUR: retribución anual del puesto «Dirección del Observatorio Global del Español», sin antigüedad, en la tabla de directivos fuera de convenio a junio de 2025 (Memoria IC 2024-2025, Organización, https://cervantes.org/sites/public/produccion/files/2025-12/memoria-2024-2025-instituto-cervantes-11-organizacion.pdf).</t>
  </si>
  <si>
    <t xml:space="preserve">Observatorio de la Sostenibilidad del Regadío</t>
  </si>
  <si>
    <t xml:space="preserve">Plataforma en línea gestionada por MAPA</t>
  </si>
  <si>
    <t xml:space="preserve">2022-10-11</t>
  </si>
  <si>
    <t xml:space="preserve">RD 854/2022, arts.6-7</t>
  </si>
  <si>
    <t xml:space="preserve">Publicar indicadores, estudios, buenas prácticas y seguimiento de regadíos; apoyar a la Mesa Nacional del Regadío.</t>
  </si>
  <si>
    <t xml:space="preserve">Juicio: Plataforma informativa y técnica, no autoridad de concesión de agua ni adjudicación de ayudas. Entrega efectiva de todos los productos no comprobada.</t>
  </si>
  <si>
    <t xml:space="preserve">Sin presupuesto propio, verificado en norma: RD 854/2022 (BOE-A-2022-16583; consolidado a 02/10/2025), disposición adicional primera: la creación y el funcionamiento de la Mesa y del Observatorio 'no supondrán, en ningún caso, incremento del gasto público'; el preámbulo precisa que los gastos 'provendrán del presupuesto ordinario de la Dirección General de Desarrollo Rural, Innovación y Formación Agroalimentaria' y no del Mecanismo de Recuperación. Coste absorbido no cuantificado ni prorrateado; no significa 0 EUR. La plataforma la gestiona el Ministerio 'a través de la unidad competente en materia de regadíos' (art. 6.3). No sumar con la Mesa (ID 53): mismo soporte departamental.</t>
  </si>
  <si>
    <t xml:space="preserve">La norma atribuye gastos al presupuesto ordinario de la Dirección General, no al Mecanismo de Recuperación; no estimar coste desde las inversiones en regadío.</t>
  </si>
  <si>
    <t xml:space="preserve">Complementariedad expresa; medios compartidos</t>
  </si>
  <si>
    <t xml:space="preserve">53</t>
  </si>
  <si>
    <t xml:space="preserve">El Observatorio del Regadío apoya a la Mesa; uno aporta indicadores y estudios, la otra cooperación y propuestas. No duplicar costes compartidos.</t>
  </si>
  <si>
    <t xml:space="preserve">https://www.boe.es/buscar/doc.php?id=BOE-A-2022-16583</t>
  </si>
  <si>
    <t xml:space="preserve">https://www.boe.es/buscar/doc.php?id=BOE-A-2022-16583
https://www.boe.es/eli/es/rd/2022/10/11/854/con</t>
  </si>
  <si>
    <t xml:space="preserve">Sin plantilla propia según norma (RD 854/2022, disposición adicional primera): apoyo con medios del MAPA (presupuesto ordinario de la DG de Desarrollo Rural, Innovación y Formación Agroalimentaria; SG de Regadíos, Caminos Naturales e Infraestructuras Rurales); no hay cifra publicada de personal de apoyo asignado; vocales no son plantilla</t>
  </si>
  <si>
    <t xml:space="preserve">Sin crédito de personal propio (verificado en norma, RD 854/2022, disposición adicional primera): coste absorbido por créditos del MAPA (presupuesto ordinario de la DG de Desarrollo Rural, Innovación y Formación Agroalimentaria; SG de Regadíos, Caminos Naturales e Infraestructuras Rurales); no desglosado ni prorrateado</t>
  </si>
  <si>
    <t xml:space="preserve">Sin ejecución propia: el gasto que genere se imputa al MAPA (presupuesto ordinario de la DG de Desarrollo Rural, Innovación y Formación Agroalimentaria; SG de Regadíos, Caminos Naturales e Infraestructuras Rurales) sin desglose publicado; no prorrateado</t>
  </si>
  <si>
    <t xml:space="preserve">Sin presupuesto propio (verificado en norma, RD 854/2022, disposición adicional primera); personal y salarios absorbidos por el MAPA (presupuesto ordinario de la DG de Desarrollo Rural, Innovación y Formación Agroalimentaria; SG de Regadíos, Caminos Naturales e Infraestructuras Rurales), sin desglose ni plantilla propia publicada. No significa 0 EUR.</t>
  </si>
  <si>
    <t xml:space="preserve">Gestión de la plataforma: unidad competente en regadíos del MAPA (art. 6.3). Sin personal propio previsto. La norma no regula retribuciones ni indemnizaciones. Vocales/miembros no son plantilla. No repartir gasto ministerial.</t>
  </si>
  <si>
    <t xml:space="preserve">Plataforma de información y apoyo técnico a la Mesa del Regadío</t>
  </si>
  <si>
    <t xml:space="preserve">No confundir la plataforma Observatorio con la Mesa: el informe sobre normativa del art 3(c) pertenece a la Mesa y es no vinculante.</t>
  </si>
  <si>
    <t xml:space="preserve">RD854/2022 arts 6,7; distinguir art 3(c) Mesa</t>
  </si>
  <si>
    <t xml:space="preserve">Regadío</t>
  </si>
  <si>
    <t xml:space="preserve">Apoyo: Unidad competente en regadíos del MAPA, la SG de Regadíos, Caminos Naturales e Infraestructuras Rurales (DGDRIFA), que gestiona la plataforma (art. 6.3 RD 854/2022).</t>
  </si>
  <si>
    <t xml:space="preserve">Mesa Nacional del Regadío</t>
  </si>
  <si>
    <t xml:space="preserve">Órgano de cooperación nuevo</t>
  </si>
  <si>
    <t xml:space="preserve">RD 854/2022</t>
  </si>
  <si>
    <t xml:space="preserve">Cooperación entre administraciones, regantes y otros actores; propuestas de sostenibilidad hídrica y energética.</t>
  </si>
  <si>
    <t xml:space="preserve">Juicio: Coordinación y propuesta, sin reemplazar competencias de administraciones hidráulicas. No tiene mando autónomo sobre regadíos.</t>
  </si>
  <si>
    <t xml:space="preserve">Sin presupuesto propio, verificado en norma: RD 854/2022 (BOE-A-2022-16583; consolidado a 02/10/2025), disposición adicional primera: la creación y el funcionamiento de la Mesa y del Observatorio 'no supondrán, en ningún caso, incremento del gasto público'; el preámbulo precisa que los gastos 'provendrán del presupuesto ordinario de la Dirección General de Desarrollo Rural, Innovación y Formación Agroalimentaria' y no del Mecanismo de Recuperación. Coste absorbido no cuantificado ni prorrateado; no significa 0 EUR. No sumar con el Observatorio (ID 52): mismo soporte departamental.</t>
  </si>
  <si>
    <t xml:space="preserve">No duplicar con la plataforma observatorio al sumar costes compartidos.</t>
  </si>
  <si>
    <t xml:space="preserve">52</t>
  </si>
  <si>
    <t xml:space="preserve">Secretaría de la Mesa (y de su Comisión Institucional): persona funcionaria A1 de la Subdirección General de Regadíos, Caminos Naturales e Infraestructuras Rurales del MAPA (art. 4.2.19.º y 4.3); puede asistir acompañada de funcionarios de su Subdirección (art. 5.3). La norma no regula retribuciones ni indemnizaciones de miembros. Vocales/miembros no son plantilla. No repartir gasto ministerial.</t>
  </si>
  <si>
    <t xml:space="preserve">La Mesa puede ser consultada sobre normativa de regadíos; informe no vinculante expresamente</t>
  </si>
  <si>
    <t xml:space="preserve">Informe que podrá recabarse sobre planes de inversión y normativa de regadíos; facultativo en art 3(c)</t>
  </si>
  <si>
    <t xml:space="preserve">No vinculante expresamente en art 3(c)</t>
  </si>
  <si>
    <t xml:space="preserve">RD854/2022 art 3(c)</t>
  </si>
  <si>
    <t xml:space="preserve">Apoyo: Secretaría: una persona funcionaria A1 de la SG de Regadíos, Caminos Naturales e Infraestructuras Rurales del MAPA, que puede asistir con funcionarios de su Subdirección (art. 4.2.19.º y art. 5.3-5.4 RD 854/2022).</t>
  </si>
  <si>
    <t xml:space="preserve">Observatorio Estatal de la Morosidad Privada</t>
  </si>
  <si>
    <t xml:space="preserve">Órgano colegiado en Consejo Estatal de la PYME</t>
  </si>
  <si>
    <t xml:space="preserve">2022-09-28</t>
  </si>
  <si>
    <t xml:space="preserve">Ley 18/2022; RD 439/2024</t>
  </si>
  <si>
    <t xml:space="preserve">Seguir plazos de pago; informe anual a Consejo PYME y Cortes; elaborar listado de empresas incumplidoras.</t>
  </si>
  <si>
    <t xml:space="preserve">Juicio: Capacidad de transparencia/reputación relevante prevista, no multa automática propia. Constituida en 2025; listado depende de datos de facturación electrónica.</t>
  </si>
  <si>
    <t xml:space="preserve">Sin presupuesto propio, verificado en norma: RD 439/2024 (BOE-A-2024-8711), disposición adicional única 'No incremento del gasto público': 'no supondrá gastos adicionales a los previstos en las dotaciones presupuestarias del Ministerio de Industria y Turismo' y 'el funcionamiento de ambos órganos [Consejo Estatal de la PYME y Observatorio] será atendido con los medios personales, técnicos y presupuestarios del departamento'. Adscrito a la Secretaría de Estado de Industria (art. 9); secretaría: titular de la Subdirección General de Emprendimiento y PYME (art. 14.5). Coste absorbido no cuantificado ni prorrateado; no significa 0 EUR.</t>
  </si>
  <si>
    <t xml:space="preserve">No se ha verificado publicación efectiva de listado o primer informe anual; no tratar esa obligación como resultado ya obtenido.</t>
  </si>
  <si>
    <t xml:space="preserve">https://www.boe.es/eli/es/rd/2024/04/30/439
https://www.mintur.gob.es/es-es/gabineteprensa/notasprensa/2025/paginas/observatorio-estatal-morisidad-privada.aspx
https://www.boe.es/boe/dias/2024/05/01/pdfs/BOE-A-2024-8711.pdf</t>
  </si>
  <si>
    <t xml:space="preserve">Sin plantilla propia según norma (RD 439/2024, disposición adicional única): apoyo con medios del Ministerio de Industria y Turismo (Secretaría de Estado de Industria; SG de Emprendimiento y PYME); no hay cifra publicada de personal de apoyo asignado; vocales no son plantilla</t>
  </si>
  <si>
    <t xml:space="preserve">Sin crédito de personal propio (verificado en norma, RD 439/2024, disposición adicional única): coste absorbido por créditos del Ministerio de Industria y Turismo (Secretaría de Estado de Industria; SG de Emprendimiento y PYME); no desglosado ni prorrateado</t>
  </si>
  <si>
    <t xml:space="preserve">Sin ejecución propia: el gasto que genere se imputa al Ministerio de Industria y Turismo (Secretaría de Estado de Industria; SG de Emprendimiento y PYME) sin desglose publicado; no prorrateado</t>
  </si>
  <si>
    <t xml:space="preserve">Sin presupuesto propio (verificado en norma, RD 439/2024, disposición adicional única); personal y salarios absorbidos por el Ministerio de Industria y Turismo (Secretaría de Estado de Industria; SG de Emprendimiento y PYME), sin desglose ni plantilla propia publicada. No significa 0 EUR.</t>
  </si>
  <si>
    <t xml:space="preserve">Secretaría: titular de la Subdirección General de Emprendimiento y PYME (art. 14.5). Medios personales, técnicos y presupuestarios del Ministerio de Industria y Turismo (DA única). Art. 14.8: los miembros 'no percibirán ninguna retribución o compensación económica'. Datos aportados gratuitamente por miembros y participantes (art. 13.2). Vocales/miembros no son plantilla. No repartir gasto ministerial.</t>
  </si>
  <si>
    <t xml:space="preserve">Seguimiento morosidad, recomendaciones, listado e informe anual; no autorización de leyes</t>
  </si>
  <si>
    <t xml:space="preserve">RD962/2013 art 10, redacción RD439/2024</t>
  </si>
  <si>
    <t xml:space="preserve">https://www.boe.es/eli/es/rd/2024/04/30/439</t>
  </si>
  <si>
    <t xml:space="preserve">Morosidad</t>
  </si>
  <si>
    <t xml:space="preserve">Apoyo: Secretaría: titular de la SG de Emprendimiento y PYME (art. 14.5 RD 439/2024); medios personales, técnicos y presupuestarios del Ministerio de Industria y Turismo (DA única). vocales: 20. miembros: no retribuidos (art. 14.8 RD 439/2024: «no percibirán ninguna retribución o compensación económica»).</t>
  </si>
  <si>
    <t xml:space="preserve">Observatorio de Márgenes Empresariales</t>
  </si>
  <si>
    <t xml:space="preserve">Proyecto estadístico, no organismo separado acreditado</t>
  </si>
  <si>
    <t xml:space="preserve">2023-07-03</t>
  </si>
  <si>
    <t xml:space="preserve">Proyecto conjunto Economía, Banco de España y AEAT</t>
  </si>
  <si>
    <t xml:space="preserve">Seguir y analizar márgenes empresariales con fuentes fiscales y contables.</t>
  </si>
  <si>
    <t xml:space="preserve">Juicio: Función estadística real: datos actualizados en agosto 2026. No investiga delitos ni impone precios o sanciones.</t>
  </si>
  <si>
    <t xml:space="preserve">Sin línea individual identificada ni personalidad presupuestaria acreditada. No se ha localizado norma de creación, acuerdo ni convenio publicado (BOE) que regule su financiación o sus medios: las fuentes oficiales consultadas (página OME del Ministerio de Hacienda; análisis de la AEAT de 24/07/2023, actualizado 13/02/2024) lo describen solo como 'proyecto conjunto' del Ministerio de Economía (hoy Economía, Comercio y Empresa), el Banco de España y la AEAT, con datos elaborados trimestralmente por la AEAT. Sin norma no puede marcarse 'verificado en norma'. Coste en organismos participantes no separado ni prorrateado; no significa 0 EUR.</t>
  </si>
  <si>
    <t xml:space="preserve">La nota de lanzamiento identifica la puesta en marcha, no una norma creadora con personalidad propia.</t>
  </si>
  <si>
    <t xml:space="preserve">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
https://sede.agenciatributaria.gob.es/Sede/normativa-criterios-interpretativos/analisis/El_observatorio_de_margenes_empresariales.html</t>
  </si>
  <si>
    <t xml:space="preserve">SIN CIFRA INDIVIDUAL IDENTIFICADA de presupuesto, personal ocupado y salarios ejecutados en fuentes revisadas; sin norma de creación ni convenio publicado localizado que permita verificar 'sin dotación' en norma. No significa cero ni prueba de que nada esté publicado.</t>
  </si>
  <si>
    <t xml:space="preserve">Proyecto conjunto Ministerio de Economía, Comercio y Empresa / Banco de España / AEAT (página OME del Ministerio de Hacienda); la AEAT elabora los datos con periodicidad trimestral. No hay norma ni convenio localizado que asigne medios o personal; coste absorbido por los participantes sin desglose publicado. No repartir gasto del ministerio, del Banco de España ni de la AEAT.</t>
  </si>
  <si>
    <t xml:space="preserve">Revisado: Observatorio márgenes</t>
  </si>
  <si>
    <t xml:space="preserve">Proyecto estadístico/análisis, no órgano con personalidad legislativa. No atribución de consulta/veto localizada; alcance limitado a fuentes descriptivas oficiales.</t>
  </si>
  <si>
    <t xml:space="preserve">Descripción oficial portal yHacienda</t>
  </si>
  <si>
    <t xml:space="preserve">https://www.observatoriomargenes.es/wme/es/</t>
  </si>
  <si>
    <t xml:space="preserve">Márgenes empresariales</t>
  </si>
  <si>
    <t xml:space="preserve">Apoyo: Proyecto conjunto del Ministerio de Economía, Comercio y Empresa, el Banco de España y la AEAT; la AEAT elabora los datos cada trimestre (página OME de Hacienda; análisis AEAT).</t>
  </si>
  <si>
    <t xml:space="preserve">Observatorio contra el Fraude y la Corrupción Sanitaria</t>
  </si>
  <si>
    <t xml:space="preserve">Órgano interno nuevo</t>
  </si>
  <si>
    <t xml:space="preserve">2024-04-26</t>
  </si>
  <si>
    <t xml:space="preserve">Orden ministerial 26/04/2024 publicada por Sanidad</t>
  </si>
  <si>
    <t xml:space="preserve">Impulsar estrategia anticorrupción, mapas de riesgo, transparencia y propuestas a inspección de servicios.</t>
  </si>
  <si>
    <t xml:space="preserve">Juicio: Función preventiva comprobada: evaluación de nueve organismos en marzo 2026. No policía judicial ni órgano sancionador general. Identificar riesgos no prueba corrupción consumada.</t>
  </si>
  <si>
    <t xml:space="preserve">Sin presupuesto propio, verificado en norma: Orden ministerial de 26/04/2024 por la que se crea el Observatorio contra el Fraude y la Corrupción Sanitaria (firmada por la Ministra de Sanidad el 26/04/2024, CSV GEN-93bf-b02a-2b18-7ce8-63d2-a4b3-17ea-766a; PDF en sanidad.gob.es, no localizada en BOE), apartado Décimo: su constitución y funcionamiento 'serán atendidos con los medios materiales y personales del Departamento ministerial' y 'no supondrá gastos adicionales a los previstos en las dotaciones presupuestarias del mismo ni incremento de gasto público'. Naturaleza de 'grupo de trabajo y órgano colegiado' (Segundo.1), dependiente de la persona titular del Ministerio de Sanidad (Segundo.2); Secretaría: titular de la Secretaría General Técnica (Tercero.1.c). Coste absorbido por el Ministerio de Sanidad, no cuantificado ni prorrateado; no significa 0 EUR.</t>
  </si>
  <si>
    <t xml:space="preserve">La información de actividad es auto-reportada por Sanidad; no auditoría externa del resultado.</t>
  </si>
  <si>
    <t xml:space="preserve">43, 95</t>
  </si>
  <si>
    <t xml:space="preserve">https://www.sanidad.gob.es/organizacion/transparenciaGobierno/OCFCS/docs/ORDEN_MINISTERIAL.OBSERVATORIO_ANTIFRAUDE._FIRMA.pdf
https://www.sanidad.gob.es/organizacion/transparenciaGobierno/OCFCS/home.htm
https://vsf-iwsold-pro-portal.sanidad.gob.es/ca/gabinete/notasPrensa.do?id=6876</t>
  </si>
  <si>
    <t xml:space="preserve">Sin plantilla propia según norma (Orden ministerial 26/04/2024, apartado Décimo): apoyo con medios del Ministerio de Sanidad (Secretaría General Técnica); no hay cifra publicada de personal de apoyo asignado; vocales no son plantilla</t>
  </si>
  <si>
    <t xml:space="preserve">Sin crédito de personal propio (verificado en norma, Orden ministerial 26/04/2024, apartado Décimo): coste absorbido por créditos del Ministerio de Sanidad (Secretaría General Técnica); no desglosado ni prorrateado</t>
  </si>
  <si>
    <t xml:space="preserve">Sin ejecución propia: el gasto que genere se imputa al Ministerio de Sanidad (Secretaría General Técnica) sin desglose publicado; no prorrateado</t>
  </si>
  <si>
    <t xml:space="preserve">Sin presupuesto propio (verificado en norma, Orden ministerial 26/04/2024, apartado Décimo); personal y salarios absorbidos por el Ministerio de Sanidad (Secretaría General Técnica), sin desglose ni plantilla propia publicada. No significa 0 EUR.</t>
  </si>
  <si>
    <t xml:space="preserve">Presidencia: titular del Ministerio de Sanidad (Tercero.1.a). Secretaría: titular de la Secretaría General Técnica (Tercero.1.c), que también coordina la Comisión Permanente (Noveno.1). Medios materiales y personales del Ministerio de Sanidad (apartado Décimo). La Orden no regula retribuciones, indemnizaciones ni asistencias de los miembros. Vocales/miembros no son plantilla. No repartir gasto ministerial.</t>
  </si>
  <si>
    <t xml:space="preserve">Prevención/alertas, propuestas de mejoras y cambios legislativos antifraude; no aprobación legislativa</t>
  </si>
  <si>
    <t xml:space="preserve">Orden ministerial sanitaria de 26/04/2024, apartados Cuarto a Séptimo</t>
  </si>
  <si>
    <t xml:space="preserve">https://www.sanidad.gob.es/organizacion/transparenciaGobierno/OCFCS/docs/ORDEN_MINISTERIAL.OBSERVATORIO_ANTIFRAUDE._FIRMA.pdf</t>
  </si>
  <si>
    <t xml:space="preserve">Fraude sanitario</t>
  </si>
  <si>
    <t xml:space="preserve">Apoyo: Secretaría General Técnica del Ministerio de Sanidad: secretaría (apdo. Tercero.1.c) y coordinación de la Comisión Permanente (apdo. Noveno); medios materiales y personales del Departamento (apdo. Décimo). vocales: 6.</t>
  </si>
  <si>
    <t xml:space="preserve">Observatorio de Conducta Ética de la Guardia Civil</t>
  </si>
  <si>
    <t xml:space="preserve">Unidad organizativa y de asesoramiento</t>
  </si>
  <si>
    <t xml:space="preserve">2024-08-08</t>
  </si>
  <si>
    <t xml:space="preserve">Orden PJC/849/2024, art.8</t>
  </si>
  <si>
    <t xml:space="preserve">Seguir, impulsar y evaluar aplicación del código de conducta; asesorar al comité de gestión ética.</t>
  </si>
  <si>
    <t xml:space="preserve">Juicio: Función interna de seguimiento; no mando policial independiente ni potestad disciplinaria propia atribuida por esta norma.</t>
  </si>
  <si>
    <t xml:space="preserve">Sin presupuesto propio, verificado en norma: Orden PJC/849/2024 (BOE-A-2024-16600), disposición adicional única 'No incremento del gasto': 'La creación y funcionamiento del COMGECET y del Observatorio no supondrán gastos adicionales' 'ni incremento de gasto público, siendo atendidos, en su caso, con los medios personales, técnicos y presupuestarios de la Dirección General de la Guardia Civil'. Coste absorbido por la DGGC. Coste absorbido no cuantificado ni prorrateado; no significa 0 EUR.</t>
  </si>
  <si>
    <t xml:space="preserve">Nivel orgánico depende de RPT; puestos ocupados y productos actuales no comprobados.</t>
  </si>
  <si>
    <t xml:space="preserve">https://www.boe.es/diario_boe/txt.php?id=BOE-A-2024-16600
https://www.boe.es/boe/dias/2024/08/10/pdfs/BOE-A-2024-16600.pdf</t>
  </si>
  <si>
    <t xml:space="preserve">Pendiente: unidad interna con nivel orgánico 'que se determine en la relación de puestos de trabajo' (DF primera, nuevo art. 23 bis Orden PRE/422/2013); la norma no fija número de puestos y no se ha localizado cifra publicada de efectivos</t>
  </si>
  <si>
    <t xml:space="preserve">Sin crédito de personal propio (verificado en norma, Orden PJC/849/2024, disposición adicional única): coste absorbido por créditos de la Dirección General de la Guardia Civil (Ministerio del Interior); no desglosado ni prorrateado</t>
  </si>
  <si>
    <t xml:space="preserve">Sin ejecución propia: el gasto que genere se imputa a la Dirección General de la Guardia Civil (Ministerio del Interior) sin desglose publicado; no prorrateado</t>
  </si>
  <si>
    <t xml:space="preserve">Sin presupuesto propio (verificado en norma, Orden PJC/849/2024, disposición adicional única); personal y salarios absorbidos por la Dirección General de la Guardia Civil (Ministerio del Interior), sin desglose ni plantilla propia publicada. No significa 0 EUR.</t>
  </si>
  <si>
    <t xml:space="preserve">Unidad organizativa de la DGGC (art. 8), no órgano con plantilla propia: nivel orgánico según RPT (DF primera, art. 23 bis Orden PRE/422/2013) e inclusión en régimen de destinos (DF segunda, art. 9.3 Orden INT/26/2021). Se apoya en el resto de jefaturas y unidades de la DGGC (art. 8.2). La persona que dirige el Observatorio es vocal permanente del COMGECET y su secretaría la ejerce personal del Observatorio de la escala de oficiales (art. 7.2). Medios personales, técnicos y presupuestarios de la DGGC (DA única). Número de puestos/efectivos no publicado en las fuentes revisadas. No repartir gasto de la DGGC.</t>
  </si>
  <si>
    <t xml:space="preserve">Asesoramiento técnico interno al comité ético y seguimiento del código de Guardia Civil</t>
  </si>
  <si>
    <t xml:space="preserve">OrdenPJC/849/2024 art 8</t>
  </si>
  <si>
    <t xml:space="preserve">https://www.boe.es/diario_boe/txt.php?id=BOE-A-2024-16600</t>
  </si>
  <si>
    <t xml:space="preserve">Ética de la Guardia Civil</t>
  </si>
  <si>
    <t xml:space="preserve">Apoyo: Es una unidad organizativa de los Servicios Centrales de la DGGC (art. 8; DF 1.ª, nivel orgánico según RPT) y se apoya en las demás jefaturas (art. 8.2); medios de la DGGC (DA única).</t>
  </si>
  <si>
    <t xml:space="preserve">Observatorio de Gobierno Abierto</t>
  </si>
  <si>
    <t xml:space="preserve">Espacio virtual, no persona jurídica</t>
  </si>
  <si>
    <t xml:space="preserve">2026-05-06</t>
  </si>
  <si>
    <t xml:space="preserve">RD 371/2026, art.19</t>
  </si>
  <si>
    <t xml:space="preserve">Recopilar y difundir buenas prácticas de transparencia, participación e integridad en el Portal de Transparencia.</t>
  </si>
  <si>
    <t xml:space="preserve">Juicio: Repositorio y difusión, sin decisiones vinculantes. Su naturaleza digital no prueba inutilidad; actividad concreta aún no verificada.</t>
  </si>
  <si>
    <t xml:space="preserve">Sin presupuesto propio, verificado en norma: RD 371/2026 (BOE-A-2026-9880, BOE núm. 111 de 07/05/2026), art. 19.1-2: el Observatorio es 'un espacio virtual' con 'un entorno propio dentro del Portal de la Transparencia'; 'Su diseño y mantenimiento corresponderán al Ministerio para la Transformación Digital y de la Función Pública' 'a través de la Secretaría de Estado de Función Pública'. La disposición adicional única.1 ('no supondrá un incremento del gasto público'; 'dotaciones presupuestarias ordinarias' de los departamentos) se refiere literalmente al Foro de Gobierno Abierto, no al Observatorio; la norma no asigna dotación propia al Observatorio. Coste absorbido por el MTDFP (Portal de la Transparencia). Coste absorbido no cuantificado ni prorrateado; no significa 0 EUR.</t>
  </si>
  <si>
    <t xml:space="preserve">El Foro asociado existía desde febrero 2018 y se regula otra vez en 2026; no contar todo el Foro como invención Sánchez.</t>
  </si>
  <si>
    <t xml:space="preserve">https://www.boe.es/eli/es/rd/2026/05/06/371
https://www.boe.es/eli/es/rd/2026/05/06/371/con</t>
  </si>
  <si>
    <t xml:space="preserve">Sin plantilla propia según norma (RD 371/2026, art. 19.2 y disposición adicional única): apoyo con medios del Ministerio para la Transformación Digital y de la Función Pública (Secretaría de Estado de Función Pública; DG de Gobernanza Pública); no hay cifra publicada de personal de apoyo asignado; vocales no son plantilla</t>
  </si>
  <si>
    <t xml:space="preserve">Sin crédito de personal propio (verificado en norma, RD 371/2026, art. 19.2 y disposición adicional única): coste absorbido por créditos del Ministerio para la Transformación Digital y de la Función Pública (Secretaría de Estado de Función Pública; DG de Gobernanza Pública); no desglosado ni prorrateado</t>
  </si>
  <si>
    <t xml:space="preserve">Sin ejecución propia: el gasto que genere se imputa al Ministerio para la Transformación Digital y de la Función Pública (Secretaría de Estado de Función Pública; DG de Gobernanza Pública) sin desglose publicado; no prorrateado</t>
  </si>
  <si>
    <t xml:space="preserve">Sin presupuesto propio (verificado en norma, RD 371/2026, art. 19.2 y disposición adicional única); personal y salarios absorbidos por el Ministerio para la Transformación Digital y de la Función Pública (Secretaría de Estado de Función Pública; DG de Gobernanza Pública), sin desglose ni plantilla propia publicada. No significa 0 EUR.</t>
  </si>
  <si>
    <t xml:space="preserve">Diseño y mantenimiento: MTDFP a través de la Secretaría de Estado de Función Pública (art. 19.2); cauces de propuesta de buenas prácticas habilitados por la Dirección General de Gobernanza Pública (art. 19.6). Secretaría del Foro: titular de la Subdirección General de Gobierno Abierto (art. 13.1). DA única.2: la participación en el Foro 'no exigirá dedicación exclusiva ni dará derecho a remuneración'. Sin personal propio previsto. Vocales/miembros no son plantilla. No repartir gasto ministerial.</t>
  </si>
  <si>
    <t xml:space="preserve">Espacio virtual para buenas prácticas, no órgano de aprobación normativa</t>
  </si>
  <si>
    <t xml:space="preserve">RD371/2026 art 19</t>
  </si>
  <si>
    <t xml:space="preserve">https://www.boe.es/eli/es/rd/2026/05/06/371</t>
  </si>
  <si>
    <t xml:space="preserve">Gobierno abierto</t>
  </si>
  <si>
    <t xml:space="preserve">Apoyo: MTDFP a través de la SE de Función Pública, que diseña y mantiene el Observatorio (art. 19.2 RD 371/2026); DG de Gobernanza Pública, para los cauces de buenas prácticas (art. 19.6); SG de Gobierno Abierto, secretaría del Foro (art. 13.1).</t>
  </si>
  <si>
    <t xml:space="preserve">Observatorio de Digitalización del Sector Agroalimentario</t>
  </si>
  <si>
    <t xml:space="preserve">Proyecto público-privado por convenio</t>
  </si>
  <si>
    <t xml:space="preserve">2021-10-10</t>
  </si>
  <si>
    <t xml:space="preserve">Convenio MAPA-Grupo Cooperativo Cajamar 10/10/2021; adenda 2023 (BOE-A-2024-323); segunda adenda 10/12/2025 (BOE-A-2025-26325)</t>
  </si>
  <si>
    <t xml:space="preserve">Indicadores y análisis de adopción de tecnologías en el sector y orientación de políticas.</t>
  </si>
  <si>
    <t xml:space="preserve">Juicio: Función analítica financiada, no regulador. La norma y convenio acreditan tareas, no eficacia ni continuidad 2026.</t>
  </si>
  <si>
    <t xml:space="preserve">Sin presupuesto propio: órgano sin dotación diferenciada (financiación por convenio, verificada en BOE)</t>
  </si>
  <si>
    <t xml:space="preserve">Sin presupuesto propio: el Observatorio se financia mediante el convenio MAPA–Grupo Cooperativo Cajamar de 10/10/2021. Segunda adenda (Resolución DGDRIFA de 12/12/2025, BOE-A-2025-26325, BOE núm. 306 de 22/12/2025, firmada 10/12/2025): amplía la vigencia hasta 31/12/2026 (cláusula octava) y añade 200.000 EUR; presupuesto total del convenio 1.570.000 EUR (cláusula sexta), anualidades 2021 200.000; 2022 400.000; 2023 400.000; 2024 185.000; 2025 185.000; 2026 200.000 EUR. El MAPA financia las actuaciones con cargo a 21.50.410B.684 (Mecanismo de Recuperación y Resiliencia; PRTR componente 3, inversión 5); actuaciones MRR antes del 30/06/2026 y, en el segundo semestre de 2026, con recursos propios y sin compromisos económicos para las partes. Importe de convenio, no presupuesto propio ni gasto ejecutado; no es el presupuesto del MAPA.</t>
  </si>
  <si>
    <t xml:space="preserve">Convenio vigente hasta 31/12/2026 (segunda adenda, BOE-A-2025-26325). Actividad 2026 acreditada: diagnóstico 2022-2025 del Observatorio editado por MAPA y Cajamar Caja Rural en junio de 2026. Sin auditoría de ejecución.</t>
  </si>
  <si>
    <t xml:space="preserve">Financiación acotada del convenio, no total presupuesto MAPA. Ejecución real de la anualidad 2026 no verificada; aportación en especie de Cajamar no cuantificada; continuidad después del 31/12/2026 no acreditada.</t>
  </si>
  <si>
    <t xml:space="preserve">https://www.boe.es/boe/dias/2021/10/19/pdfs/BOE-A-2021-17025.pdf
https://www.boe.es/diario_boe/txt.php?id=BOE-A-2024-323
https://www.boe.es/diario_boe/txt.php?id=BOE-A-2025-26325
https://boe.es/boe/dias/2024/01/05/pdfs/BOE-A-2024-323.pdf
https://www.mapa.gob.es/dam/mapa/contenido/prensa/notas-de-prensa/documentos/documentos-2026/2026-diagnostico-transformacion-digital-vs4-.pdf</t>
  </si>
  <si>
    <t xml:space="preserve">2026 (anualidad; convenio vigente hasta 31/12/2026)</t>
  </si>
  <si>
    <t xml:space="preserve">Anualidad 2026 del convenio tras la segunda adenda (BOE-A-2025-26325, cláusula sexta). Total convenio 2021-2026: 1,570 M EUR (antes 1,370 M 2021-2025). Financiación MAPA con cargo a 21.50.410B.684 (MRR). Presupuesto del convenio, NO presupuesto propio ni gasto ejecutado</t>
  </si>
  <si>
    <t xml:space="preserve">Convenio MAPA–Grupo Cooperativo Cajamar (Observatorio de Digitalización del Sector Agroalimentario)</t>
  </si>
  <si>
    <t xml:space="preserve">Sin presupuesto propio; financiación por convenio verificada en BOE (1,570 M EUR 2021-2026; 0,200 M EUR en 2026, en columnas contextuales). Personal y salarios: sin cifra individual publicada. No significa 0 EUR.</t>
  </si>
  <si>
    <t xml:space="preserve">Convenio MAPA–Grupo Cooperativo Cajamar (firmante: Cajamar Caja Rural, S. Coop. de Crédito; no Fundación Cajamar). El MAPA aporta medios humanos para diseño, puesta en marcha, desarrollo y seguimiento (unidad proponente: SG de Innovación y Digitalización, DGDRIFA) y financia las actuaciones; Cajamar aporta infraestructuras y medios humanos y materiales propios y ejecuta (Plan Director y oficina técnica, adenda 2023, cláusula cuarta). Personal del convenio no es plantilla pública; sin cifra publicada. No repartir gasto ministerial.</t>
  </si>
  <si>
    <t xml:space="preserve">Convenio para indicadores, análisis y seguimiento de digitalización, apoyo a políticas</t>
  </si>
  <si>
    <t xml:space="preserve">Convenio MAPA-Cajamar 2021, cláusulas Primera y Segunda</t>
  </si>
  <si>
    <t xml:space="preserve">https://www.boe.es/boe/dias/2021/10/19/pdfs/BOE-A-2021-17025.pdf</t>
  </si>
  <si>
    <t xml:space="preserve">Digitalización agroalimentaria</t>
  </si>
  <si>
    <t xml:space="preserve">Apoyo: Por el MAPA, medios humanos de la SG de Innovación y Digitalización (DGDRIFA); Cajamar ejecuta con medios propios (Plan Director y oficina técnica; adenda 2023, cláusula 4.ª). gasto con nombre propio: 1.570.000 EUR: presupuesto total del convenio MAPA-Cajamar 2021-2026, con anualidad 2026 de 200.000 EUR (segunda adenda, cláusula 6.ª, BOE 22/12/2025, https://www.boe.es/diario_boe/txt.php?id=BOE-A-2025-26325).</t>
  </si>
  <si>
    <t xml:space="preserve">Observatorio de Derechos Digitales</t>
  </si>
  <si>
    <t xml:space="preserve">Proyecto público-privado, no autoridad sancionadora</t>
  </si>
  <si>
    <t xml:space="preserve">2024-2025</t>
  </si>
  <si>
    <t xml:space="preserve">Convenio Red.es-grupo de entidades, publicación 10/07/2024; presentación 2025</t>
  </si>
  <si>
    <t xml:space="preserve">Estudiar, difundir y promover implementación de la Carta de Derechos Digitales.</t>
  </si>
  <si>
    <t xml:space="preserve">Juicio: Función divulgativa/técnica comprobada: informes, podcasts y actividades publicados. No sustituye AEPD ni crea por sí mismo derechos exigibles nuevos.</t>
  </si>
  <si>
    <t xml:space="preserve">Sin presupuesto propio: el Observatorio de Derechos Digitales se articula como 'Espacio de Observación de Derechos Digitales' mediante convenio Red.es–Grupo de Entidades (Resolución de Red.es de 29/05/2024, BOE-A-2024-14138, BOE núm. 166 de 10/07/2024). Cláusula cuarta: importe máximo 4.781.250 EUR; Red.es aporta el 80 % (máx. 3.825.000 EUR, cofinanciado íntegramente por la UE, PRTR componente 19, inversión 1, línea 1; aplicación 27.50.460A.74009 'A Red.es para el fomento de los Derechos Digitales y del humanismo tecnológico y cultura digital'); el Grupo de Entidades (coordinadora: Fundación Instituto Hermes) aporta el 20 % en especie (mín. 956.250 EUR). Anualidades previstas: 2024 1.434.375; 2025 1.912.500; 2026 1.434.375 EUR. Vigencia: tres años desde la inscripción en REOICO (cláusula duodécima). Existe una adenda (Resolución de Red.es de 07/05/2026) cuyo contenido no se ha leído. Los 10,83 M EUR citados por el MTDFP (nota de 05/09/2025) son del Programa Derechos Digitales completo, no del Observatorio. Importe de convenio, no presupuesto propio ni gasto ejecutado.</t>
  </si>
  <si>
    <t xml:space="preserve">Cláusula económica leída en BOE-A-2024-14138; contenido de la adenda de 07/05/2026 (posibles cambios de plazos o anualidades) no verificado. Ejecución real no verificada. No asignar todo el Programa Derechos Digitales (10,83 M EUR) a este proyecto.</t>
  </si>
  <si>
    <t xml:space="preserve">https://boe.es/boe/dias/2024/07/10/pdfs/BOE-A-2024-14138.pdf
https://www.red.es/es/area-prensa/notas-prensa/el-observatorio-de-derechos-digitales-realiza-mas-de-20-acciones-para
https://www.boe.es/diario_boe/txt.php?id=BOE-A-2024-14138
https://digital.gob.es/content/dam/portal-mtdfp/comunicacion/comunicacion_ministro/2025/09/2025-09-05/NdPRed.es.pdf</t>
  </si>
  <si>
    <t xml:space="preserve">2024-2026 (anualidades previstas del convenio; 2026: 1,434375 M; adenda de 07/05/2026 no leída)</t>
  </si>
  <si>
    <t xml:space="preserve">Convenio Red.es–Grupo de Entidades (BOE-A-2024-14138, cláusula cuarta): importe máximo; 80 % Red.es (máx. 3,825 M EUR, PRTR, 27.50.460A.74009) + 20 % en especie de las entidades (mín. 0,95625 M EUR). NO presupuesto propio ni ejecución. Sustituye como contextual al Programa Derechos Digitales completo (10,83 M EUR)</t>
  </si>
  <si>
    <t xml:space="preserve">Convenio Red.es–Grupo de Entidades: Espacio de Observación de Derechos Digitales (Observatorio de Derechos Digitales)</t>
  </si>
  <si>
    <t xml:space="preserve">Sin presupuesto propio; financiación por convenio verificada en BOE (máx. 4,78125 M EUR 2024-2026, en columnas contextuales). Personal y salarios: sin cifra individual publicada. No significa 0 EUR.</t>
  </si>
  <si>
    <t xml:space="preserve">Convenio de Red.es (EPE del MTDFP) con un grupo de 20 entidades coordinado por la Fundación Instituto Hermes (incluye Fundación la Caixa, Fundación Telefónica, Fundación Atresmedia, varias universidades, CERMI, OdiseIA, etc.): Red.es financia el 80 % y las entidades aportan el 20 % en especie con medios propios. Personal de las entidades no es plantilla pública; sin cifra publicada. No repartir gasto de Red.es ni del ministerio.</t>
  </si>
  <si>
    <t xml:space="preserve">Convenio para análisis y propuestas de medidas legislativas/no legislativas sobre derechos digitales</t>
  </si>
  <si>
    <t xml:space="preserve">Convenio Red.es-Grupo Entidades 2024, expositivo VI</t>
  </si>
  <si>
    <t xml:space="preserve">https://boe.es/boe/dias/2024/07/10/pdfs/BOE-A-2024-14138.pdf</t>
  </si>
  <si>
    <t xml:space="preserve">Derechos digitales</t>
  </si>
  <si>
    <t xml:space="preserve">Apoyo: Red.es (EPE del MTDFP) financia y supervisa; ejecuta el grupo de entidades coordinado por la Fundación Instituto Hermes, con medios propios (convenio BOE-A-2024-14138). gasto con nombre propio: Hasta 4.781.250 EUR: Red.es aporta hasta 3.825.000 EUR (80 %, PRTR) y las entidades al menos 956.250 EUR en especie; anualidad 2026 de 1.434.375 EUR (cláusula 4.ª, https://www.boe.es/diario_boe/txt.php?id=BOE-A-2024-14138).</t>
  </si>
  <si>
    <t xml:space="preserve">Consejo de Desarrollo Sostenible</t>
  </si>
  <si>
    <t xml:space="preserve">Órgano consultivo nuevo</t>
  </si>
  <si>
    <t xml:space="preserve">2019-02-22</t>
  </si>
  <si>
    <t xml:space="preserve">Orden PCI/169/2019; regulación Orden DSA/819/2020</t>
  </si>
  <si>
    <t xml:space="preserve">Participación social y seguimiento de la Agenda 2030, asesoramiento y propuestas.</t>
  </si>
  <si>
    <t xml:space="preserve">Juicio: Participación y asesoramiento sin poder de ejecutar políticas ni vincular al Gobierno. Reuniones/resultados 2026 no auditados.</t>
  </si>
  <si>
    <t xml:space="preserve">Sin presupuesto propio, verificado en norma: Orden DSA/819/2020 (deroga la Orden PCI/169/2019), apartado undécimo: 'La constitución y funcionamiento del Consejo de Desarrollo Sostenible no supondrán incremento alguno del gasto público'; apartado octavo.2: funcionamiento atendido con cargo a los créditos existentes en el Ministerio de Derechos Sociales y Agenda 2030; octavo.3: el Ministerio 'facilitará los medios personales y materiales necesarios'. Coste absorbido por la Secretaría de Estado para la Agenda 2030. Coste absorbido no cuantificado ni prorrateado; no significa 0 EUR. No atribuir todo el gasto Agenda 2030 al Consejo.</t>
  </si>
  <si>
    <t xml:space="preserve">No atribuir todo el gasto Agenda 2030 al Consejo.</t>
  </si>
  <si>
    <t xml:space="preserve">https://boe.es/diario_boe/txt.php?id=BOE-A-2019-2554
https://www.boe.es/eli/es/o/2020/09/03/dsa819
https://www.boe.es/eli/es/o/2020/09/03/dsa819/con</t>
  </si>
  <si>
    <t xml:space="preserve">Sin plantilla propia según norma (Orden DSA/819/2020, apdos. octavo y undécimo): apoyo con medios del departamento con competencias en Agenda 2030 (Secretaría de Estado para la Agenda 2030; DG de Políticas Palanca para el Cumplimiento de la Agenda 2030); no hay cifra publicada de personal de apoyo asignado; vocales no son plantilla</t>
  </si>
  <si>
    <t xml:space="preserve">Sin crédito de personal propio (verificado en norma, Orden DSA/819/2020, apdos. octavo y undécimo): coste absorbido por créditos del departamento con competencias en Agenda 2030 (Secretaría de Estado para la Agenda 2030; DG de Políticas Palanca para el Cumplimiento de la Agenda 2030); no desglosado ni prorrateado</t>
  </si>
  <si>
    <t xml:space="preserve">Sin ejecución propia: el gasto que genere se imputa al departamento con competencias en Agenda 2030 (Secretaría de Estado para la Agenda 2030; DG de Políticas Palanca para el Cumplimiento de la Agenda 2030) sin desglose publicado; no prorrateado</t>
  </si>
  <si>
    <t xml:space="preserve">Sin presupuesto propio (verificado en norma, Orden DSA/819/2020, apdos. octavo y undécimo); personal y salarios absorbidos por el departamento con competencias en Agenda 2030 (Secretaría de Estado para la Agenda 2030; DG de Políticas Palanca para el Cumplimiento de la Agenda 2030), sin desglose ni plantilla propia publicada. No significa 0 EUR.</t>
  </si>
  <si>
    <t xml:space="preserve">Adscrito a través de la Secretaría de Estado para la Agenda 2030, cuyo titular lo preside (apdos. primero.2 y tercero.2). Secretaría: Dirección General de Políticas Palanca para el Cumplimiento de la Agenda 2030, con voz y sin voto (apdo. tercero.4). Medios personales y materiales del Ministerio (apdo. octavo.3). Apdo. octavo.1: los integrantes 'no percibirán remuneración alguna'. Corrección: la nota previa atribuía los medios al MITERD; la norma vigente los atribuye al Ministerio de Derechos Sociales y Agenda 2030 (denominación de 2020). Vocales/miembros no son plantilla. No repartir gasto ministerial.</t>
  </si>
  <si>
    <t xml:space="preserve">Asesoramiento sobre planes/estrategias Agenda 2030, análisis y diálogo</t>
  </si>
  <si>
    <t xml:space="preserve">Orden DSA/819/2020, apartado Segundo</t>
  </si>
  <si>
    <t xml:space="preserve">https://www.boe.es/eli/es/o/2020/09/03/dsa 819</t>
  </si>
  <si>
    <t xml:space="preserve">Agenda 2030</t>
  </si>
  <si>
    <t xml:space="preserve">Apoyo: DG de Políticas Palanca para el Cumplimiento de la Agenda 2030 (secretaría, apdo. Tercero.4); el Ministerio facilita los medios personales y materiales (apdo. Octavo.3), y además hay asistencia técnica contratada. vocales: 61. miembros: no retribuidos (apdo. Octavo.1 Orden DSA/819/2020: «no percibirán remuneración alguna por el ejercicio de sus funciones»). gasto con nombre propio: 153.620,64 EUR (valor estimado, sin IVA): licitación de 2024 del «Servicio de asesoramiento y asistencia técnica al Consejo de Desarrollo Sostenible y a sus grupos de trabajo técnicos», exp. 242907PA0001, DOUE S 180/2024 de 16/09/2024 (https://ted.europa.eu/es/notice/554472-2024/pdf).</t>
  </si>
  <si>
    <t xml:space="preserve">Consejo de Participación de las Personas LGTBI</t>
  </si>
  <si>
    <t xml:space="preserve">2020-06-24</t>
  </si>
  <si>
    <t xml:space="preserve">Orden IGD/577/2020</t>
  </si>
  <si>
    <t xml:space="preserve">Diálogo y participación en igualdad, no discriminación y políticas que afectan a personas LGTBI.</t>
  </si>
  <si>
    <t xml:space="preserve">Juicio: Consultivo y de participación. No es un regulador ni un órgano de sanción. Actividad actual no comprobada.</t>
  </si>
  <si>
    <t xml:space="preserve">Sin presupuesto propio, verificado en norma: Orden IGD/577/2020 (BOE-A-2020-6840), disposición adicional única: creación y funcionamiento 'no supondrán incremento de gasto público', 'serán atendidos con las dotaciones presupuestarias ordinarias del Ministerio de Igualdad' y 'En ningún caso podrán suponer aumento neto de los gastos de personal al servicio de la Administración General del Estado'. Coste absorbido por el Ministerio de Igualdad. Coste absorbido no cuantificado ni prorrateado; no significa 0 EUR.</t>
  </si>
  <si>
    <t xml:space="preserve">Sin verificación de plantilla, gasto separado o cumplimiento de calendario.</t>
  </si>
  <si>
    <t xml:space="preserve">https://www.boe.es/buscar/doc.php?id=BOE-A-2020-6840
https://www.boe.es/eli/es/o/2020/06/24/igd577/con
https://www.igualdad.gob.es/wp-content/uploads/IGD_577_2020.pdf</t>
  </si>
  <si>
    <t xml:space="preserve">Sin plantilla propia según norma (Orden IGD/577/2020, disposición adicional única): apoyo con medios del Ministerio de Igualdad (DG de Diversidad Sexual y Derechos LGTBI; SG de Derechos LGTBI); no hay cifra publicada de personal de apoyo asignado; vocales no son plantilla</t>
  </si>
  <si>
    <t xml:space="preserve">Sin crédito de personal propio (verificado en norma, Orden IGD/577/2020, disposición adicional única): coste absorbido por créditos del Ministerio de Igualdad (DG de Diversidad Sexual y Derechos LGTBI; SG de Derechos LGTBI); no desglosado ni prorrateado</t>
  </si>
  <si>
    <t xml:space="preserve">Sin ejecución propia: el gasto que genere se imputa al Ministerio de Igualdad (DG de Diversidad Sexual y Derechos LGTBI; SG de Derechos LGTBI) sin desglose publicado; no prorrateado</t>
  </si>
  <si>
    <t xml:space="preserve">Sin presupuesto propio (verificado en norma, Orden IGD/577/2020, disposición adicional única); personal y salarios absorbidos por el Ministerio de Igualdad (DG de Diversidad Sexual y Derechos LGTBI; SG de Derechos LGTBI), sin desglose ni plantilla propia publicada. No significa 0 EUR.</t>
  </si>
  <si>
    <t xml:space="preserve">Secretaría: titular de la Subdirección General de Derechos LGTBI (apdo. 3.2); vicepresidencia primera: DG de Diversidad Sexual y Derechos LGTBI (apdo. 3.1.b). Dotaciones ordinarias del Ministerio de Igualdad, sin aumento neto de gastos de personal (DA única). La orden no regula retribuciones, dietas ni indemnizaciones de miembros. Vocales/miembros no son plantilla. No repartir gasto ministerial.</t>
  </si>
  <si>
    <t xml:space="preserve">Participación y observaciones sobre proyectos, planes y programas LGTBI</t>
  </si>
  <si>
    <t xml:space="preserve">OrdenIGD/577/2020 apartado 2(c),(f)</t>
  </si>
  <si>
    <t xml:space="preserve">https://www.boe.es/buscar/doc.php?id=BOE-A-2020-6840</t>
  </si>
  <si>
    <t xml:space="preserve">Participación: personas LGTBI</t>
  </si>
  <si>
    <t xml:space="preserve">Apoyo: Secretaría: titular de la SG de Derechos LGTBI, con suplente funcionario A1 de esa SG (apdo. 3.2 y 5.5); dotaciones ordinarias del Ministerio de Igualdad, sin aumento de gastos de personal (DA única). vocales: 31.</t>
  </si>
  <si>
    <t xml:space="preserve">Consejo Estatal de Participación de la Infancia y de la Adolescencia (CEPIA)</t>
  </si>
  <si>
    <t xml:space="preserve">Órgano nuevo; norma sustituida 2026 sin extinción de la función</t>
  </si>
  <si>
    <t xml:space="preserve">2021-09-22</t>
  </si>
  <si>
    <t xml:space="preserve">Orden DSA/1009/2021; regulación Orden JUI/80/2026</t>
  </si>
  <si>
    <t xml:space="preserve">Participación de niños y adolescentes en políticas que les afectan.</t>
  </si>
  <si>
    <t xml:space="preserve">Juicio: Órgano participativo sin facultad de imponer decisiones al Gobierno. Su valor es representación, no mando.</t>
  </si>
  <si>
    <t xml:space="preserve">Sin presupuesto propio, verificado en norma: Orden JUI/80/2026 (BOE-A-2026-3001, BOE núm. 35 de 09/02/2026), apartado decimosexto.3 (pág. 20676): 'El departamento ministerial con competencias en materia de infancia proveerá al CEPIA de los medios necesarios'; la Dirección General con competencias en participación de la infancia y la adolescencia y apoyo al CEPIA 'atenderá los gastos de funcionamiento del CEPIA con cargo a su presupuesto'. No contiene cláusula expresa de 'no incremento del gasto'. Coste absorbido por esa Dirección General. Coste absorbido no cuantificado ni prorrateado; no significa 0 EUR. La secretaría puede actuar 'a través de la asistencia técnica de profesionales especializados' (apdo. duodécimo.1.d): posible contrato de asistencia no localizado. Deja sin efectos la Orden DSA/1009/2021 (apdo. decimonoveno) sin extinguir el Consejo.</t>
  </si>
  <si>
    <t xml:space="preserve">Derogación de orden 2021 no significa desaparición: se aprueba regulación nueva en enero 2026.</t>
  </si>
  <si>
    <t xml:space="preserve">https://www.boe.es/buscar/doc.php?id=BOE-A-2021-15582
https://www.boe.es/eli/es/o/2026/01/29/jui80
https://boe.es/boe/dias/2026/02/09/pdfs/BOE-A-2026-3001.pdf</t>
  </si>
  <si>
    <t xml:space="preserve">Sin plantilla propia según norma (Orden JUI/80/2026, apdo. decimosexto.3): apoyo con medios del departamento con competencias en infancia (Dirección General con competencias en participación infantil y apoyo al CEPIA); no hay cifra publicada de personal de apoyo asignado; vocales no son plantilla</t>
  </si>
  <si>
    <t xml:space="preserve">Sin crédito de personal propio (verificado en norma, Orden JUI/80/2026, apdo. decimosexto.3): coste absorbido por créditos del departamento con competencias en infancia (Dirección General con competencias en participación infantil y apoyo al CEPIA); no desglosado ni prorrateado</t>
  </si>
  <si>
    <t xml:space="preserve">Sin ejecución propia: el gasto que genere se imputa al departamento con competencias en infancia (Dirección General con competencias en participación infantil y apoyo al CEPIA) sin desglose publicado; no prorrateado</t>
  </si>
  <si>
    <t xml:space="preserve">Sin presupuesto propio (verificado en norma, Orden JUI/80/2026, apdo. decimosexto.3); personal y salarios absorbidos por el departamento con competencias en infancia (Dirección General con competencias en participación infantil y apoyo al CEPIA), sin desglose ni plantilla propia publicada. No significa 0 EUR.</t>
  </si>
  <si>
    <t xml:space="preserve">Secretaría: persona funcionaria designada por la Dirección General con competencias en participación infantil y apoyo al CEPIA (apdo. duodécimo, pág. 20675), que puede apoyarse en asistencia técnica externa (duodécimo.1.d). La DG presta 'los apoyos técnicos, administrativos y logísticos necesarios' (decimosexto.3). Los miembros lo son 'a título voluntario' (apdo. tercero.3); la orden no regula retribuciones ni indemnizaciones ni dice quién paga desplazamientos de consejeros y acompañantes. Consejeros menores no son plantilla. No repartir gasto ministerial.</t>
  </si>
  <si>
    <t xml:space="preserve">Consultas facultativas sobre proyectos normativos</t>
  </si>
  <si>
    <t xml:space="preserve">NO: consultas de carácter facultativo sobre proyectos normativos, planes, estrategias y programas</t>
  </si>
  <si>
    <t xml:space="preserve">No consentimiento o informe favorable normativo exigido en el apartado Segundo.d)</t>
  </si>
  <si>
    <t xml:space="preserve">Sin veto normativo atribuido en la función revisada. No confundir el dictamen vinculante sobre cese de miembros con una facultad sobre leyes.</t>
  </si>
  <si>
    <t xml:space="preserve">Orden DSA/1009/2021, apartado Segundo.d); distinguir apartado Séptimo.2, cese de miembros</t>
  </si>
  <si>
    <t xml:space="preserve">https://www.boe.es/buscar/doc.php?id=BOE-A-2021-15582</t>
  </si>
  <si>
    <t xml:space="preserve">Participación: infancia</t>
  </si>
  <si>
    <t xml:space="preserve">Apoyo: Dirección General competente en participación infantil y apoyo al CEPIA (Ministerio de Juventud e Infancia): secretaría a cargo de una persona funcionaria designada por la DG, que puede actuar «a través de la asistencia técnica de profesionales especializados» (apdo. Duodécimo.1.d); la DG atiende los gastos con cargo a su presupuesto (apdo. Decimosexto.3). vocales: 34.</t>
  </si>
  <si>
    <t xml:space="preserve">Consejo Nacional de Seguridad Aeroespacial</t>
  </si>
  <si>
    <t xml:space="preserve">Órgano de apoyo nuevo</t>
  </si>
  <si>
    <t xml:space="preserve">2020-03-04</t>
  </si>
  <si>
    <t xml:space="preserve">Acuerdo CSN 04/03/2020, Orden PCM/218/2020</t>
  </si>
  <si>
    <t xml:space="preserve">Apoyar al Consejo de Seguridad Nacional en riesgos y política de seguridad aeroespacial.</t>
  </si>
  <si>
    <t xml:space="preserve">Juicio: Coordinación institucional de seguridad, no mando militar autónomo ni presupuesto de defensa separado.</t>
  </si>
  <si>
    <t xml:space="preserve">Sin presupuesto propio, verificado en norma: Orden PCM/218/2020, de 13 de marzo (BOE-A-2020-3638), que publica el Acuerdo del Consejo de Seguridad Nacional de 04/03/2020 (texto consolidado; única modificación por Orden PCM/549/2023, BOE-A-2023-13094, solo composición). Órgano de apoyo del Consejo de Seguridad Nacional (art. 20.3 Ley 36/2015) (apartado Segundo), sin dotación propia: la Secretaría Técnica y el órgano de trabajo permanente los desempeña el Departamento de Seguridad Nacional, entre cuyo personal se designa al Secretario (Quinto.d), y la Presidencia (JEMAD, Quinto.a) 'podrá recabar los apoyos necesarios de su propia estructura'. La norma NO contiene cláusula expresa de 'no incremento del gasto' ni menciona presupuesto, retribuciones o indemnizaciones. Coste absorbido por el DSN (Presidencia del Gobierno), el EMAD y los departamentos con vocalía; no cuantificado ni prorrateado; no significa 0 EUR.</t>
  </si>
  <si>
    <t xml:space="preserve">No se ha verificado calendario completo, plantilla ni decisiones implementadas.</t>
  </si>
  <si>
    <t xml:space="preserve">40</t>
  </si>
  <si>
    <t xml:space="preserve">https://boe.es/buscar/doc.php?id=BOE-A-2020-3638
https://www.boe.es/eli/es/o/2020/03/13/pcm218/con
https://www.boe.es/eli/es/o/2023/05/31/pcm549
https://www.boe.es/eli/es/o/2025/07/29/pjc845/con</t>
  </si>
  <si>
    <t xml:space="preserve">Sin plantilla propia según norma (Orden PCM/218/2020, apartado Quinto.d): apoyo con personal del Departamento de Seguridad Nacional y de la estructura del JEMAD; no hay cifra publicada de personal asignado; vocales no son plantilla</t>
  </si>
  <si>
    <t xml:space="preserve">Sin crédito de personal propio (verificado en norma, Orden PCM/218/2020, apartados Segundo y Quinto.d): coste absorbido por el Departamento de Seguridad Nacional (Presidencia del Gobierno) y el EMAD (Defensa); no desglosado ni prorrateado</t>
  </si>
  <si>
    <t xml:space="preserve">Sin ejecución propia: el gasto que genere se imputa al DSN (Presidencia del Gobierno), al EMAD (Defensa) y a los departamentos de los vocales sin desglose publicado; no prorrateado</t>
  </si>
  <si>
    <t xml:space="preserve">Sin presupuesto propio (verificado en norma, Orden PCM/218/2020, apartados Segundo y Quinto.d; sin cláusula expresa de gasto); personal y salarios absorbidos por el DSN y el EMAD, sin desglose ni plantilla propia publicada. No significa 0 EUR.</t>
  </si>
  <si>
    <t xml:space="preserve">Presidencia: JEMAD (Quinto.a). Secretaría Técnica y órgano de trabajo permanente: Departamento de Seguridad Nacional; Secretario designado entre su personal a propuesta de su director (Quinto.d). Vocales con rango mínimo de Subdirector General designados por cada ministerio/organismo, más un vocal de la Agencia Espacial Española (Quinto.c.1, redacción de la Orden PCM/549/2023). La norma no prevé retribuciones ni indemnizaciones. Vocales no son plantilla. No repartir gasto de Presidencia del Gobierno ni de Defensa.</t>
  </si>
  <si>
    <t xml:space="preserve">Contribución a propuestas normativas de seguridad aeroespacial y apoyo al Consejo de Seguridad Nacional</t>
  </si>
  <si>
    <t xml:space="preserve">OrdenPCM/218/2020 acuerdoCuarto.5</t>
  </si>
  <si>
    <t xml:space="preserve">https://www.boe.es/buscar/doc.php?id=BOE-A-2020-3638</t>
  </si>
  <si>
    <t xml:space="preserve">Seguridad aeroespacial</t>
  </si>
  <si>
    <t xml:space="preserve">Apoyo: Departamento de Seguridad Nacional: Secretaría Técnica y órgano de trabajo permanente, con secretario designado entre su personal (apdo. Quinto.d Orden PCM/218/2020); la presidencia (JEMAD) puede recabar apoyos de su estructura.</t>
  </si>
  <si>
    <t xml:space="preserve">Centro Nacional de Fotografía</t>
  </si>
  <si>
    <t xml:space="preserve">Centro cultural estatal nuevo</t>
  </si>
  <si>
    <t xml:space="preserve">2023-07-18</t>
  </si>
  <si>
    <t xml:space="preserve">RD 670/2023</t>
  </si>
  <si>
    <t xml:space="preserve">Conservar, estudiar y difundir patrimonio fotográfico; colección, archivo y exposiciones.</t>
  </si>
  <si>
    <t xml:space="preserve">Juicio: Función cultural real comprobada: exposición de colección octubre 2026 con 102 obras de 38 autores. No regulador; no debe evaluarse por capacidad sancionadora.</t>
  </si>
  <si>
    <t xml:space="preserve">Sin presupuesto propio. RD 670/2023, de 18 de julio (BOE-A-2023-16819): art.1.1, centro 'de titularidad y gestión estatal' que 'dependerá orgánica y funcionalmente de la Dirección General de Patrimonio Cultural y Bellas Artes', a través de la Subdirección General de Museos Estatales; art.2.1, 'La naturaleza jurídica del Centro Nacional de Fotografía es la de un museo de titularidad estatal' (Reglamento de Museos de Titularidad Estatal, RD 620/1987), sin personalidad jurídica propia; art.8.2.c, el Patronato conoce el 'anteproyecto de presupuesto que deberá presentar la Subdirección General de Museos Estatales'; disposición adicional segunda: los gastos de creación 'serán atendidos con cargo a los créditos presupuestarios del Ministerio de Cultura y Deporte' y 'Lo dispuesto en este real decreto no supondrá incremento del gasto público'. Sin importe específico identificable (la inversión en la sede de Soria no se ha verificado en fuente primaria). No se reparte el presupuesto del Ministerio de Cultura.</t>
  </si>
  <si>
    <t xml:space="preserve">Actividad acreditada no acredita sede plenamente finalizada ni todo el gasto del centro.</t>
  </si>
  <si>
    <t xml:space="preserve">https://www.boe.es/diario_boe/txt.php?id=BOE-A-2023-16819
https://www.cultura.gob.es/actualidad/2026/10/261002-constelaciones-cnf.html
https://laadministracionaldia.inap.es/noticia.asp?id=1235579
https://www.congreso.es/l15p/e11/e_0114946_n_000.pdf</t>
  </si>
  <si>
    <t xml:space="preserve">Sin presupuesto propio (verificado en norma: museo estatal sin personalidad, créditos del Ministerio de Cultura); personal y salarios no desglosados; no significa cero coste</t>
  </si>
  <si>
    <t xml:space="preserve">Apoyo ministerial/departamental indicado en el lote y norma de la ficha; gasto individual no desglosado verificado. No repartir gasto total del ministerio. Anteproyecto vía Subdirección de Museos Estatales (Cultura) Precisión con fuente (RD 670/2023): museo de titularidad estatal sin personalidad (arts.1.1 y 2.1); la DA primera prevé aprobar 'la relación de puestos de trabajo necesaria' (RPT no localizada); la Secretaría del Patronato corresponde a un funcionario de carrera de subgrupo A2 como mínimo (art.5.e); la Dirección se provee conforme al TREBEP (art.11.1). Pregunta parlamentaria de 19/05/2026 (Congreso, registro 114946) sobre la constitución del Patronato, presupuesto y personal: respuesta no localizada.</t>
  </si>
  <si>
    <t xml:space="preserve">Revisado: CentroFotografía, informe sobre salida de fondos</t>
  </si>
  <si>
    <t xml:space="preserve">Preceptivo sobre salida de fondos del Centro, NO informe general de leyes.</t>
  </si>
  <si>
    <t xml:space="preserve">Fondos significa patrimonio fotográfico en este contexto, no créditos presupuestarios ni permiso para ley.</t>
  </si>
  <si>
    <t xml:space="preserve">RD670/2023 art8e</t>
  </si>
  <si>
    <t xml:space="preserve">https://www.boe.es/diario_boe/txt.php?id=BOE-A-2023-16819</t>
  </si>
  <si>
    <t xml:space="preserve">Museo estatal sin presupuesto propio, creado en 2023.</t>
  </si>
  <si>
    <t xml:space="preserve">El P100 no trata cultura</t>
  </si>
  <si>
    <t xml:space="preserve">Patrimonio fotográfico</t>
  </si>
  <si>
    <t xml:space="preserve">Sociedad Española para la Transformación Tecnológica (SETT), antes SEMYS</t>
  </si>
  <si>
    <t xml:space="preserve">SEMYS creada 2023; transformación en EPE SETT 2024</t>
  </si>
  <si>
    <t xml:space="preserve">2023-2024</t>
  </si>
  <si>
    <t xml:space="preserve">Ley 31/2022, DA 48; RD 676/2024</t>
  </si>
  <si>
    <t xml:space="preserve">Invertir, financiar y gestionar PERTE Chip, Next Tech y Spain Audiovisual Hub.</t>
  </si>
  <si>
    <t xml:space="preserve">Juicio: Poder financiero real: operaciones de capital, créditos y garantías. No duplicar sociedad precedente y EPE como dos entes actuales.</t>
  </si>
  <si>
    <t xml:space="preserve">2026, presupuesto operativo de gastos del Plan Operativo Anual 2026 (versión final; fichero fechado 25/03/2026)</t>
  </si>
  <si>
    <t xml:space="preserve">Presupuesto operativo de gastos 2026 de la SETT: 11.144,5 miles EUR = 11,1445 M EUR (Plan Operativo Anual 2026, Tabla 2 'Gastos operativos SETT 2024-2026 (ppto)', p.25; texto p.24: 'El presupuesto operativo de gastos para el año 2026 ascenderá a 11,1 millones de euros'). Incluye gastos de personal 4,000 M, evaluación de operaciones (Comisión de Evaluación y Consejo Rector; notarías e informes), gastos corrientes y servicios especializados (encargos a Ineco/Tragsatec y otros: 5,1717 M). Serie: 2024 real 3,5378 M; 2025 provisional 7,1036 M; 2026 ppto 11,1445 M. NO incluye las dotaciones de los instrumentos (RD 676/2024: Chip 10.750 M, Next Tech 4.000 M, Audiovisual 1.712 M) ni lo formalizado en 2025 (POA p.9: PERTE Chip 864,4 M; Next Tech 100,2 M directas + 217,0 M vehículos; Audiovisual 49,4 M): son operaciones financieras de los fondos, no gasto anual de funcionamiento. El POA no indica fecha ni órgano de aprobación; el Estatuto (RD 676/2024, art.11.1.e) atribuye al Consejo Rector aprobar el plan anual de actuación y los presupuestos anuales de explotación y de capital. Advertencia: en la extracción las partidas de la Tabla 2 no suman exactamente el total impreso; el total 2026 coincide con el texto de p.24. Presupuesto de explotación y capital en PGE (prórroga 2026): no localizado.</t>
  </si>
  <si>
    <t xml:space="preserve">La suma de fondos no es presupuesto administrativo, ni gasto ejecutado, ni autoridad para invertir todo de inmediato.</t>
  </si>
  <si>
    <t xml:space="preserve">https://www.boe.es/eli/es/rd/2024/07/16/676
https://sett.gob.es/wp-content/uploads/2026/09/20260325-POA-SETT-vf.pdf
https://sett.gob.es/wp-content/uploads/2026/09/MEMORIA-PAP-SETT-2026-2028-vdef.pdf
https://sett.gob.es/transparencia/
https://sett.gob.es/empleo/
https://sett.gob.es/wp-content/uploads/2025/12/20251229_OPE-SETT.pdf
https://sett.gob.es/wp-content/uploads/2026/09/Resolucion-Plazas-OPE.pdf
https://sett.gob.es/wp-content/uploads/2025/08/RD_676_creacion_SETT.pdf</t>
  </si>
  <si>
    <t xml:space="preserve">Gastos de personal presupuestados 2026 (POA 2026, Tabla 2 p.25 y cuenta de pérdidas y ganancias presupuestada p.27): sueldos y salarios 2.934,1 + Seguridad Social y otros 1.065,9 = 4.000,0 miles EUR. Base cuenta de PyG de EPE, NO capítulo 1 presupuestario</t>
  </si>
  <si>
    <t xml:space="preserve">Previsión presupuestaria propia de la entidad (POA 2026); no gasto realizado ni solo salarios</t>
  </si>
  <si>
    <t xml:space="preserve">https://sett.gob.es/wp-content/uploads/2026/09/20260325-POA-SETT-vf.pdf</t>
  </si>
  <si>
    <t xml:space="preserve">2025 año completo; cifra PROVISIONAL ('Prov.') del POA 2026, no cuentas anuales auditadas</t>
  </si>
  <si>
    <t xml:space="preserve">Gastos de personal 2025 de la cuenta de PyG provisional (POA 2026, Tabla 2 p.25; PyG p.27): sueldos y salarios 1.410,4 + Seguridad Social y otros 160,4 = 1.570,8 miles EUR; base PyG, no capítulo 1</t>
  </si>
  <si>
    <t xml:space="preserve">Fuente primaria cotejada contra fila y unidad milesEUR; no estimación; cifra provisional</t>
  </si>
  <si>
    <t xml:space="preserve">Presupuesto operativo 2026 y gastos de personal 2026 (presupuestados) y 2025 (provisionales) verificados en el POA 2026; plantilla ocupada no publicada; efectivos autorizados previstos (63 a cierre de 2026) según PAP; cuentas anuales 2024/2025 no localizadas</t>
  </si>
  <si>
    <t xml:space="preserve">2026 (previsión a cierre del ejercicio)</t>
  </si>
  <si>
    <t xml:space="preserve">Efectivos autorizados por la DG de Función Pública con los que se prevé cerrar 2026 (Memoria PAP 2026-2028, p.26: '63 efectivos al final del ejercicio'; p.57: incorporación en 2026 de las 50 personas autorizadas en su oferta de empleo). Previsión/autorización, NO ocupación real. El PAP cita 130 plazas previstas en la constitución (p.57) y 83 empleados en 2028</t>
  </si>
  <si>
    <t xml:space="preserve">https://sett.gob.es/wp-content/uploads/2026/09/MEMORIA-PAP-SETT-2026-2028-vdef.pdf</t>
  </si>
  <si>
    <t xml:space="preserve">EPE con personal laboral propio (Estatuto RD 676/2024: art.18.1 Estatuto de los Trabajadores; art.18.3 retribuciones fijadas por el Director General según criterios del Consejo Rector, art.11.1.h; art.17.3 directivos sujetos al RD 451/2012). Plantilla actual no publicada (ni POA ni web de empleo). OPE publicada 29/12/2025: 49 plazas indefinidas (4 administrativas, 41 técnicas, 4 jefaturas; bases pp.1-2). La resolución de adjudicación (publicada sept. 2026) marca 38 filas 'ADJUDICADA', 6 'DESIERTA' y 5 'NO ADJUDICADA' (recuento de filas de la tabla, sin total oficial; no se usa como plantilla). Retribuciones de convocatoria (Anexo I de las bases OPE): administrativo E-4 parte fija 31.100 EUR + incentivo variable 2.000; técnico/a de Asesoría Jurídica E-4 45.000 EUR con incentivo variable 6.500; jefatura de departamento 70.000 EUR + incentivo variable 10.000. Previsión PAP 2026-2028 (p.57) de gastos de personal (incl. acción social y SS): 4,0 M (2026), 6,1 M (2027), 6,8 M (2028).</t>
  </si>
  <si>
    <t xml:space="preserve">Revisado: SETT</t>
  </si>
  <si>
    <t xml:space="preserve">Estudios/asistencia y financiación digital; no dictamen previo general de leyes en art3.</t>
  </si>
  <si>
    <t xml:space="preserve">RD676/2024 art3</t>
  </si>
  <si>
    <t xml:space="preserve">https://www.boe.es/eli/es/rd/2024/07/16/676</t>
  </si>
  <si>
    <t xml:space="preserve">Serie de gastos de personal (PyG, miles EUR; POA 2026 Tabla 2 p.25 y PyG p.27): 2024 real 612,1 (sueldos 536,7; SS 75,4); 2025 provisional 1.570,8 (sueldos 1.410,4; SS y otros 160,4); 2026 presupuesto 4.000,0 (sueldos 2.934,1; SS y otros 1.065,9; en la PyG: SS a cargo de la empresa 821 + otros 244). No consta si 2024 incluye meses como SEMYS S.A. (la EPE inició su funcionamiento el 31/07/2024, PAP p.4). Cuentas anuales 2024/2025 auditadas no localizadas: el portal de transparencia remite al buscador de Rendición de Cuentas de Hacienda (no legible automáticamente). Por eso BO-BU quedan vacías: la cifra 2025 es provisional.</t>
  </si>
  <si>
    <t xml:space="preserve">Sin cifra anual 2025 de cuentas anuales: solo la provisional de 1,5708 M (POA 2026), que no se lleva a BP. Nulo, NO cero.</t>
  </si>
  <si>
    <t xml:space="preserve">Invierte los fondos del PERTE Chip y Next Tech; el P100 audita el PERTE Chip antes de comprometer un euro más y fija condiciones a quien recibe capital público.</t>
  </si>
  <si>
    <t xml:space="preserve">Explícito en el P100: Crecer y producir 5</t>
  </si>
  <si>
    <t xml:space="preserve">Fondos tecnológicos (PERTE)</t>
  </si>
  <si>
    <t xml:space="preserve">Plazas convocadas en la OPE de 29/12/2025 (49 plazas de personal laboral indefinido; bases, tabla de la p. 2). NO es la plantilla ocupada: el PAP 2026-2028 prevé 63 efectivos a fin de 2026 y la resolución de adjudicación marca 38 plazas adjudicadas.</t>
  </si>
  <si>
    <t xml:space="preserve">Por función, según la dirección y el departamento de cada plaza en la tabla de la OPE. Núcleo inversor/técnico: Dirección de Capitalización (5), Desarrollo de Negocio sin Dpto. Sistemas (3), Audiovisual (2), Seguimiento (2), Programas (1), Evaluación Técnica (2) y Dpto. Estructuración Financiera de Operaciones de la Dirección Financiera (5) = 20. Administración y apoyo: Dirección General (4 administrativos de 'Dirección', 3 de Auditoría y Control, 2 de Comunicación/Relaciones Institucionales) = 9; Secretaría General (Asesoría Jurídica, Contratación, RR.HH. y RSC, Área Institucional y Compliance) = 12; Dirección Financiera, Dptos. Administración y Recursos Financieros (3) y Contabilidad (3) = 6; total 27. Otro: Dpto. Sistemas de la Dirección de Desarrollo de Negocio (T/25-21 y J/25-04) = 2, porque la OPE no aclara si es informática interna o función de negocio. Por categoría literal, en cambio: 41 técnicos + 4 jefaturas + 4 administrativos.</t>
  </si>
  <si>
    <t xml:space="preserve">https://sett.gob.es/wp-content/uploads/2025/12/20251229_OPE-SETT.pdf</t>
  </si>
  <si>
    <t xml:space="preserve">Bases de la OPE de la SETT (29/12/2025). La p. 1 dice: 'cobertura de 49 plazas de carácter indefinido de personal Administrativo, Técnico, y Jefaturas de Departamento'. La tabla de la p. 2 tiene 39 filas: A/25-01 (4 plazas, DG/Dirección); T/25-01 a T/25-34; J/25-01 a J/25-04. Plazas por dirección: DG 9 (A/25-01 4; T/25-25 2; T/25-26, 27, 28 1 cada una); SG 12 (T/25-01 a 08: 1+1+3+1+1+1+1+2; J/25-01 1); Financiera 11 (Estructuración T/25-09 1, T/25-10 1, T/25-11 2, T/25-17 1 = 5; Adm. y Rec. Financieros T/25-12, T/25-16, J/25-02 = 3; Contabilidad T/25-13, 14, 15 = 3); Capitalización 5 (T/25-18, 19, 20, 33, J/25-03); Negocio 5 (Sistemas T/25-21 + J/25-04 = 2; T/25-22, 23, 24 = 3); Audiovisual 2 (T/25-29); Seguimiento 2 (T/25-30); Programas 1 (T/25-31); Evaluación Técnica 2 (T/25-32, T/25-34). Suma 49. Ni el POA 2026 ni la Memoria PAP 2026-2028 dan la plantilla real por categoría.</t>
  </si>
  <si>
    <t xml:space="preserve">Oficina Técnica de Desertificación</t>
  </si>
  <si>
    <t xml:space="preserve">Unidad interna nueva</t>
  </si>
  <si>
    <t xml:space="preserve">2025-08-01</t>
  </si>
  <si>
    <t xml:space="preserve">Orden TED/873/2025</t>
  </si>
  <si>
    <t xml:space="preserve">Coordinación técnica y representación internacional contra desertificación; seguimiento y propuestas.</t>
  </si>
  <si>
    <t xml:space="preserve">Juicio: Capacidad técnica interna prevista, no organismo autónomo ni policía ambiental.</t>
  </si>
  <si>
    <t xml:space="preserve">Sin presupuesto propio, verificado en norma: Orden TED/873/2025, de 1 de agosto (BOE-A-2025-16493, BOE núm. 191 de 09/08/2025; en vigor 10/08/2025), disposición adicional única: 'La creación de la Oficina Técnica de Desertificación no supondrá incremento de gasto y se financiará con los presupuestos propios del Ministerio.' Órgano administrativo adscrito a la Subdirección General de Política Forestal y Lucha contra la Desertificación de la DG de Biodiversidad, Bosques y Desertificación del MITERD (artículo único.1), con el rango que determine la RPT (artículo único.2). Coste absorbido por el MITERD, no cuantificado ni prorrateado; no significa 0 EUR.</t>
  </si>
  <si>
    <t xml:space="preserve">La norma cita carencia previa de medios; no acredita cuánto personal se incorporó después.</t>
  </si>
  <si>
    <t xml:space="preserve">https://boe.es/buscar/doc.php?id=BOE-A-2025-16493
https://www.boe.es/eli/es/o/2025/08/01/ted873</t>
  </si>
  <si>
    <t xml:space="preserve">Sin plantilla propia diferenciada publicada: unidad integrada en la SG de Política Forestal y Lucha contra la Desertificación (MITERD), rango según RPT (Orden TED/873/2025, artículo único.2); no hay cifra publicada de puestos ni personas asignadas</t>
  </si>
  <si>
    <t xml:space="preserve">Sin crédito de personal propio (verificado en norma, Orden TED/873/2025, DA única): coste absorbido por los presupuestos del MITERD (DG de Biodiversidad, Bosques y Desertificación); no desglosado ni prorrateado</t>
  </si>
  <si>
    <t xml:space="preserve">Sin ejecución propia: el gasto se imputa al MITERD (DG de Biodiversidad, Bosques y Desertificación) sin desglose publicado; no prorrateado</t>
  </si>
  <si>
    <t xml:space="preserve">Sin presupuesto propio (verificado en norma, Orden TED/873/2025, DA única); personal y salarios absorbidos por el MITERD (SG de Política Forestal y Lucha contra la Desertificación), sin desglose ni plantilla propia publicada. No significa 0 EUR.</t>
  </si>
  <si>
    <t xml:space="preserve">Unidad administrativa interna (no colegiada) de la SG de Política Forestal y Lucha contra la Desertificación (DGBBD, MITERD); rango y puestos según RPT, no fijados en la Orden (sin plantilla ni jefatura en el texto). Preámbulo: 'los medios que se han podido dedicar a este ámbito han sido limitados', carencia señalada por el Tribunal de Cuentas en 2020 y 2023. Financiada con presupuestos propios del Ministerio (DA única). Coordina el Comité Nacional de Lucha contra la Desertificación del RD 105/2025 (artículo único.3.e). No repartir gasto ministerial.</t>
  </si>
  <si>
    <t xml:space="preserve">Revisado: Oficina desertificación</t>
  </si>
  <si>
    <t xml:space="preserve">Unidad técnica ejecución/coordinación y apoyo definiciónpolíticas; no informe normativo obligatorio en su orden.</t>
  </si>
  <si>
    <t xml:space="preserve">OrdenTED/873/2025 artículoúnico.3</t>
  </si>
  <si>
    <t xml:space="preserve">https://boe.es/buscar/doc.php?id=BOE-A-2025-16493</t>
  </si>
  <si>
    <t xml:space="preserve">Desertificación</t>
  </si>
  <si>
    <t xml:space="preserve">Apoyo: Es un órgano administrativo de la SG de Política Forestal y Lucha contra la Desertificación (DG de Biodiversidad, Bosques y Desertificación, MITERD), con el rango que fije la RPT (artículo único.1-2 Orden TED/873/2025).</t>
  </si>
  <si>
    <t xml:space="preserve">Comisión Interministerial del Trío de Eclipses 2026-2027-2028</t>
  </si>
  <si>
    <t xml:space="preserve">Órgano temporal nuevo</t>
  </si>
  <si>
    <t xml:space="preserve">2025-07-29</t>
  </si>
  <si>
    <t xml:space="preserve">RD 686/2025</t>
  </si>
  <si>
    <t xml:space="preserve">Preparar y coordinar seguridad, movilidad, salud, ciencia y turismo en los eclipses.</t>
  </si>
  <si>
    <t xml:space="preserve">Juicio: Coordinación temporal, no regulador independiente. Tener caducidad no significa función inexistente.</t>
  </si>
  <si>
    <t xml:space="preserve">Sin presupuesto propio, verificado en norma: RD 686/2025, de 29 de julio (BOE núm. 182 de 30/07/2025), disposición adicional segunda 'No aumento del gasto público': su funcionamiento 'no supondrá gastos adicionales a los previstos en las dotaciones presupuestarias' de los departamentos y será atendido 'con los medios materiales y personales de los departamentos ministeriales que la conforman'. Adscrita al Ministerio de Ciencia, Innovación y Universidades (art. 2.2); presidencia: Secretaría de Estado de Ciencia, Innovación y Universidades (art. 4.1); vicepresidencia: Secretaría de Estado de Transportes (art. 4.2); secretaría: titular de la Presidencia de la Comisión Nacional de Astronomía (art. 4.6). Financiación ligada a los eclipses, NO presupuesto de la Comisión: (a) RDL 12/2026, de 26 de mayo (BOE-A-2026-11397; convalidado), art. 1.1.u y 2.u: el 'Trío de Eclipses 2026-2027-2028' es acontecimiento de excepcional interés público, programa de apoyo 01/02/2026–31/01/2029, beneficios fiscales 'los máximos establecidos en el artículo 27.3 de la Ley 49/2002' (art. 1.2), sin cuantía en euros en el texto (gasto fiscal, no crédito); (b) RD 815/2026 (BOE-A-2026-20980): subvención directa de 100.000 EUR del MCIU a la Fundación ONCE para divulgación y protección ocular en 2026 (ver columnas contextuales). Coste de la Comisión no cuantificado ni prorrateado; no significa 0 EUR.</t>
  </si>
  <si>
    <t xml:space="preserve">Constituida en septiembre de 2025; 5 reuniones y 5 grupos de trabajo según el Resumen ejecutivo de actuaciones del MCIU (pp. 6 y 8). Extinción al cumplir fines y como máximo 31/12/2028 (DA tercera). Sin auditoría de actividad.</t>
  </si>
  <si>
    <t xml:space="preserve">Extinción prevista al cumplir fines y como máximo 31/12/2028. No presentar futura fecha límite como extinción ya ocurrida.</t>
  </si>
  <si>
    <t xml:space="preserve">https://www.boe.es/eli/es/rd/2025/07/29/686/con
https://boe.es/boe/dias/2026/05/27/pdfs/BOE-A-2026-11397.pdf
https://www.boe.es/boe/dias/2026/10/09/pdfs/BOE-A-2026-20980.pdf
https://www.ciencia.gob.es/dam/jcr:74bd4067-d37a-44d1-b42e-bba1d843cafa/Resumen%20Ejecutivo%20Actuaciones%20Comisi%C3%B3n%20Interministerial%20Tr%C3%ADo%20Eclipses%202026.pdf</t>
  </si>
  <si>
    <t xml:space="preserve">2026 (actividades 01/01/2026–31/12/2026; justificación antes de 31/03/2027)</t>
  </si>
  <si>
    <t xml:space="preserve">Subvención directa RD 815/2026, art. 8: 100.000 EUR 'con cargo a los créditos que a tal efecto se habiliten' en el presupuesto del MCIU (sin aplicación concreta en el texto); concede la Secretaría de Estado de Ciencia, Innovación y Universidades. Actividad del Trío de Eclipses, NO presupuesto de la Comisión</t>
  </si>
  <si>
    <t xml:space="preserve">Fundación ONCE para la Cooperación e Inclusión Social de Personas con Discapacidad (subvención directa MCIU, RD 815/2026, Trío de Eclipses)</t>
  </si>
  <si>
    <t xml:space="preserve">Sin plantilla propia según norma (RD 686/2025, DA segunda): apoyo con medios de los departamentos que la integran, coordinación desde la Secretaría de Estado de Ciencia, Innovación y Universidades (MCIU); no hay cifra publicada de personal de apoyo asignado; vocales no son plantilla</t>
  </si>
  <si>
    <t xml:space="preserve">Sin crédito de personal propio (verificado en norma, RD 686/2025, DA segunda): coste absorbido por créditos de los departamentos que la conforman (MCIU como departamento de adscripción y presidencia); no desglosado ni prorrateado</t>
  </si>
  <si>
    <t xml:space="preserve">Sin ejecución propia: el gasto que genere se imputa a los departamentos que la conforman (MCIU de adscripción) sin desglose publicado; no prorrateado</t>
  </si>
  <si>
    <t xml:space="preserve">Sin presupuesto propio (verificado en norma, RD 686/2025, DA segunda); personal y salarios absorbidos por los departamentos que la integran (MCIU de adscripción), sin desglose ni plantilla propia publicada. Subvención MCIU de 0,1 M EUR a Fundación ONCE (RD 815/2026) solo como contextual. No significa 0 EUR.</t>
  </si>
  <si>
    <t xml:space="preserve">Presidencia: SE de Ciencia, Innovación y Universidades; la coordinación de los grupos de trabajo se realiza desde esa SE (Resumen ejecutivo MCIU, p. 6). Secretaría: titular de la Presidencia de la Comisión Nacional de Astronomía, con voz y sin voto (art. 4.6). Medios materiales y personales de los departamentos que la conforman (DA segunda). El RD no regula retribuciones ni indemnizaciones de los miembros. Vocales (rango DG) no son plantilla. No repartir gasto ministerial.</t>
  </si>
  <si>
    <t xml:space="preserve">Coordinación eclipses y propuestas de modificación normativa</t>
  </si>
  <si>
    <t xml:space="preserve">RD686/2025 art 3(c)</t>
  </si>
  <si>
    <t xml:space="preserve">https://www.boe.es/eli/es/rd/2025/07/29/686/con</t>
  </si>
  <si>
    <t xml:space="preserve">Eclipses 2026-2028</t>
  </si>
  <si>
    <t xml:space="preserve">Apoyo: Secretaría: titular de la Presidencia de la Comisión Nacional de Astronomía (art. 4.6 RD 686/2025); coordinación desde la SE de Ciencia, Innovación y Universidades; medios de los departamentos que la integran (DA 2.ª). vocales: 13.</t>
  </si>
  <si>
    <t xml:space="preserve">Plataforma Nacional para la Reducción del Riesgo de Desastres</t>
  </si>
  <si>
    <t xml:space="preserve">Mecanismo colegiado multisectorial nuevo</t>
  </si>
  <si>
    <t xml:space="preserve">2026-04-21</t>
  </si>
  <si>
    <t xml:space="preserve">Acuerdo CM 21/04/2026; resolución 23/04/2026</t>
  </si>
  <si>
    <t xml:space="preserve">Cooperar en prevención de desastres, Marco de Sendai y recomendaciones.</t>
  </si>
  <si>
    <t xml:space="preserve">Juicio: Coordinación sin sustituir al Consejo Nacional de Protección Civil ni asumir mando de emergencias.</t>
  </si>
  <si>
    <t xml:space="preserve">Sin presupuesto propio, verificado en norma: Resolución de 23/04/2026 de la Subsecretaría (Ministerio del Interior) que publica el Acuerdo del Consejo de Ministros de 21/04/2026 (BOE-A-2026-9157, BOE núm. 102 de 27/04/2026), apartado Séptimo: constitución y funcionamiento 'serán atendidos con los medios materiales y personales de la Dirección General de Protección Civil y Emergencias', 'por lo que su actuación no supondrá incremento de gasto público'. Órgano colegiado 'con naturaleza de grupo de trabajo' adscrito al Ministerio del Interior a través de la DGPCE (Segundo); presidencia: titular de la DGPCE (Cuarto.1); secretaría: titular de la SG de Formación y Relaciones Institucionales (Cuarto.4). Coste absorbido por la DGPCE, no cuantificado ni prorrateado; no significa 0 EUR.</t>
  </si>
  <si>
    <t xml:space="preserve">La norma da seis meses para constitución; constitución efectiva no verificada al corte.</t>
  </si>
  <si>
    <t xml:space="preserve">https://www.boe.es/buscar/act.php?id=BOE-A-2026-9157
https://www.boe.es/boe/dias/2026/04/27/pdfs/BOE-A-2026-9157.pdf
https://www.interior.gob.es/opencms/es/detalle/articulo/Interior-impulsa-el-robustecimiento-estrategico-del-Sistema-Nacional-de-Proteccion-Civil/</t>
  </si>
  <si>
    <t xml:space="preserve">Sin plantilla propia según norma (Acuerdo CM 21/04/2026, apartado Séptimo): apoyo con medios de la DG de Protección Civil y Emergencias (SG de Formación y Relaciones Institucionales); no hay cifra publicada de personal de apoyo asignado; vocales no son plantilla</t>
  </si>
  <si>
    <t xml:space="preserve">Sin crédito de personal propio (verificado en norma, Acuerdo CM 21/04/2026, apartado Séptimo): coste absorbido por créditos del Ministerio del Interior (DG de Protección Civil y Emergencias); no desglosado ni prorrateado</t>
  </si>
  <si>
    <t xml:space="preserve">Sin ejecución propia: el gasto que genere se imputa al Ministerio del Interior (DG de Protección Civil y Emergencias) sin desglose publicado; no prorrateado</t>
  </si>
  <si>
    <t xml:space="preserve">Sin presupuesto propio (verificado en norma, Acuerdo CM 21/04/2026, apartado Séptimo); personal y salarios absorbidos por la DG de Protección Civil y Emergencias (Interior), sin desglose ni plantilla propia publicada. No significa 0 EUR.</t>
  </si>
  <si>
    <t xml:space="preserve">Presidencia: titular de la DG de Protección Civil y Emergencias (Cuarto.1); vicepresidencias primera y segunda: representantes del MITERD con rango de DG (Cuarto.2); secretaría: titular de la SG de Formación y Relaciones Institucionales (Cuarto.4). Medios materiales y personales de la DGPCE (Séptimo). El Acuerdo no regula retribuciones ni indemnizaciones. Vocales (ministerios, CCAA y ciudades autónomas, FEMP y hasta 29 de la sociedad civil) no son plantilla. No repartir gasto ministerial.</t>
  </si>
  <si>
    <t xml:space="preserve">Revisado: plataforma riesgos</t>
  </si>
  <si>
    <t xml:space="preserve">Informes requeridos expresamente NO preceptivos; no aprobación legislativa.</t>
  </si>
  <si>
    <t xml:space="preserve">Asesoramiento y cooperación, no veto legislativo establecido.</t>
  </si>
  <si>
    <t xml:space="preserve">Resolución23/04/2026 función4</t>
  </si>
  <si>
    <t xml:space="preserve">https://www.boe.es/buscar/act.php?id=BOE-A-2026-9157</t>
  </si>
  <si>
    <t xml:space="preserve">Riesgo de desastres</t>
  </si>
  <si>
    <t xml:space="preserve">Apoyo: DG de Protección Civil y Emergencias: la presidencia y los medios materiales y personales (apdo. Séptimo); secretaría a cargo del titular de la SG de Formación y Relaciones Institucionales (apdo. Cuarto.4).</t>
  </si>
  <si>
    <t xml:space="preserve">Estatal: creación legal no confirmada operativa</t>
  </si>
  <si>
    <t xml:space="preserve">Consejo Estatal de Medios Audiovisuales (CEMA)</t>
  </si>
  <si>
    <t xml:space="preserve">Creación legal; distinguir puesta en funcionamiento</t>
  </si>
  <si>
    <t xml:space="preserve">2010-03-31</t>
  </si>
  <si>
    <t xml:space="preserve">Ley7/2010, títuloV</t>
  </si>
  <si>
    <t xml:space="preserve">Autoridad audiovisual independiente: supervisión, regulación, inspección y sanción.</t>
  </si>
  <si>
    <t xml:space="preserve">Poder legal previsto alto; NO confirmado poder operativo efectivo antes de extinción. En junio2011 el Gobierno aún impulsaba constitución efectiva.</t>
  </si>
  <si>
    <t xml:space="preserve">Sin presupuesto propio actual tras extinción. No se atribuye el presupuesto de CNMC o ministerio sucesor.</t>
  </si>
  <si>
    <t xml:space="preserve">Actualidad2026; extinción2013</t>
  </si>
  <si>
    <t xml:space="preserve">Ley3/2013 DA2 incluye su extinción con constitución de CNMC</t>
  </si>
  <si>
    <t xml:space="preserve">Conflicto: historia actual de CNMC dice entró en funcionamiento2010, pero acuerdo BOE2011 aún ordena impulsar constitución. No presentar como caso probado de organismo operativo ni como cascarón sin advertir contradicción.</t>
  </si>
  <si>
    <t xml:space="preserve">Reordenación legal; constitución previa no confirmada</t>
  </si>
  <si>
    <t xml:space="preserve">24, 72</t>
  </si>
  <si>
    <t xml:space="preserve">Ley 3/2013 prevé extinción con CNMC; no se ha confirmado por completo la constitución operativa previa. CEMA conserva conflicto entre fuentes.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</si>
  <si>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https://www.boe.es/eli/es/l/2010/03/31/7
https://www.boe.es/diario_boe/txt.php?id=BOE-A-2011-9735
https://www.cnmc.es/somos-cnmc/sobre-nosotros/que-es-la-cnmc
https://www.boe.es/eli/es/rdl/2011/08/26/11</t>
  </si>
  <si>
    <t xml:space="preserve">https://www.boe.es/eli/es/l/2010/03/31/7
https://www.boe.es/diario_boe/txt.php?id=BOE-A-2013-5940
https://www.boe.es/diario_boe/txt.php?id=BOE-A-2011-9735
https://www.cnmc.es/somos-cnmc/sobre-nosotros/que-es-la-cnmc</t>
  </si>
  <si>
    <t xml:space="preserve">Revisado: CEMA histórico, constitución operativa no confirmada</t>
  </si>
  <si>
    <t xml:space="preserve">Ley7/2010 art47.2a: informe PREVIO sobre proyectos/disposiciones sector audiovisual;47.2e procedimientos de reguladores.</t>
  </si>
  <si>
    <t xml:space="preserve">Mandato legal histórico, no facultad actual; constitución operativa no confirmada. Informe anual preceptivo no es aprobación ley.</t>
  </si>
  <si>
    <t xml:space="preserve">Ley7/2010 original art47.2a,c,e</t>
  </si>
  <si>
    <t xml:space="preserve">https://www.boe.es/diario_boe/txt.php?id=BOE-A-2010-5292</t>
  </si>
  <si>
    <t xml:space="preserve">4 organismos sobre este tema entre el Estado y las CCAA (verificados)</t>
  </si>
  <si>
    <t xml:space="preserve">Creado por ley en 2010, nunca constituido; extinguido en 2013 (CNMC).</t>
  </si>
  <si>
    <t xml:space="preserve">Comisión Nacional del Juego</t>
  </si>
  <si>
    <t xml:space="preserve">2011-05-27</t>
  </si>
  <si>
    <t xml:space="preserve">Ley13/2011, art.20</t>
  </si>
  <si>
    <t xml:space="preserve">Autorizar, supervisar, controlar y sancionar juego estatal.</t>
  </si>
  <si>
    <t xml:space="preserve">Creación jurídica expresa, pero constitución efectiva no demostrada aquí. La Ley3/2013 devuelve funciones a DGOJ: no deducir que desapareció regulación del juego.</t>
  </si>
  <si>
    <t xml:space="preserve">Artículo sectorial contemporáneo sostiene que murió sin nacer; se etiqueta secundaria, no confirmación oficial completa. No confundir con Comisión colegiada antigua del Ministerio del Interior.</t>
  </si>
  <si>
    <t xml:space="preserve">Reordenación legal; no equivalencia de mandato</t>
  </si>
  <si>
    <t xml:space="preserve">24</t>
  </si>
  <si>
    <t xml:space="preserve">Ley 3/2013 prevé extinción de Comisión del Juego. No se atribuye su función de juego a CNMC por esa sola cláusula.</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</si>
  <si>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https://www.boe.es/eli/es/l/2011/05/27/13
https://www.azarplus.com/comision-nacional-del-juego-r-i-p/</t>
  </si>
  <si>
    <t xml:space="preserve">https://www.boe.es/eli/es/l/2011/05/27/13
https://www.boe.es/diario_boe/txt.php?id=BOE-A-2013-5940
https://www.azarplus.com/comision-nacional-del-juego-r-i-p/</t>
  </si>
  <si>
    <t xml:space="preserve">Revisado: ComisiónJuego histórica</t>
  </si>
  <si>
    <t xml:space="preserve">Informe preceptivo autorización loterías reservadas (art21.3), no cláusula de informe previo general sobre leyes.</t>
  </si>
  <si>
    <t xml:space="preserve">Título/autorización de juego y regulación técnica son distintos de veto a ley. Constitución operativa no confirmada.</t>
  </si>
  <si>
    <t xml:space="preserve">Ley13/2011 original art21.1,3,4</t>
  </si>
  <si>
    <t xml:space="preserve">https://www.boe.es/diario_boe/txt.php?id=BOE-A-2011-9280</t>
  </si>
  <si>
    <t xml:space="preserve">Creada por ley, constitución no demostrada; extinguida en 2013 (funciones a la DGOJ).</t>
  </si>
  <si>
    <t xml:space="preserve">Juego</t>
  </si>
  <si>
    <t xml:space="preserve">Comisión de Regulación Económica Aeroportuaria (CREA)</t>
  </si>
  <si>
    <t xml:space="preserve">2011-08-26</t>
  </si>
  <si>
    <t xml:space="preserve">RDL11/2011, art.1</t>
  </si>
  <si>
    <t xml:space="preserve">Controlar objetividad, no discriminación, eficiencia y transparencia de tarifas aeroportuarias.</t>
  </si>
  <si>
    <t xml:space="preserve">Potestad regulatoria legal, no solo asesoramiento; ejercicio efectivo y constitución no verificados.</t>
  </si>
  <si>
    <t xml:space="preserve">Historia CNMC cita2011, sin acta/nombramientos verificados. Extinción por Ley3/2013 no prueba inactividad anterior.</t>
  </si>
  <si>
    <t xml:space="preserve">24, 70</t>
  </si>
  <si>
    <t xml:space="preserve">https://www.boe.es/eli/es/rdl/2011/08/26/11
https://www.boe.es/diario_boe/txt.php?id=BOE-A-2013-5940
https://www.cnmc.es/somos-cnmc/sobre-nosotros/que-es-la-cnmc</t>
  </si>
  <si>
    <t xml:space="preserve">Revisado: CREA histórico, supervisión prelegislativa tarifaria</t>
  </si>
  <si>
    <t xml:space="preserve">Verifica y remite propuesta Aena para incorporarla a anteproyecto de ley tarifaria; no consulta general de todas las leyes.</t>
  </si>
  <si>
    <t xml:space="preserve">Puede inadmitir propuestaAena o revisarla; NO consentimiento favorable para que Parlamento apruebe ley.</t>
  </si>
  <si>
    <t xml:space="preserve">Filtro/revisión de propuesta administrativa previa a ley (arts11-12), no veto legislativo. Constitución operativa no confirmada.</t>
  </si>
  <si>
    <t xml:space="preserve">RDL11/2011 arts10,11.1a,12</t>
  </si>
  <si>
    <t xml:space="preserve">https://www.boe.es/diario_boe/txt.php?id=BOE-A-2011-14221</t>
  </si>
  <si>
    <t xml:space="preserve">Creada por ley, constitución no demostrada; extinguida en 2013 (CNMC).</t>
  </si>
  <si>
    <t xml:space="preserve">Tarifas aeroportuarias</t>
  </si>
  <si>
    <t xml:space="preserve">Autonómico</t>
  </si>
  <si>
    <t xml:space="preserve">Periodo Zapatero</t>
  </si>
  <si>
    <t xml:space="preserve">Agencia Andaluza de Cooperación Internacional para el Desarrollo (AACID)</t>
  </si>
  <si>
    <t xml:space="preserve">Nueva entidad de derecho público que sustituye centro directivo creado en 2004</t>
  </si>
  <si>
    <t xml:space="preserve">2006-05-16</t>
  </si>
  <si>
    <t xml:space="preserve">Ley 2/2006</t>
  </si>
  <si>
    <t xml:space="preserve">Gestionar cooperación, subvenciones y programas internacionales.</t>
  </si>
  <si>
    <t xml:space="preserve">Poder de gestión y financiación real; no mera consulta.</t>
  </si>
  <si>
    <t xml:space="preserve">2026, crédito aprobado</t>
  </si>
  <si>
    <t xml:space="preserve">Presupuesto propio 2026: 20,513203 M EUR (20.513.203 EUR). Ley 8/2025 art. 2.7 (agencias públicas empresariales; ingresos = gastos) y estado de gastos sección 18.52 AACID, programa 8.2.B (estadoIII-d-9, pp. 628 y 634). Incluye cap.4 transferencias corrientes 15,136600 M (ayudas de cooperación), no solo administración. Ejecución IGJA a 31/03/2026: crédito definitivo 20,513203 M; obligaciones 0,829125 M (3 meses).</t>
  </si>
  <si>
    <t xml:space="preserve">2026, salvo indicación distinta; créditos iniciales salvo mención expresa</t>
  </si>
  <si>
    <t xml:space="preserve">Entidad presupuestada en 2026</t>
  </si>
  <si>
    <t xml:space="preserve">Juicio basado en mandato y evidencia citada, no en una auditoría de eficacia, personal ocupado o independencia práctica.</t>
  </si>
  <si>
    <t xml:space="preserve">31</t>
  </si>
  <si>
    <t xml:space="preserve">https://www.juntadeandalucia.es/boja/2006/98/d2.pdf
https://www.juntadeandalucia.es/export/presup2026/estado/programas/estadoIII-d-9.pdf
https://www.juntadeandalucia.es/haciendayadministracionpublica/servicios/fiscalizacion/rendicion/cuenta2024/descargas/ape/AACID0-0.pdf
https://www.juntadeandalucia.es/organismos/economiahaciendayfondoseuropeos/areas/rendicion-contable/mensuales.html
https://www.juntadeandalucia.es/haciendayadministracionpublica/servicios/fiscalizacion/rendicion/avance_cuenta2025/avance/menu.htm
https://www.boe.es/diario_boe/txt.php?id=BOE-A-2026-945
https://www.juntadeandalucia.es/haciendayadministracionpublica/servicios/fiscalizacion/rendicion/mensuales2026/marzo/descargas/agencias/aacid/2_AACID-3.pdf
https://www.juntadeandalucia.es/haciendayadministracionpublica/servicios/fiscalizacion/rendicion/mensuales2025/diciembre/descargas/agencias/aacid/2_AACID-3.pdf
https://www.juntadeandalucia.es/haciendayadministracionpublica/servicios/fiscalizacion/rendicion/mensuales2025/diciembre/descargas/agencias/aacid/2_AACID-1.pdf
https://www.juntadeandalucia.es/export/presup2026/personal/personalI-con-4-9.pdf</t>
  </si>
  <si>
    <t xml:space="preserve">2024-12-31</t>
  </si>
  <si>
    <t xml:space="preserve">Personas empleadas al final del ejercicio 2024 (26 hombres, 26 mujeres) según la Memoria de las Cuentas Anuales 2024 de AACID (Cuenta General 2024), nota 23 'Otra información'; número medio de personas empleadas en 2024: 55,03. No equivale a las 56 plazas presupuestadas 2026</t>
  </si>
  <si>
    <t xml:space="preserve">https://www.juntadeandalucia.es/haciendayadministracionpublica/servicios/fiscalizacion/rendicion/cuenta2024/descargas/ape/AACID0-0.pdf</t>
  </si>
  <si>
    <t xml:space="preserve">Capítulo 1: crédito inicial 2026, sección 18.52 AACID, programa 8.2.B (estado de gastos de agencia pública empresarial; tabla MEDIOS p. 628, resumen por capítulos p. 634)</t>
  </si>
  <si>
    <t xml:space="preserve">https://www.juntadeandalucia.es/export/presup2026/estado/programas/estadoIII-d-9.pdf</t>
  </si>
  <si>
    <t xml:space="preserve">Hasta 31/03/2026: 3 meses, NO año completo</t>
  </si>
  <si>
    <t xml:space="preserve">Capítulo 1: obligaciones reconocidas (subtotal '1 GASTOS DE PERSONAL', Cuenta de Gastos Públicos a nivel de Seguimiento IGJA, sección 1852); incluye cotizaciones sociales, no desglose salarial puro</t>
  </si>
  <si>
    <t xml:space="preserve">https://www.juntadeandalucia.es/haciendayadministracionpublica/servicios/fiscalizacion/rendicion/mensuales2026/marzo/descargas/agencias/aacid/2_AACID-3.pdf</t>
  </si>
  <si>
    <t xml:space="preserve">Fuente primaria cotejada contra fila y unidad (euros); no estimación</t>
  </si>
  <si>
    <t xml:space="preserve">Presupuesto propio, cap.1 crédito 2026, cap.1 ejecutado a 31/03/2026 y cap.1 2025 anual (IGJA dic-2025) verificados; plazas presupuestadas 2026 verificadas; plantilla ocupada verificada solo a 31/12/2024 (52 personas); ejecución posterior a 31/03/2026 pendiente</t>
  </si>
  <si>
    <t xml:space="preserve">Plazas de la 'Plantilla de efectivos de personal' de AACID, Anexo de Personal 2026 (otro personal, agencias públicas empresariales), p. 869 (budgeted, NO ocupación real)</t>
  </si>
  <si>
    <t xml:space="preserve">https://www.juntadeandalucia.es/export/presup2026/personal/personalI-con-4-9.pdf</t>
  </si>
  <si>
    <t xml:space="preserve">Programa 8.2.B: cap.1 3,844250 M; la tabla MEDIOS deja vacía la casilla 'NÚMERO DE PERSONAS'. Anexo de Personal 2026: 56 plazas, todas en Sevilla (10 unidades/departamentos). Plazas presupuestadas, NO ocupación.</t>
  </si>
  <si>
    <t xml:space="preserve">Revisado: AACID asesoramiento</t>
  </si>
  <si>
    <t xml:space="preserve">Asesora ConsejoGobierno, colabora PlanAndaluzCooperación e informes evaluación; no permiso normativo general en leycreación.</t>
  </si>
  <si>
    <t xml:space="preserve">No veto parlamentario ni consentimiento favorable general establecido en las cláusulas revisadas.</t>
  </si>
  <si>
    <t xml:space="preserve">Alcance limitado a norma y atribuciones citadas; no descarta reglas sectoriales adicionales.</t>
  </si>
  <si>
    <t xml:space="preserve">Ley2/2006 art5</t>
  </si>
  <si>
    <t xml:space="preserve">https://www.juntadeandalucia.es/boja/2006/98/2</t>
  </si>
  <si>
    <t xml:space="preserve">IGJA, resumen mensual marzo 2026 (Enero-Marzo, extracción 06/04/2026), sección 1852: cap.1 crédito inicial 3.844.250,00; modificaciones 0,00; definitivo 3.844.250,00; obligaciones 750.765,61; pagos 750.765,61 EUR. Total sección: obligaciones 829.125,10. Hay cortes posteriores publicados (resúmenes mensuales hasta julio 2026 y trimestral 2T/2026, documento AACID-5) que no se pudieron abrir en esta sesión: actualizar. No comparar 3 meses con año completo; cap.1 no equivale solo a sueldos.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(nota 23): 'Total gasto de personal 3.267.256,18' EUR en 2024 (de ello sueldos, salarios y asimilados 3.239.630,82), contabilidad económico-patrimonial; dato 2024, solo referencia.</t>
  </si>
  <si>
    <t xml:space="preserve">2025: hasta 31/12/2025, año completo (resumen mensual IGJA diciembre 2025, extracción 03/02/2026; el índice lo marca 'datos provisionales')</t>
  </si>
  <si>
    <t xml:space="preserve">Capítulo 1: gastos de personal; crédito definitivo, obligaciones reconocidas y pagos; no solo salarios</t>
  </si>
  <si>
    <t xml:space="preserve">https://www.juntadeandalucia.es/haciendayadministracionpublica/servicios/fiscalizacion/rendicion/mensuales2025/diciembre/descargas/agencias/aacid/2_AACID-3.pdf</t>
  </si>
  <si>
    <t xml:space="preserve">Cuenta de Gastos Públicos a nivel de Seguimiento, Enero-Diciembre 2025, sección 1852: cap.1 crédito inicial 3.756.285,00; modificaciones -2.800,00 (cuadra con 2_AACID-1 'Modificaciones de créditos por sección/capítulo 2025'); definitivo 3.753.485,00; obligaciones 3.256.041,97; pagos 3.256.041,97 EUR. Total sección 2025: crédito 18.805.199,00; obligaciones 18.126.754,44. No es Cuenta General: la ficha estadística de la Consejería (act. 29/10/2025) da como última Cuenta General la de 2024.</t>
  </si>
  <si>
    <t xml:space="preserve">Paralelo a AECID: cada nivel actúa con sus propios fondos o competencias. 6 organismos sobre este tema entre el Estado y las CCAA (verificados).</t>
  </si>
  <si>
    <t xml:space="preserve">Cooperación autonómica al desarrollo: el P100 concentra la cooperación en el Estado y en países que colaboren en el control migratorio; una agencia autonómica no sirve a ese fin.</t>
  </si>
  <si>
    <t xml:space="preserve">Explícito en el P100: Costes del Estado 5 y criterio Extramuros del 12/10/2026</t>
  </si>
  <si>
    <t xml:space="preserve">Plazas presupuestadas 2026 (Anexo de Personal 2026, plantilla de efectivos de 'otro personal' de AACID, agencia pública empresarial); no ocupación</t>
  </si>
  <si>
    <t xml:space="preserve">Por función, a partir de la unidad y la categoría de la plantilla: unidades de cooperación y gestión de ayudas (Gestión de Ayudas, Unidad Técnica, Planificación/Evaluación y Coherencia, Cooperación con Iberoamérica, Cooperación con África y Mediterráneo): T.S., T.M. y jefaturas (J. Departamento/Unidad/Área) -&gt; núcleo; unidades horizontales (Tecnología y Estrategia Digital; Buen Gobierno, Transparencia y Contratación; Personas y Desarrollo Profesional; Económico Financiero) completas + secretaria de dirección -&gt; administración y apoyo; categoría 'Unidad de gestión' en unidades finalistas y en Dirección (función no indicada) y resto de Dirección (director, 5 coordinadores/as, 1 T.S.) -&gt; otro</t>
  </si>
  <si>
    <t xml:space="preserve">Anexo de Personal 2026, personalI-con-4-9.pdf, pp. 867-869, tabla 'CLASIFICACIÓN DE PERSONAL / PLAZAS', Sevilla, TOTAL 56. Unidades: Gestión de Ayudas 4 (Unidad de gestión 1, T.S. 1.2 2, J. Departamento 1); Tecnología y Estrategia Digital 4 (T.M. 2.3 1, J. Dpto 1, Auxiliar de informática 2); Buen Gobierno, Transparencia y Contratación 6 (U. gestión 1, T.S. 1.4 1, T.S. 1.2 2, J. Dpto 1, Conserje 1); Personas y Desarrollo Profesional 4 (U. gestión 1, T.S. 1.2 1, J. Dpto 1, Conductor/a 1); Unidad Técnica 5 (T.S. 1.2 3, J. Unidad 1, J. Área 1); Económico Financiero 3 (U. gestión 1, T.S. 1.4 1, T.S. 1.2 1); Planificación, Evaluación y Coherencia 6 (U. gestión 1, T.S. 1.4 1, T.S. 1.2 1, J. Unidad 1, J. Dpto 1, J. Área 1); Iberoamérica 7 (U. gestión 1, T.S. 1.4 2, T.S. 1.2 3, J. Unidad 1); África y Mediterráneo 8 (U. gestión 1, T.S. 1.2 4, T.M. 2.3 1, J. Unidad 1, J. Dpto 1); Dirección 9 (Director 1, Secretaria de dirección 1, U. gestión 1, T.S. 1.2 1, Coordinador/a 5). Núcleo = 3+5+5+6+7 = 26; administración = 4+6+4+3 (unidades horizontales) + 1 secretaria = 18; otro = 4 'Unidad de gestión' en unidades finalistas + 8 de Dirección (director 1, U. gestión 1, T.S. 1, coordinadores 5) = 12. 26+18+12 = 56. Las abreviaturas T.S./T.M. (técnico superior/medio) no se desarrollan en el documento.</t>
  </si>
  <si>
    <t xml:space="preserve">Agencia de Defensa de la Competencia de Andalucía</t>
  </si>
  <si>
    <t xml:space="preserve">Nueva entidad; denominación y funciones ampliadas después</t>
  </si>
  <si>
    <t xml:space="preserve">2007-06-26</t>
  </si>
  <si>
    <t xml:space="preserve">Ley 6/2007</t>
  </si>
  <si>
    <t xml:space="preserve">Defensa y promoción de competencia dentro del ámbito autonómico.</t>
  </si>
  <si>
    <t xml:space="preserve">Potestades ejecutivas y sancionadoras en su ámbito; no un observatorio. No confundir con CNMC.</t>
  </si>
  <si>
    <t xml:space="preserve">Crédito propio inicial aprobado 2026: 3,030314 M EUR (3.030.314 EUR), sección presupuestaria propia 08.00 'Agencia de la Competencia y de la Regulación Económica de Andalucía' (denominación ampliada de la Agencia de Defensa de la Competencia), programa 6.1.N 'Defensa de la competencia'. Estado de gastos, resumen por servicios (servicios-b-7, p. 70 'TOTAL 01' y p. 72 'TOTAL GENERAL') y presupuesto por programas (tomo12-5-7, pp. 245-252). Cap.1 2,541433 M; cap.2 0,434881 M; cap.6 0,054000 M. No es ejecución.</t>
  </si>
  <si>
    <t xml:space="preserve">La norma consolidada mantiene entidad con funciones/denominación ampliadas</t>
  </si>
  <si>
    <t xml:space="preserve">24, 93</t>
  </si>
  <si>
    <t xml:space="preserve">Competencia estatal y autonómica. Facultades territoriales distintas; no prueba de expedientes o gasto duplicados.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</si>
  <si>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https://www.boe.es/buscar/act.php?id=BOE-A-2007-14406
https://www.boe.es/buscar/act.php?id=BOE-A-2012-2313
https://www.euskadi.eus/web01-a3ogaoce/es/contenidos/informacion/ejec_pres_avc_2026/es_def/adjuntos/211_2026_7_DETALLESPORPARTIDAS-GASTOSEINGRESOS_es.pdf</t>
  </si>
  <si>
    <t xml:space="preserve">https://www.boe.es/buscar/act.php?id=BOE-A-2007-14406
https://www.juntadeandalucia.es/haciendayadministracionpublica/servicios/fiscalizacion/rendicion/avance_cuenta2025/avance/junta.htm
https://www.juntadeandalucia.es/export/presup2026/estado/servicios/servicios-b-7.pdf
https://www.juntadeandalucia.es/export/presup2026/estado/programas/tomo12-5-7.pdf
https://www.juntadeandalucia.es/export/presup2026/personal/personalI-b-5.pdf</t>
  </si>
  <si>
    <t xml:space="preserve">Capítulo 1: crédito inicial 2026, sección 08.00, programa 6.1.N (único programa; servicio 01)</t>
  </si>
  <si>
    <t xml:space="preserve">https://www.juntadeandalucia.es/export/presup2026/estado/programas/tomo12-5-7.pdf</t>
  </si>
  <si>
    <t xml:space="preserve">Presupuesto propio y cap.1 crédito 2026 verificados; plazas presupuestadas verificadas; ejecución y plantilla ocupada pendientes</t>
  </si>
  <si>
    <t xml:space="preserve">Plazas Anexo de Personal 2026, sección 08.00 (1 alto cargo, 37 funcionarios, 3 laborales; pp. 37-39) = 'NÚMERO DE PERSONAS 41' de la tabla MEDIOS del programa 6.1.N (tomo12-5-7 p. 246); budgeted, NO ocupación real</t>
  </si>
  <si>
    <t xml:space="preserve">https://www.juntadeandalucia.es/export/presup2026/personal/personalI-b-5.pdf</t>
  </si>
  <si>
    <t xml:space="preserve">Sección 08.00 propia dentro del presupuesto de la Junta: 41 plazas presupuestadas (1 alto cargo; 37 funcionarios: A1 22, A2 5, C1 10; 3 laborales), cap.1 2,541433 M. NO ocupación.</t>
  </si>
  <si>
    <t xml:space="preserve">Revisado: ADCA actual consulta normativa</t>
  </si>
  <si>
    <t xml:space="preserve">Art3h,i: informes sobre reforma leypropia y normas económicas/competencia/unidadmercado. Órgano redactor debe remitir documentación; plazo1mes.</t>
  </si>
  <si>
    <t xml:space="preserve">Ley6/2007 art3h,i consolidado</t>
  </si>
  <si>
    <t xml:space="preserve">https://www.boe.es/buscar/act.php?id=BOE-A-2007-14406</t>
  </si>
  <si>
    <t xml:space="preserve">La ejecución 2025/2026 de la sección 08.00 figura en los resúmenes IGJA de 'Junta de Andalucía' (2_JUNTA-3, todas las secciones en un solo PDF); el documento no pudo leerse completo en esta sesión. Pendiente. Ronda 2 (12/10/2026): el PDF 2_JUNTA-3 de marzo 2026 solo se lee hasta ~49.000 caracteres (sección 0100, pp. 2-6), también con offset, por lo que la sección queda fuera de alcance; los meses abril-julio están en ceh.junta-andalucia.es (no accesible). El Avance de Liquidación del Presupuesto 2025 (IGJA) publica un PDF por sección ('Cuenta de gastos públicos por secciones': JUNTA-4-6 Consejo de Transparencia; JUNTA-4-7 Agencia de la Competencia y de la Regulación Económica), pero sus enlaces JavaScript no pudieron abrirse. La Cuenta General 2024 (JUNTA2-1-2, liquidación por secciones/programas/capítulos) sí se abrió, pero la extracción de texto asigna a 'Sección: 800 ... 61N DEFENSA DE LA COMPETENCIA' (p. 13) una tabla de 44.838.249,00 EUR iniciales con cap.1 31.661.559,00, incompatible con la escala de la Agencia (3,03 M en 2026; 41 plazas); la correspondencia página-sección no es fiable y no se incorpora ninguna cifra 2024.</t>
  </si>
  <si>
    <t xml:space="preserve">Duplica a CNMC, que ya cubre este territorio o puede hacerlo. 10 organismos sobre este tema entre el Estado y las CCAA (verificados).</t>
  </si>
  <si>
    <t xml:space="preserve">Autoridad autonómica de competencia; la CNMC ya actúa en todo el territorio.</t>
  </si>
  <si>
    <t xml:space="preserve">Aplicando el criterio del P100: Criterio Extramuros del 12/10/2026 («con una nacional basta»)</t>
  </si>
  <si>
    <t xml:space="preserve">Plazas presupuestadas 2026 (Anexo de Personal 2026, sección 08.00), sin el alto cargo; no ocupación</t>
  </si>
  <si>
    <t xml:space="preserve">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Altos cargos fuera del total (columna propia)</t>
  </si>
  <si>
    <t xml:space="preserve">personalI-b-5.pdf, p. 37 'Resumen de anexo de personal', sección 08.00 Agencia de la Competencia y de la Regulación Económica de Andalucía: 'DIRECTORES GENERALES Y ASIMILADOS 1'; funcionarios 'GRUPO A1 20', 'GRUPO A1/A2 2', 'GRUPO A2 1', 'GRUPO A2/C1 4', 'GRUPO C1 1', 'GRUPO C1/C2 9', 'TOTAL FUNCIONARIOS 37'; laborales 'GRUPO 4 1', 'GRUPO 5 2', 'TOTAL LABORALES 3'; 'TOTAL 41'. Núcleo 20+2+1 = 23; administración 1+9 (C1, C1/C2) + 3 laborales = 13; otro 4 (A2/C1). 23+13+4 = 40 = 41 - 1 alto cargo. (La agrupación 'A1 22 / A2 5 / C1 10' de la ficha anterior funde los grupos mixtos.)</t>
  </si>
  <si>
    <t xml:space="preserve">Agencia Tributaria de Andalucía</t>
  </si>
  <si>
    <t xml:space="preserve">Nueva entidad; hereda gestión tributaria</t>
  </si>
  <si>
    <t xml:space="preserve">2007-12-18</t>
  </si>
  <si>
    <t xml:space="preserve">Aplicar tributos propios y cedidos y recaudar ingresos públicos.</t>
  </si>
  <si>
    <t xml:space="preserve">Poder administrativo ejecutivo, liquidación e inspección; no consultiva.</t>
  </si>
  <si>
    <t xml:space="preserve">Crédito propio inicial aprobado 2026: 74,120154 millones EUR; Ley 8/2025, p.18, columna Gastos. No ejecución.</t>
  </si>
  <si>
    <t xml:space="preserve">Creación acreditada; no se ha auditado exhaustivamente continuidad y actividad 2026</t>
  </si>
  <si>
    <t xml:space="preserve">https://www.boe.es/buscar/act.php?id=BOE-A-2008-3180
https://www.boe.es/buscar/pdf/2026/BOE-A-2026-945-consolidado.pdf
https://www.juntadeandalucia.es/haciendayadministracionpublica/servicios/fiscalizacion/rendicion/cuenta2024/descargas/especial/atrian/ATRIAN0-0.pdf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https://www.juntadeandalucia.es/haciendayadministracionpublica/servicios/fiscalizacion/rendicion/mensuales2026/marzo/descargas/agencias/atriand/2_ATRIAN-3.pdf
https://www.juntadeandalucia.es/haciendayadministracionpublica/servicios/fiscalizacion/rendicion/mensuales2026/marzo/descargas/agencias/atriand/2_ATRIAN-1.pdf
https://www.juntadeandalucia.es/haciendayadministracionpublica/servicios/fiscalizacion/rendicion/mensuales2025/diciembre/descargas/agencias/atriand/2_ATRIAN-3.pdf
https://www.juntadeandalucia.es/haciendayadministracionpublica/servicios/fiscalizacion/rendicion/mensuales2025/diciembre/descargas/agencias/atriand/2_ATRIAN-1.pdf
https://www.juntadeandalucia.es/export/presup2026/personal/personalI-d-2.pdf</t>
  </si>
  <si>
    <t xml:space="preserve">Efectivos (puestos cubiertos) a 31/12/2024 según la Memoria de las Cuentas Anuales 2024 de la ATRIAN, nota 1 'Organización y actividad' (estructura administrativa): A1 311, A2 102, C1 240, C2 48, G.III 1, G.V 1; 282 hombres y 421 mujeres. A la misma fecha la plantilla presupuestaria era de 834 plazas (697 efectivos a 31/12/2023)</t>
  </si>
  <si>
    <t xml:space="preserve">https://www.juntadeandalucia.es/haciendayadministracionpublica/servicios/fiscalizacion/rendicion/cuenta2024/descargas/especial/atrian/ATRIAN0-0.pdf</t>
  </si>
  <si>
    <t xml:space="preserve">Cap1 crédito2026, secciónATA10.39 programa6.1.L:44.800303M. Otras secciones1.599294M. Total gasto sección74.120154M; columna otras secciones76.557503M, no total combinado.</t>
  </si>
  <si>
    <t xml:space="preserve">Fuente primaria: tabla visual cotejada; crédito, no ejecución</t>
  </si>
  <si>
    <t xml:space="preserve">https://www.juntadeandalucia.es/export/presup2026/estado/programas/estadoIII-b-2.pdf</t>
  </si>
  <si>
    <t xml:space="preserve">Capítulo 1: obligaciones reconocidas (suma de los subtotales '1 GASTOS DE PERSONAL' de los servicios 103901 y 103903, Cuenta de Gastos Públicos a nivel de Seguimiento IGJA, sección 1039); incluye cotizaciones sociales, no desglose salarial puro</t>
  </si>
  <si>
    <t xml:space="preserve">https://www.juntadeandalucia.es/haciendayadministracionpublica/servicios/fiscalizacion/rendicion/mensuales2026/marzo/descargas/agencias/atriand/2_ATRIAN-3.pdf</t>
  </si>
  <si>
    <t xml:space="preserve">Presupuesto propio y cap.1 crédito 2026 verificados; cap.1 ejecutado a 31/03/2026 y cap.1 2025 anual (IGJA dic-2025) verificados; plazas presupuestadas 2026 verificadas; plantilla ocupada verificada a 31/12/2024 (703 efectivos); ejecución posterior a 31/03/2026 pendiente</t>
  </si>
  <si>
    <t xml:space="preserve">personas presupuestadas 2026 sección 10.39 (budgeted, NO ocupación real)</t>
  </si>
  <si>
    <t xml:space="preserve">Programa 6.1.L: sección ATA 832 personas presupuestadas, cap.1 44,800303 M; otras secciones 20 personas / 1,599294 M (no imputables a ATA). Anexo de Personal 2026 (personalI-d-2, pp. 605/611): 832 plazas sección 10.39 (1 alto cargo, 829 funcionarios, 2 laborales), coincide. Total sección 74,120154 M; total OTRAS SEC 76,557503 M (no sumar). NO ocupación.</t>
  </si>
  <si>
    <t xml:space="preserve">Revisado: Agencia Tributaria Andalucía: aplicación tributos</t>
  </si>
  <si>
    <t xml:space="preserve">Art6: gestión, inspección, recaudación y revisión; no trámite previo general de leyes en estas competencias.</t>
  </si>
  <si>
    <t xml:space="preserve">Ley23/2007 art6</t>
  </si>
  <si>
    <t xml:space="preserve">https://www.boe.es/buscar/act.php?id=BOE-A-2008-3180</t>
  </si>
  <si>
    <t xml:space="preserve">Crédito definitivo cap.1 a 31/03/2026 (inicial 44.800.303 + modificaciones 55.621,69), IGJA resumen mensual marzo 2026</t>
  </si>
  <si>
    <t xml:space="preserve">IGJA marzo 2026 (Enero-Marzo, extracción 06/04/2026), sección 1039: cap.1 servicio 103901 inicial 8.559.935,00, modif. 225,00, oblig. 1.216.744,46; servicio 103903 inicial 36.240.368,00, modif. 55.396,69, oblig. 7.608.691,38. Total cap.1: inicial 44.800.303 (= presupuesto), modificaciones 55.621,69 (cuadra con 2_ATRIAN-1), definitivo 44.855.924,69, obligaciones 8.825.435,84, pagos 8.825.435,84 EUR. Total sección: definitivo 74.175.775,69; obligaciones 13.639.681,13. Hay cortes posteriores (mensuales hasta julio 2026; trimestral 2T/2026 'ATRIAN-5') no accesibles en esta sesión: actualizar. No comparar 3 meses con año completo.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(nota 22.1.1, resultado presupuestario): 'I. GASTOS DE PERSONAL 37.640,60' miles EUR en 2024 (37.166,65 en 2023); dato 2024, solo referencia.</t>
  </si>
  <si>
    <t xml:space="preserve">https://www.juntadeandalucia.es/haciendayadministracionpublica/servicios/fiscalizacion/rendicion/mensuales2025/diciembre/descargas/agencias/atriand/2_ATRIAN-3.pdf</t>
  </si>
  <si>
    <t xml:space="preserve">Cuenta de Gastos Públicos a nivel de Seguimiento, Enero-Diciembre 2025, sección 1039: servicio 103901 inicial 8.215.548,00, modif. -326,00, definitivo 8.215.222,00, oblig. 5.467.559,55; servicio 103903 inicial 38.180.738,00, modif. -1.936.108,65, definitivo 36.244.629,35, oblig. 32.960.101,91. Total cap.1: definitivo 44.459.851,35; obligaciones = pagos 38.427.661,46 EUR. Modificaciones cap.1 -1.936.434,65 cuadran con 2_ATRIAN-1 dic-2025. Total sección 2025: definitivo 71.486.626,91; obligaciones 62.959.634,23. No es Cuenta General 2025 (última listada: 2024).</t>
  </si>
  <si>
    <t xml:space="preserve">Competencia autonómica que el Estado no presta en ese territorio; la duplicidad es de forma (agencia propia o dirección general). 12 organismos sobre este tema entre el Estado y las CCAA (verificados).</t>
  </si>
  <si>
    <t xml:space="preserve">Gestiona tributos autonómicos y cedidos; el P100 quiere «una sola Agencia Tributaria» para todo el régimen común.</t>
  </si>
  <si>
    <t xml:space="preserve">Explícito en el P100: Impuestos y financiación territorial 11</t>
  </si>
  <si>
    <t xml:space="preserve">Plazas presupuestadas 2026 (Anexo de Personal 2026, sección 10.39), sin el alto cargo; no ocupación</t>
  </si>
  <si>
    <t xml:space="preserve">https://www.juntadeandalucia.es/export/presup2026/personal/personalI-d-2.pdf</t>
  </si>
  <si>
    <t xml:space="preserve">personalI-d-2.pdf, p. 605 'Resumen de anexo de personal', sección 10.39 Agencia Tributaria de Andalucía: 'DIRECTORES GENERALES Y ASIMILADOS 1'; funcionarios 'GRUPO A1 251', 'GRUPO A1/A2 129', 'GRUPO A2 66', 'GRUPO A2/C1 52', 'GRUPO C1 50', 'GRUPO C1/C2 266', 'GRUPO C2 15', 'TOTAL FUNCIONARIOS 829'; laborales 'GRUPO 3 1', 'GRUPO 5 1'; 'TOTAL 832'. Núcleo 251+129+66 = 446; administración 50+266+15+1+1 = 333; otro 52 (A2/C1). 446+333+52 = 831 = 832 - 1 alto cargo. Alternativa en personas (no mezclada): Memoria Cuentas Anuales 2024 ATRIAN, nota 1, efectivos a 31/12/2024: A1 311, A2 102, C1 240, C2 48, G.III 1, G.V 1 = 703 (A1+A2 = 413; C1+C2+laborales = 290; incluye 1 alto cargo y 11 directivos).</t>
  </si>
  <si>
    <t xml:space="preserve">Periodo Rajoy</t>
  </si>
  <si>
    <t xml:space="preserve">Consejo de Transparencia y Protección de Datos de Andalucía</t>
  </si>
  <si>
    <t xml:space="preserve">2014-06-24</t>
  </si>
  <si>
    <t xml:space="preserve">Ley 1/2014</t>
  </si>
  <si>
    <t xml:space="preserve">Resolver reclamaciones y controlar transparencia y protección de datos en el ámbito autonómico.</t>
  </si>
  <si>
    <t xml:space="preserve">Poder jurídico sobre reclamaciones y competencias de control; debe distinguirse cada competencia de transparencia/protección de datos.</t>
  </si>
  <si>
    <t xml:space="preserve">Crédito propio inicial aprobado 2026: 4,713195 M EUR (4.713.195 EUR), sección presupuestaria propia 07.00 'Consejo de Transparencia y Protección de Datos de Andalucía', servicio 01. Estado de gastos 2026, resumen por servicios (servicios-b-6, p. 64 'TOTAL 01' y p. 66 'TOTAL GENERAL'): cap.1 3,480037 M; cap.2 0,370826 M (operaciones corrientes 3,850863 M); cap.6 0,862332 M. No es ejecución.</t>
  </si>
  <si>
    <t xml:space="preserve">Portal presupuestario 2026 vigente Actualización2026: Ley1/2026 elimina antigua facultad art48.1(h) de instar expedientes disciplinarios/sancionadores y remite régimen sancionador a Ley19/2013. Conserva función de protección de datos, antes(i), ahora(h).</t>
  </si>
  <si>
    <t xml:space="preserve">https://www.boe.es/buscar/pdf/2014/BOE-A-2014-7534-consolidado.pdf
https://www.ctpdandalucia.es/transparencia-del-consejo/informacion-economica-financiera-presupuestaria/presupuestos
https://www.boe.es/buscar/act.php?id=BOE-A-2014-7534
https://www.boe.es/buscar/act.php?id=BOE-A-2026-6643
https://www.juntadeandalucia.es/datosabiertos/portal/dataset/ce12dae2-4d8c-44b6-88ea-8542803fd780/resource/d6d9db97-c3d6-4783-99ad-a1e9726c05fb/download/relacion-de-puestos-de-trabajo-funcionarios-2t.csv
https://www.juntadeandalucia.es/datosabiertos/portal/dataset/86f314ec-c952-467e-91fb-61f2e1b22607/resource/f21c95c3-a2bc-4db7-a8f0-2cdaa428e293/download/relacion-de-puestos-de-trabajo-laborales-2t.csv
https://www.juntadeandalucia.es/datosabiertos/portal/dataset/86fc305f-d75a-458c-898b-cbf4b49958a2/resource/0b6828b7-5a44-4fc2-8336-47ec1eb60d51/download/rpt-eventual-2t.csv
https://www.juntadeandalucia.es/datosabiertos/portal/organization/ctpda
https://www.juntadeandalucia.es/haciendayadministracionpublica/servicios/fiscalizacion/rendicion/avance_cuenta2025/avance/junta.htm
https://www.juntadeandalucia.es/export/presup2026/estado/servicios/servicios-b-6.pdf
https://www.juntadeandalucia.es/export/presup2026/personal/personalI-b-4.pdf</t>
  </si>
  <si>
    <t xml:space="preserve">2026 (2º trimestre; fichero RPT 2T/2026, actualizado 2026-08-05)</t>
  </si>
  <si>
    <t xml:space="preserve">SOLO personal funcionario: puestos de la RPT 2026 del Consejo con 'CARÁCTER OCUPACIÓN' Definitivo (39), Provisional (3) u Ocup. Prov./Reservada (1). RPT funcionarios: 76 puestos; 48 dotados (43 ocupados, 3 vacantes, 2 desocupados/reservados), 27 sin dotación, 1 desdotado. No incluye alto cargo, 2 plazas de personal eventual ni 1 puesto laboral (sus ficheros no indican ocupación): cifra mínima, no plantilla total</t>
  </si>
  <si>
    <t xml:space="preserve">https://www.juntadeandalucia.es/datosabiertos/portal/dataset/ce12dae2-4d8c-44b6-88ea-8542803fd780/resource/d6d9db97-c3d6-4783-99ad-a1e9726c05fb/download/relacion-de-puestos-de-trabajo-funcionarios-2t.csv</t>
  </si>
  <si>
    <t xml:space="preserve">Capítulo 1: crédito inicial 2026, sección 07.00 (servicio 01; detalle pp. 62-63, resumen p. 65)</t>
  </si>
  <si>
    <t xml:space="preserve">https://www.juntadeandalucia.es/export/presup2026/estado/servicios/servicios-b-6.pdf</t>
  </si>
  <si>
    <t xml:space="preserve">Presupuesto propio y cap.1 crédito 2026 verificados; plazas presupuestadas verificadas; personal funcionario ocupado (43, RPT 2T/2026) verificado, resto de plantilla sin ocupación publicada; ejecución cap.1 2025/2026 pendiente</t>
  </si>
  <si>
    <t xml:space="preserve">Plazas Anexo de Personal 2026, sección 07.00 (pp. 33-35): TOTAL 52 (1 alto cargo, 48 funcionarios, 1 laboral; el resto corresponde a personal eventual, 'NUM. EFEC. 2' del concepto 110 en servicios-b-6 p. 62); budgeted, NO ocupación real</t>
  </si>
  <si>
    <t xml:space="preserve">https://www.juntadeandalucia.es/export/presup2026/personal/personalI-b-4.pdf</t>
  </si>
  <si>
    <t xml:space="preserve">Sección 07.00: 52 plazas presupuestadas; cap.1 3,480037 M (altos cargos 0,081080; eventual 0,105287; funcionarios 2,408139; laboral 0,044163; productividad 0,036982; cuotas y gastos sociales 0,664700; incremento retributivo 0,139686). NO ocupación. RPT 2026 (datos abiertos del Consejo, ficheros 2T/2026): funcionarios 76 puestos, 48 dotados (= 48 funcionarios del Anexo de Personal) de los que 43 ocupados; laboral 1 puesto (conductor); eventual 1 puesto con 2 plazas (asesoría de información y documentación, A1). 48 + 1 + 2 + 1 alto cargo = 52 plazas presupuestadas.</t>
  </si>
  <si>
    <t xml:space="preserve">Consulta preceptiva de anteproyectos de leyes y disposiciones generales en materias del Consejo</t>
  </si>
  <si>
    <t xml:space="preserve">SÍ: informe de su Comisión Consultiva sobre anteproyectos de leyes y proyectos de disposiciones generales en materias competencia del Consejo</t>
  </si>
  <si>
    <t xml:space="preserve">El art 15.1(d) exige informe, no consentimiento favorable ni veto; vinculación no declarada en esta disposición</t>
  </si>
  <si>
    <t xml:space="preserve">Trámite obligatorio acotado. No veto legislativo atribuido en la disposición; efecto de omisión o demora requiere expediente/procedimiento específico.</t>
  </si>
  <si>
    <t xml:space="preserve">Decreto 434/2015, Estatutos art 15.1(d); Ley 1/2014 art 49</t>
  </si>
  <si>
    <t xml:space="preserve">https://www.juntadeandalucia.es/boja/2015/193/1
https://www.ctpdandalucia.es/comision-consultiva</t>
  </si>
  <si>
    <t xml:space="preserve">La ejecución 2025/2026 de la sección 07.00 figura en los resúmenes IGJA de 'Junta de Andalucía' (2_JUNTA-3, todas las secciones en un solo PDF), no legible completo en esta sesión; el portal propio del Consejo (ctpdandalucia.es) no fue accesible. Pendiente. Ronda 2 (12/10/2026): el PDF 2_JUNTA-3 de marzo 2026 solo se lee hasta ~49.000 caracteres (sección 0100, pp. 2-6), también con offset, por lo que la sección queda fuera de alcance; los meses abril-julio están en ceh.junta-andalucia.es (no accesible). El Avance de Liquidación del Presupuesto 2025 (IGJA) publica un PDF por sección ('Cuenta de gastos públicos por secciones': JUNTA-4-6 Consejo de Transparencia; JUNTA-4-7 Agencia de la Competencia y de la Regulación Económica), pero sus enlaces JavaScript no pudieron abrirse. La Cuenta General 2024 (JUNTA2-1-2, liquidación por secciones/programas/capítulos) sí se abrió, pero la extracción de texto asigna a 'Sección: 800 ... 61N' una tabla de 44.838.249,00 EUR iniciales, incompatible con la escala de la Agencia de la Competencia, de modo que la correspondencia página-sección no es fiable; la tabla que la extracción asocia a 'Sección: 700 CONSEJO DE TRANSPARENCIA' (p. 12: iniciales 3.241.152,00; cap.1 inicial 2.833.374,00, ORN 2.256.547,84) NO se incorpora por la misma razón. Los 'Informes de gastos realizados' de datos abiertos del Consejo (2T/2026) son una relación de facturas (186.733,18 EUR, 72 apuntes), no ejecución presupuestaria ni cap.1.</t>
  </si>
  <si>
    <t xml:space="preserve">Duplica a CTBG, que ya cubre este territorio o puede hacerlo. 13 organismos sobre este tema entre el Estado y las CCAA (verificados).</t>
  </si>
  <si>
    <t xml:space="preserve">Consejo autonómico de transparencia y datos; el CTBG ya resuelve por convenio las reclamaciones de cinco comunidades y la AEPD supervisa por defecto.</t>
  </si>
  <si>
    <t xml:space="preserve">Aplicando el criterio del P100: Criterio Extramuros del 12/10/2026 y Organización del Estado 11</t>
  </si>
  <si>
    <t xml:space="preserve">Consejo de Transparencia y Buen Gobierno (CTBG) y Agencia Española de Protección de Datos (AEPD)</t>
  </si>
  <si>
    <t xml:space="preserve">Plazas presupuestadas 2026 (Anexo de Personal 2026, sección 07.00), sin el alto cargo; libre designación: puestos RPT funcionarios 2T/2026 (datos abiertos del Consejo)</t>
  </si>
  <si>
    <t xml:space="preserve">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Las 2 plazas de personal eventual -&gt; otro. Altos cargos fuera del total (columna propia)</t>
  </si>
  <si>
    <t xml:space="preserve">personalI-b-4.pdf, p. 33 'Resumen de anexo de personal', sección 07.00: 'VICECONSEJEROS Y ASIMILADOS 1'; 'EVENTUALES 2'; funcionarios A1 31, A1/A2 4, A2 1, A2/C1 2, C1 3, C1/C2 7 (total 48); laborales Grupo 4 1; 'TOTAL 52'. Núcleo 31+4+1 = 36; administración 3+7+1 = 11; otro 2 (A2/C1) + 2 eventuales = 4; 36+11+4 = 51 = 52 - 1 alto cargo. Libre designación: RPT funcionarios 2T/2026 del Consejo (CSV datos abiertos, https://www.juntadeandalucia.es/datosabiertos/portal/dataset/ce12dae2-4d8c-44b6-88ea-8542803fd780/resource/d6d9db97-c3d6-4783-99ad-a1e9726c05fb/download/relacion-de-puestos-de-trabajo-funcionarios-2t.csv): 76 puestos; MODO DE ACCESO 'PLD' 20 (13 con carácter de ocupación Definitivo, 7 'Sin dotación'), PC 41, 'PC, SO' 13, 'D.2' 2. PLD incluye Secretario/a General (A1, 30), Directores/as de Área de Transparencia y de Protección de Datos (A1, 30), 6 gabinetes (A1, 29), 4 Consejerías Técnicas (A1, 28, sin dotación), Adjunto de la Dirección, Asesor/a Jurídico/a, 2 jefaturas de servicio, Coordinador Secretaría Dirección (A2-C1) y Secretario/a Alto Cargo (C1-C2).</t>
  </si>
  <si>
    <t xml:space="preserve">Observatorio Territorial de Andalucía</t>
  </si>
  <si>
    <t xml:space="preserve">2007-03-13</t>
  </si>
  <si>
    <t xml:space="preserve">Orden de 13/03/2007</t>
  </si>
  <si>
    <t xml:space="preserve">Analizar territorio, tendencias e incidencia de políticas públicas.</t>
  </si>
  <si>
    <t xml:space="preserve">Técnico/consultivo; secretaría y apoyo del departamento territorial, sin sanción ni veto.</t>
  </si>
  <si>
    <t xml:space="preserve">Sin presupuesto propio. Orden de 13 de marzo de 2007 de la Consejería de Obras Públicas y Transportes (BOJA núm. 70, 10/04/2007, p. 20): art. 4 'Apoyo técnico': 'La Secretaría General de Ordenación del Territorio, a través de la Dirección General del Instituto de Cartografía de Andalucía, prestará al Observatorio Territorial de Andalucía el apoyo técnico necesario para el desempeño de su cometido, así como para el ejercicio de las funciones de Secretaría del mismo'. Disposición adicional única: los miembros del Consejo ajenos a la Administración de la Junta 'podrán percibir indemnizaciones en concepto de dietas y gastos de desplazamientos' (Decreto 54/1989). La parte leída de la Orden no asigna crédito, personal ni presupuesto propio: funciona con medios de la Consejería. No equivale a cero EUR ni se le atribuye el presupuesto de la Consejería. Arts. 1-2 (p. 19: naturaleza y adscripción) no leídos.</t>
  </si>
  <si>
    <t xml:space="preserve">https://www.juntadeandalucia.es/boja/2007/70/4
https://cdn.juntadeandalucia.es/boja/2007/70/d5.pdf</t>
  </si>
  <si>
    <t xml:space="preserve">Sin plantilla propia: apoyo y secretaría de la Consejería (Orden 13/03/2007, art. 4); miembros del Consejo no son personal</t>
  </si>
  <si>
    <t xml:space="preserve">No aplica: órgano sin dotación diferenciada; medios de la Consejería (Orden 13/03/2007, art. 4 y DA única)</t>
  </si>
  <si>
    <t xml:space="preserve">No aplica: órgano sin dotación diferenciada (Orden 13/03/2007, art. 4)</t>
  </si>
  <si>
    <t xml:space="preserve">Sin presupuesto propio (verificado en la Orden de creación: apoyo técnico y secretaría con medios de la Consejería, art. 4; solo indemnizaciones a miembros externos, DA única); sin plantilla propia; continuidad/actividad 2026 no verificada</t>
  </si>
  <si>
    <t xml:space="preserve">Sin plantilla propia: apoyo técnico y Secretaría a cargo de la Secretaría General de Ordenación del Territorio a través de la DG Instituto de Cartografía de Andalucía (Orden 13/03/2007, art. 4). El Consejo (art. 3, órgano de dirección) lo integran miembros natos (titulares de secretarías y direcciones generales de las Consejerías de Obras Públicas y Transportes e Innovación, Ciencia y Empresa, y Dirección-Gerencia de la Agencia Andaluza del Agua) y 7-12 miembros nombrados entre investigadores, técnicos y profesionales; funciona en Pleno y Comisiones Técnicas. Son miembros, no plantilla; los externos solo cobran indemnizaciones (DA única).</t>
  </si>
  <si>
    <t xml:space="preserve">Análisis del territorio e informes encargados por la consejería</t>
  </si>
  <si>
    <t xml:space="preserve">Orden 14/03/2007 art 2</t>
  </si>
  <si>
    <t xml:space="preserve">https://www.juntadeandalucia.es/boja/2007/70/4</t>
  </si>
  <si>
    <t xml:space="preserve">Órgano consultivo sin medios propios: su producto son informes y reuniones, que el P100 no cuenta como resultado.</t>
  </si>
  <si>
    <t xml:space="preserve">Aplicando el criterio del P100: Costes del Estado 2 (aplicado a las CCAA)</t>
  </si>
  <si>
    <t xml:space="preserve">Consejería autonómica competente</t>
  </si>
  <si>
    <t xml:space="preserve">Territorio</t>
  </si>
  <si>
    <t xml:space="preserve">Apoyo: Secretaría General de Ordenación del Territorio, a través de la DG del Instituto de Cartografía de Andalucía: apoyo técnico y funciones de secretaría (art. 4 Orden 13/03/2007). miembros: dietas/indemnizaciones por asistencia (DA única Orden 13/03/2007: miembros ajenos a la Junta «podrán percibir indemnizaciones en concepto de dietas y gastos de desplazamientos», Decreto 54/1989).</t>
  </si>
  <si>
    <t xml:space="preserve">Agencia de Calidad y Prospectiva Universitaria de Aragón (ACPUA)</t>
  </si>
  <si>
    <t xml:space="preserve">2005-06-14</t>
  </si>
  <si>
    <t xml:space="preserve">Ley 5/2005</t>
  </si>
  <si>
    <t xml:space="preserve">Evaluación, certificación y acreditación universitaria.</t>
  </si>
  <si>
    <t xml:space="preserve">Poder técnico con efectos en calidad/acreditación, no regulador económico ni mero foro.</t>
  </si>
  <si>
    <t xml:space="preserve">2026, prórroga del presupuesto 2024</t>
  </si>
  <si>
    <t xml:space="preserve">Cifra propia2024 verificada; actual2026 pendiente</t>
  </si>
  <si>
    <t xml:space="preserve">Presupuesto propio aprobado 2024 de la entidad de derecho público ACPUA: 753.552,53 EUR = 0,753553 M EUR, estados de dotaciones y recursos equilibrados (Ley 17/2023, de 22 de diciembre, de Presupuestos de la Comunidad Autónoma de Aragón para 2024, art. 1.1.m; BOE-A-2024-903, p. 6487). Aragón no tiene ley de presupuestos 2026: el Decreto-ley 1/2026, de 10 de junio (BOE-A-2026-17288, p. 111285) indica que 'se han prorrogado automáticamente a partir de 1 de enero de 2026 los créditos iniciales aprobados para el ejercicio 2024'. El importe 2026 de ACPUA es, en principio, el prorrogado de 2024, pero no se ha visto su estado prorrogado individual. Es el presupuesto total de la entidad, no solo personal; no es ejecución.</t>
  </si>
  <si>
    <t xml:space="preserve">Vigente como entidad de derecho público con presupuesto propio (Ley 17/2023, art. 1.1.m), prorrogado en 2026. Actividad acreditada por la Memoria de Actividades 2025 publicada en acpua.aragon.es (fichero '260407_memoria_cr_2025.pdf') y por la revisión externa de ENQA (informe de 22/04/2026).</t>
  </si>
  <si>
    <t xml:space="preserve">https://boe.es/buscar/doc.php?id=BOE-A-2005-14406
https://boe.es/boe/dias/2026/08/08/pdfs/BOE-A-2026-17288.pdf
https://boe.es/boe/dias/2024/01/18/pdfs/BOE-A-2024-903.pdf
https://acpua.aragon.es/sites/default/files/260407_memoria_cr_2025.pdf
https://acpua.aragon.es/sites/default/files/2026_acpua_external_review_report_es-es.pdf</t>
  </si>
  <si>
    <t xml:space="preserve">Presupuesto propio 2024 aprobado verificado (prorrogado en 2026; importe prorrogado individual no visto); cap.1, ejecución y plantilla ocupada pendientes</t>
  </si>
  <si>
    <t xml:space="preserve">Plantilla no verificada. El informe de revisión externa de ENQA (22/04/2026, p. 15) dice que la asignación de fondos del Gobierno de Aragón 'ha sido idéntica desde 2020', que la Agencia gasta entre el 77 % y el 91 % de su presupuesto (máximo en 2024, cuando 'se cubrieron todos los puestos vacantes') y que sus ingresos propios son 'muy modestos'; no da importes ni número de personas. Es un informe externo de evaluación, no fuente presupuestaria.</t>
  </si>
  <si>
    <t xml:space="preserve">Revisado: ACPUA: evaluación y acreditación</t>
  </si>
  <si>
    <t xml:space="preserve">Art85: acreditación/evaluación universidad, titulaciones y docentes; no permiso general de leyes.</t>
  </si>
  <si>
    <t xml:space="preserve">Ley5/2005 arts84-85</t>
  </si>
  <si>
    <t xml:space="preserve">https://boe.es/buscar/doc.php?id=BOE-A-2005-14406</t>
  </si>
  <si>
    <t xml:space="preserve">Ley 17/2023 (presupuesto 2024) solo aprueba el importe global equilibrado de la entidad; el desglose por capítulos (cap.1) está en los documentos presupuestarios de aragon.es (ROBOTS_DISALLOWED). La Memoria de Actividades 2025 de ACPUA tiene un Anexo I 'Ejecución presupuestaria' (p. 50) y un apartado de recursos humanos (p. 47), pero el texto legible del PDF termina en la p. 33.</t>
  </si>
  <si>
    <t xml:space="preserve">Duplica a ANECA, que ya cubre este territorio o puede hacerlo. 11 organismos sobre este tema entre el Estado y las CCAA (verificados).</t>
  </si>
  <si>
    <t xml:space="preserve">Agencia autonómica de calidad universitaria; ANECA ya evalúa en las siete comunidades sin agencia propia.</t>
  </si>
  <si>
    <t xml:space="preserve">Aplicando el criterio del P100: Criterio Extramuros del 12/10/2026</t>
  </si>
  <si>
    <t xml:space="preserve">Personas nominales del organigrama publicado en la web de ACPUA ('About us', sin fecha; consulta 12/10/2026). Hay además 1 puesto administrativo vacante, no incluido</t>
  </si>
  <si>
    <t xml:space="preserve">Por función, según el área y el puesto publicados: Área técnica (coordinadora de calidad y 3 técnicos de calidad: docencia, internacional, prospectiva) -&gt; núcleo; asistente de dirección, auxiliar administrativa del área técnica y jefa de administración -&gt; administración y apoyo; directora -&gt; otro (dirección)</t>
  </si>
  <si>
    <t xml:space="preserve">https://acpua.aragon.es/en/about-us</t>
  </si>
  <si>
    <t xml:space="preserve">Página 'About us' de ACPUA (https://acpua.aragon.es/en/about-us; misma página en https://acpua.aragon.es/en/node/37): Management: Director (Cristina Rodríguez Coarasa), Executive Assistant; Technical Area: Quality Assurance Coordinator, Teaching Quality Assurance Technician, International Quality Assurance Technician, Foresight Quality Assurance Technician, Administrative Assistant; Administration Area: Head of Administration, 'Administrative' vacante. 4 + 3 + 1 = 8 personas (9 puestos con la vacante). El SAR de ACPUA para ENQA (acpua_sar_es.pdf, pp. 9-10 y 16) solo dice que la plantilla 'ha cubierto ya todos los puestos' y remite a la web; el informe ENQA 2026 (p. 14) dice que en 2024 'se cubrieron todos los puestos vacantes'. La Memoria 2025 (apartado 'Organización interna y gestión de recursos humanos', p. 47) no es legible: la extracción de texto se corta en la p. 33.</t>
  </si>
  <si>
    <t xml:space="preserve">Servicio de Emergencias del Principado de Asturias (SEPA)</t>
  </si>
  <si>
    <t xml:space="preserve">Fusión y reorganización de Bomberos y 112 Asturias</t>
  </si>
  <si>
    <t xml:space="preserve">2013-05-24</t>
  </si>
  <si>
    <t xml:space="preserve">Ley 1/2013</t>
  </si>
  <si>
    <t xml:space="preserve">Prevención y extinción de incendios, salvamento y respuesta a emergencias.</t>
  </si>
  <si>
    <t xml:space="preserve">Servicio operativo real; no creación de función desde cero.</t>
  </si>
  <si>
    <t xml:space="preserve">Crédito inicial propio 2026: 53.101.505 EUR (53,101505 M). Ley del Principado de Asturias 5/2025, de 31 de diciembre, de Presupuestos Generales para 2026, art. 2.2 (organismos y entes del art. 1.d, presupuesto limitativo), fila 'Servicio de Emergencias del Principado de Asturias'; BOE-A-2026-2888, BOE núm. 35 de 09/02/2026, p. 20131. Sección presupuestaria 87. Referencia 2025: 48.457.645 EUR (Ley de PG 2025, art. 2.2, BOPA núm. 252 de 31/12/2024, texto publicado por la Junta General). Crédito inicial de todos los capítulos: no es ejecución, ni crédito actualizado, ni solo gasto de personal.</t>
  </si>
  <si>
    <t xml:space="preserve">2026, crédito inicial aprobado (Ley 5/2025); revisión 11/10/2026</t>
  </si>
  <si>
    <t xml:space="preserve">Presupuestado 2026</t>
  </si>
  <si>
    <t xml:space="preserve">https://www.boe.es/buscar/doc.php?id=BOE-A-2013-8930
https://transparencia.asturias.es/documents/2213862/4017833/presupuestos_2026_tomo_informacion_presupuestaria_basica.pdf/8bd1ac47-6bc3-4174-d5a7-dc8160dd9acc?t=1769080801898
https://www.boe.es/boe/dias/2026/02/09/pdfs/BOE-A-2026-2888.pdf
https://www.boe.es/eli/es-as/l/2025/12/31/5
https://www.jgpa.es/documents/11156/23154/Presupuestos+Generales+para+2025/0d75983e-243c-4dc0-9a14-24cf0664ac9c</t>
  </si>
  <si>
    <t xml:space="preserve">Presupuesto propio 2026 verificado (Ley 5/2025 art. 2.2). Capítulo 1, ejecución 2026, liquidación 2025 y plantilla no verificados: tomos presupuestarios y Cuenta General 2025 no accesibles en esta revisión; vacío no significa cero</t>
  </si>
  <si>
    <t xml:space="preserve">Revisado: SEPA: emergencias</t>
  </si>
  <si>
    <t xml:space="preserve">Atención112, proteccióncivil, incendios y salvamentos. ConsejoBomberos citado en modificación otra ley no debe confundirse con SEPA.</t>
  </si>
  <si>
    <t xml:space="preserve">Ley1/2013 art5</t>
  </si>
  <si>
    <t xml:space="preserve">https://www.boe.es/buscar/doc.php?id=BOE-A-2013-8930</t>
  </si>
  <si>
    <t xml:space="preserve">Competencia autonómica que el Estado no presta en ese territorio; la duplicidad es de forma (agencia propia o dirección general). 9 organismos sobre este tema entre el Estado y las CCAA (verificados).</t>
  </si>
  <si>
    <t xml:space="preserve">Bomberos, emergencias y 112: un servicio que el Estado no presta en ese territorio. Un «mando único» o integración operativa dentro de la comunidad (p. ej. 112, GREA e IESPA en Andalucía) no es el veredicto «Integrar» del P100: no hay organismo estatal que absorba el 112; los 17 centros son autonómicos.</t>
  </si>
  <si>
    <t xml:space="preserve">Aplicando el criterio del P100: Servicio directo que el Estado no presta</t>
  </si>
  <si>
    <t xml:space="preserve">Agencia Tributaria de las Illes Balears (ATIB)</t>
  </si>
  <si>
    <t xml:space="preserve">Nueva entidad que recibe competencias tributarias existentes</t>
  </si>
  <si>
    <t xml:space="preserve">2008-04-14</t>
  </si>
  <si>
    <t xml:space="preserve">Ley 3/2008</t>
  </si>
  <si>
    <t xml:space="preserve">Gestión, inspección y recaudación tributaria.</t>
  </si>
  <si>
    <t xml:space="preserve">Poder tributario ejecutivo, no consultivo.</t>
  </si>
  <si>
    <t xml:space="preserve">2026, prórroga del presupuesto 2025</t>
  </si>
  <si>
    <t xml:space="preserve">Presupuesto prorrogado 2026: no hay ley de presupuestos 2026 aprobada en Illes Balears. Ordre 39/2025, de 23 de desembre (BOIB núm. 173 de 30/12/2025), art. 2.1 prorroga el presupuesto de la ATIB; estados numéricos declarados por Resolució del conseller d'Economia, Hisenda i Innovació (sector público administrativo, firmada 05/01/2026), anexo ATIB p. 16/19: crédito inicial 16.259.920 EUR (16,25992 M). Personal 9.801.634; bienes y servicios 4.593.865; gastos financieros 1.852.421; inversión 12.000. No reutilizar 16.496.693 EUR de la ley 2025. Crédito inicial prorrogado, no ejecución.</t>
  </si>
  <si>
    <t xml:space="preserve">2026, prórroga del presupuesto 2025; créditos iniciales prorrogados; revisión 11/10/2026</t>
  </si>
  <si>
    <t xml:space="preserve">Presupuestada 2026</t>
  </si>
  <si>
    <t xml:space="preserve">https://www.boe.es/buscar/act.php?id=BOE-A-2008-8768
https://www.caib.es/sites/estadistiques/es/2026_p/
https://www.caib.es/sites/estadistiques/f/549410
https://www.caib.es/sites/pressuposts/f/540091
https://www.caib.es/sites/pressuposts/ca/prorroga_del_pressupost_per_a_lany_2026/
https://www.caib.es/sites/pressuposts/es/archivopub.do?ctrl=MCRST226ZI540088&amp;id=540088
https://www.caib.es/conselleries/hisenda/interven/compte_general_2025/index.html</t>
  </si>
  <si>
    <t xml:space="preserve">Capítulo 1: crédito inicial 2026 del presupuesto prorrogado (Resolució 05/01/2026, anexo ATIB p. 16/19)</t>
  </si>
  <si>
    <t xml:space="preserve">Crédito autorizado (prórroga), no gasto realizado ni solo salarios</t>
  </si>
  <si>
    <t xml:space="preserve">https://www.caib.es/sites/pressuposts/f/540091
https://www.caib.es/sites/estadistiques/f/549410</t>
  </si>
  <si>
    <t xml:space="preserve">Presupuesto y capítulo 1 2026 (prórroga) verificados; ejecución 2026, liquidación 2025 y plantilla ocupada no verificadas</t>
  </si>
  <si>
    <t xml:space="preserve">Revisado: ATIB: gestión e inspección</t>
  </si>
  <si>
    <t xml:space="preserve">Funciones tributarias y sanción, no consulta normativa general en art2.</t>
  </si>
  <si>
    <t xml:space="preserve">Ley3/2008 art2</t>
  </si>
  <si>
    <t xml:space="preserve">https://www.boe.es/buscar/act.php?id=BOE-A-2008-8768</t>
  </si>
  <si>
    <t xml:space="preserve">Cap.1 9,801634 M es crédito inicial prorrogado (Ordre 39/2025 art. 4.2.b: se prorrogan los créditos de capítulo I con ajustes por compromisos consolidados a 31/12/2025). La liquidación 2025 de la ATIB figura en el Compte General 2025 de la Intervenció General (apartado ATIB, 'Estat d'execució del pressupost de despeses'), pero esa web se sirve en marcos que no se pudieron leer; cifras no incorporadas.</t>
  </si>
  <si>
    <t xml:space="preserve">Agencia Tributaria Canaria (ATC)</t>
  </si>
  <si>
    <t xml:space="preserve">Nueva entidad con funciones tributarias heredadas</t>
  </si>
  <si>
    <t xml:space="preserve">2014-07-30</t>
  </si>
  <si>
    <t xml:space="preserve">Ley 7/2014</t>
  </si>
  <si>
    <t xml:space="preserve">Aplicación de tributos y recaudación.</t>
  </si>
  <si>
    <t xml:space="preserve">Poder tributario real. Hay debilidad de medios expresamente documentada: al cierre 2025, 459 de 752 puestos RPT ocupados (61,04%), según Plan 2026. No prueba entidad vacía.</t>
  </si>
  <si>
    <t xml:space="preserve">31/07/2026</t>
  </si>
  <si>
    <t xml:space="preserve">Sección 72 'Agencia Tributaria Canaria', ejercicio 2026: crédito inicial 64.227.709,00 EUR; modificaciones netas +20.859.432,21; crédito definitivo 85.087.141,21 EUR (85,087141 M) a 31/07/2026. Fuente: 'Estado de ejecución de gastos de corriente :: detalle por sección / capítulo', Ejercicio 2026, Período enero (1) / julio (7), Fecha de edición 20.08.2026, publicado por la Oficina Presupuestaria del Parlamento de Canarias (parcan.es, fichero 2026/1281), fila '* 72 AGENCIA TRIBUTARIA CANARIA', en euros. Las modificaciones son casi todas cap.4 transferencias corrientes (+19.730.222,18), cap.7 (+1.018.710,03) y cap.8 (+110.500); el crédito inicial (cap.1 29.745.009 + cap.2 17.842.980 + cap.6 16.639.720) coincide con el Plan de Acción 2026 (BOC 2026/065); no usar 64.277.709. Obligaciones reconocidas totales a 31/07/2026: 40.755.728,95; pagos 37.371.723,72. Crédito, no gasto ejecutado; incluye transferencias e inversiones, no solo administración.</t>
  </si>
  <si>
    <t xml:space="preserve">Crédito definitivo y ejecución a 31/07/2026 (enero-julio, edición 20/08/2026); crédito inicial 2026 de la Ley 9/2025; revisión 11/10/2026</t>
  </si>
  <si>
    <t xml:space="preserve">Operativa; Plan de Acción 2026</t>
  </si>
  <si>
    <t xml:space="preserve">La ocupación RPT es de cierre 2025, no plantilla vigente a octubre 2026. No equivale a cobertura de plantilla presupuestaria.</t>
  </si>
  <si>
    <t xml:space="preserve">https://boe.es/buscar/act.php?id=BOE-A-2014-9902
https://www3.gobiernodecanarias.org/tributos/atc/documents/65729/0/boc-a-2026-065-1087.pdf/ce37abb9-573c-7b68-2adf-487ddaf54f43?t=1776157163286
https://www.parcan.es/files/transparencia/ofi_presupuestaria/2026/1281.pdf
https://www.parcan.es/files/transparencia/ofi_presupuestaria/2026/1210.pdf
https://www.parcan.es/files/transparencia/ofi_presupuestaria/2026/1202.pdf</t>
  </si>
  <si>
    <t xml:space="preserve">Puestos RPT ocupados a cierre de 2025 (459 de 752; 61,04%) según el Plan de Acción 2026 de la ATC; personas en puestos RPT; no incluye necesariamente personal ajeno a la RPT</t>
  </si>
  <si>
    <t xml:space="preserve">Cifra publicada en fuente primaria (Plan de Acción 2026, BOC 2026/065) ya recogida en la ficha; página no re-cotejada en esta revisión; no inferir vigencia posterior</t>
  </si>
  <si>
    <t xml:space="preserve">https://www3.gobiernodecanarias.org/tributos/atc/documents/65729/0/boc-a-2026-065-1087.pdf/ce37abb9-573c-7b68-2adf-487ddaf54f43?t=1776157163286</t>
  </si>
  <si>
    <t xml:space="preserve">Capítulo 1: crédito definitivo (total actualizado) 2026, sección 72 ATC, corte 31/07/2026 (estado de ejecución enero-julio, edición 20/08/2026)</t>
  </si>
  <si>
    <t xml:space="preserve">https://www.parcan.es/files/transparencia/ofi_presupuestaria/2026/1281.pdf</t>
  </si>
  <si>
    <t xml:space="preserve">Hasta 31/07/2026: 7 meses, NO año completo</t>
  </si>
  <si>
    <t xml:space="preserve">Capítulo 1: obligaciones reconocidas; incluye costes de personal (cotizaciones sociales, etc.), no desglose salarial puro</t>
  </si>
  <si>
    <t xml:space="preserve">Presupuesto 2026 (crédito total a 31/07) y capítulo 1 2026 (crédito y obligaciones a 31/07) verificados; ocupación RPT a cierre 2025 del Plan 2026; liquidación 2025 del cap.1 no verificada</t>
  </si>
  <si>
    <t xml:space="preserve">Puestos RPT de la ATC a cierre de 2025 (Plan de Acción 2026); no es plantilla presupuestaria ni ocupación</t>
  </si>
  <si>
    <t xml:space="preserve">Revisado: ATCanaria informe preceptivo</t>
  </si>
  <si>
    <t xml:space="preserve">Sí: proyectos tributarios iniciados por consejería competente;ConsejoCoordinación informa leyes tributarias bloqueCanario.</t>
  </si>
  <si>
    <t xml:space="preserve">Ley7/2014 arts7g,11m,13f</t>
  </si>
  <si>
    <t xml:space="preserve">https://boe.es/buscar/act.php?id=BOE-A-2014-9902</t>
  </si>
  <si>
    <t xml:space="preserve">Capítulo 1: crédito inicial 2026 (Ley 9/2025 de PG de Canarias), sección 72 ATC, según estado de ejecución enero-julio 2026 (y enero 2026, fichero 1202)</t>
  </si>
  <si>
    <t xml:space="preserve">Oficina Presupuestaria del Parlamento de Canarias, ejecución enero-julio 2026 (ed. 20/08/2026), fila '1 GASTOS DE PERSONAL' de la sección 72, EUR: crédito inicial 29.745.009,00; mod. -106,37 (pasa a cap.3); definitivo 29.744.902,63; saldo disponible 926.063,34; retenciones 154.336,99; autorizaciones 28.664.502,30; compromisos 28.664.502,30; obligaciones reconocidas 17.279.615,19; pagos 17.279.615,19; pendiente de pago 0,00. Corte 31/07/2026, no 31/08: por eso no se rellena 'Pagos de personal 2026 hasta 31/08'. Pagos cap.1 a 31/07/2026: 17,279615 M. Enero-febrero 2026 (ed. 19/03/2026, fichero 1210): obligaciones cap.1 4.144.466,42. Liquidación 2025: no localizada (la web de transparencia de la ATC solo enlaza ejecución trimestral 1T-3T 2025; no apareció el cierre de diciembre 2025). Capítulo 1 no equivale solo a sueldos. No comparar 7 meses con año completo.</t>
  </si>
  <si>
    <t xml:space="preserve">Instituto Cántabro de Servicios Sociales (ICASS)</t>
  </si>
  <si>
    <t xml:space="preserve">Nuevo organismo que agrupa gestión social</t>
  </si>
  <si>
    <t xml:space="preserve">2009-11-27</t>
  </si>
  <si>
    <t xml:space="preserve">Ley 3/2009</t>
  </si>
  <si>
    <t xml:space="preserve">Prestaciones, servicios y atención social.</t>
  </si>
  <si>
    <t xml:space="preserve">Gestor de servicios y recursos, poder operativo real.</t>
  </si>
  <si>
    <t xml:space="preserve">Importe propio 2026 aprobado no verificado. Ley de Cantabria 4/2026, de 28 de abril (BOC Extraordinario núm. 12 de 30/04/2026, CVE-2026-3601; BOE-A-2026-9962): el art. 1.a (p. 2207) sitúa al ICASS como organismo autónomo en la Sección 16, integrado en el presupuesto de la Administración General. El articulado no da importe propio a la sección 16 y la tabla del art. 2.Dos (p. 2209) no la incluye. Los 328.239.959 EUR son la política de gasto 23 completa (art. 2.Uno, p. 2208), NO el presupuesto del ICASS. La comparecencia sobre el proyecto cita 320.133.501 EUR, que NO es presupuesto aprobado.</t>
  </si>
  <si>
    <t xml:space="preserve">2026: Ley 4/2026 aprobada (de enero a abril rigió la prórroga 2025, Decreto 92/2025); revisión 11/10/2026</t>
  </si>
  <si>
    <t xml:space="preserve">Incluido como Sección 16 en el presupuesto aprobado 2026 (Ley 4/2026, art. 1.a)</t>
  </si>
  <si>
    <t xml:space="preserve">https://www.boe.es/eli/es-cb/l/2009/11/27/3
https://www.boe.es/diario_boe/txt.php?id=BOE-A-2026-9962
https://www.cantabria.es/web/comunicados/w/inclusi%C3%B3n-social-comparecencia-parlamento-presupuesto-2026
https://www.boe.es/ccaa/boct/2026/012/c00001-01406.pdf</t>
  </si>
  <si>
    <t xml:space="preserve">Proyecto 2026</t>
  </si>
  <si>
    <t xml:space="preserve">Proyecto; NO presupuesto aprobado</t>
  </si>
  <si>
    <t xml:space="preserve">ICASS (proyecto)</t>
  </si>
  <si>
    <t xml:space="preserve">Revisado: ICASS: gestión servicios sociales</t>
  </si>
  <si>
    <t xml:space="preserve">Art3: centros, prestaciones, discapacidad/dependencia y programas; no trámite general de leyes.</t>
  </si>
  <si>
    <t xml:space="preserve">Ley3/2009 art3</t>
  </si>
  <si>
    <t xml:space="preserve">https://www.boe.es/eli/es-cb/l/2009/11/27/3</t>
  </si>
  <si>
    <t xml:space="preserve">Presta servicios sociales; el P100 fija reglas comunes, pero no vacía la competencia.</t>
  </si>
  <si>
    <t xml:space="preserve">Servicios sociales</t>
  </si>
  <si>
    <t xml:space="preserve">Instituto Cántabro de Seguridad y Salud en el Trabajo (ICASST)</t>
  </si>
  <si>
    <t xml:space="preserve">Nuevo organismo</t>
  </si>
  <si>
    <t xml:space="preserve">2008-12-19</t>
  </si>
  <si>
    <t xml:space="preserve">Ley 5/2008</t>
  </si>
  <si>
    <t xml:space="preserve">Prevención de riesgos laborales, estudios y asistencia técnica.</t>
  </si>
  <si>
    <t xml:space="preserve">Función técnica y preventiva; no atribuirle automáticamente potestades de la Inspección de Trabajo.</t>
  </si>
  <si>
    <t xml:space="preserve">Presupuesto limitativo 2026 aprobado: 4.161.665 EUR (4,161665 M). Ley de Cantabria 4/2026, de 28 de abril, art. 2.Dos, fila 'INSTITUTO CÁNTABRO DE SEGURIDAD Y SALUD EN EL TRABAJO'; BOC Extraordinario núm. 12 de 30/04/2026 (CVE-2026-3601), p. 2209; BOE-A-2026-9962. Antes de la ley rigió la prórroga 2025 (Decreto 92/2025). Crédito inicial de todos los capítulos, no ejecución; capítulo 1 no verificado.</t>
  </si>
  <si>
    <t xml:space="preserve">2026, crédito inicial aprobado (Ley 4/2026); revisión 11/10/2026</t>
  </si>
  <si>
    <t xml:space="preserve">https://www.boe.es/buscar/act.php?id=BOE-A-2009-1173
https://www.boe.es/diario_boe/txt.php?id=BOE-A-2026-9962
https://www.boe.es/ccaa/boct/2026/012/c00001-01406.pdf</t>
  </si>
  <si>
    <t xml:space="preserve">Presupuesto propio 2026 verificado; capítulo 1, ejecución y plantilla no verificados</t>
  </si>
  <si>
    <t xml:space="preserve">Revisado: ICASST consejoasesor</t>
  </si>
  <si>
    <t xml:space="preserve">Informar EN SU CASO proyectos normativosseguridad/saludlaboral; no toda ley ni consentimiento.</t>
  </si>
  <si>
    <t xml:space="preserve">Consejo participativo de órgano técnico; no veto identificado enart10.</t>
  </si>
  <si>
    <t xml:space="preserve">Ley5/2008 art10a,b; consejoautonómico art19 distinto</t>
  </si>
  <si>
    <t xml:space="preserve">https://www.boe.es/buscar/act.php?id=BOE-A-2009-1173</t>
  </si>
  <si>
    <t xml:space="preserve">Paralelo a INSST: cada nivel actúa con sus propios fondos o competencias. 13 organismos sobre este tema entre el Estado y las CCAA (verificados).</t>
  </si>
  <si>
    <t xml:space="preserve">Prevención de riesgos laborales: asistencia técnica que puede prestar la consejería.</t>
  </si>
  <si>
    <t xml:space="preserve">Aplicando el criterio del P100: Costes del Estado 9 (aplicado a las CCAA)</t>
  </si>
  <si>
    <t xml:space="preserve">Consejería autonómica competente (con el Instituto Nacional de Seguridad y Salud en el Trabajo, INSST, como referencia técnica)</t>
  </si>
  <si>
    <t xml:space="preserve">Agencia del Agua de Castilla-La Mancha</t>
  </si>
  <si>
    <t xml:space="preserve">Nueva entidad con competencias e instrumentos preexistentes</t>
  </si>
  <si>
    <t xml:space="preserve">2009-12-17</t>
  </si>
  <si>
    <t xml:space="preserve">Ley 6/2009</t>
  </si>
  <si>
    <t xml:space="preserve">Planificación y gestión de políticas de agua y coordinación de infraestructuras.</t>
  </si>
  <si>
    <t xml:space="preserve">Poder de gestión sectorial real; no equivale a controlar competencias estatales de cuenca.</t>
  </si>
  <si>
    <t xml:space="preserve">Sin presupuesto propio actual: organismo autónomo suprimido por Ley 1/2026, de 26 de marzo, de Medidas Administrativas y Tributarias de CLM (DOCM núm. 61, 30/03/2026, art. 20, p. 10678). Figuraba como OA en la Ley 5/2025, de 19 de diciembre, de Presupuestos Generales JCCM 2026 (art. 1.1.c.3º), pero su crédito inicial total no se ha verificado en documento primario; tras la supresión, Hacienda autoriza las modificaciones presupuestarias para pasar créditos a la Consejería (art. 20.5). No se cuantifica el sustituto ni equivale a coste cero de la política de agua.</t>
  </si>
  <si>
    <t xml:space="preserve">2026: Ley 5/2025 de Presupuestos 2026 y Ley 1/2026 (supresión); revisión 11/10/2026</t>
  </si>
  <si>
    <t xml:space="preserve">Suprimido: Ley 1/2026 (CLM), art. 20.1 'Se suprime el organismo autónomo Agencia del Agua de Castilla-La Mancha, cuya personalidad jurídica quedará extinguida desde la fecha de entrada en vigor de esta Ley' (DOCM 61, 30/03/2026, p. 10678). Funciones, subrogación en procedimientos y referencias normativas pasan a la Consejería competente en materia de aguas (art. 20.2-3); personal adscrito a esa Consejería (art. 20.4); bienes al patrimonio de la Comunidad (art. 20.6). Fecha exacta de entrada en vigor (disposición final sexta) no leída en esta revisión.</t>
  </si>
  <si>
    <t xml:space="preserve">37, 38</t>
  </si>
  <si>
    <t xml:space="preserve">https://www.boe.es/eli/es-cm/l/2009/12/17/6
https://www.boe.es/ccaa/docm/2026/061/q10660-10683.pdf
https://laadministracionaldia.inap.es/noticia.asp?id=1261775
https://transparencia.castillalamancha.es/sites/default/files/2026-05/13.Texto%20Proyecto%20de%20Ley.pdf</t>
  </si>
  <si>
    <t xml:space="preserve">2026, crédito inicial aprobado (Ley 5/2025, art. 2.2.c)</t>
  </si>
  <si>
    <t xml:space="preserve">Transferencias internas presupuestadas desde el OA Agencia del Agua hacia la Entidad Pública Infraestructuras del Agua de CLM (38.337.170,00 EUR). No es el presupuesto total del OA ni coste propio; no sumar.</t>
  </si>
  <si>
    <t xml:space="preserve">Agencia del Agua de Castilla-La Mancha (OA; suprimido por Ley 1/2026)</t>
  </si>
  <si>
    <t xml:space="preserve">No aplica tras la supresión: personal adscrito a la Consejería competente en aguas (Ley 1/2026, art. 20.4); sin cifra individual verificada</t>
  </si>
  <si>
    <t xml:space="preserve">Supresión 2026 verificada en DOCM; sin presupuesto, personal ni salarios propios actuales; importe contextual (transferencia a Infraestructuras del Agua) no sumable</t>
  </si>
  <si>
    <t xml:space="preserve">Ley 1/2026, art. 20.4: el personal que prestaba servicios en el OA pasa adscrito a la Consejería competente en materia de aguas. No se cuantifica plantilla del sustituto.</t>
  </si>
  <si>
    <t xml:space="preserve">Revisado: AgenciaAguaCLM: informes sectoriales</t>
  </si>
  <si>
    <t xml:space="preserve">Informes cesión derechos de uso agua y concertacióninteradministrativa urbanística; no consentimiento general a leyes.</t>
  </si>
  <si>
    <t xml:space="preserve">Ley6/2009 art2.2i,j</t>
  </si>
  <si>
    <t xml:space="preserve">https://www.boe.es/eli/es-cm/l/2009/12/17/6</t>
  </si>
  <si>
    <t xml:space="preserve">Suprimida por Ley 1/2026 de Castilla-La Mancha; funciones a la Consejería.</t>
  </si>
  <si>
    <t xml:space="preserve">Agua (autonómica)</t>
  </si>
  <si>
    <t xml:space="preserve">Observatorio para la Convivencia Escolar</t>
  </si>
  <si>
    <t xml:space="preserve">Órgano consultivo; integrado posteriormente en observatorio general</t>
  </si>
  <si>
    <t xml:space="preserve">2006-02-16</t>
  </si>
  <si>
    <t xml:space="preserve">Decreto 8/2006; reorganización Decreto 52/2014</t>
  </si>
  <si>
    <t xml:space="preserve">Estudiar convivencia escolar y proponer medidas.</t>
  </si>
  <si>
    <t xml:space="preserve">Consultivo, sin sanción. Actividad histórica acreditada: 13 plenos hasta 2014. Integración no prueba desaparición de función.</t>
  </si>
  <si>
    <t xml:space="preserve">Sin presupuesto propio (verificado en norma). El Decreto 8/2006, de 16 de febrero, que creó el Observatorio para la Convivencia Escolar de Castilla y León, fue derogado por el Decreto 52/2014, de 16 de octubre, por el que se crea y regula el Observatorio de la Comunidad de Castilla y León (BOCyL núm. 201, 20/10/2014), disposición derogatoria c), p. 71664. Sus funciones pasan a la 'sección de convivencia escolar' del nuevo Observatorio (art. 4.1.c y art. 7), órgano colegiado adscrito a la Consejería de la Presidencia (art. 2.1). Art. 12 (p. 71663): 'La Consejería de la Presidencia atenderá, con cargo a sus medios personales y materiales, las necesidades derivadas del funcionamiento del observatorio'. Disposición adicional primera (p. 71663): la condición de vocal y la asistencia a las sesiones 'no generarán en ningún caso derecho a la percepción de ninguna cuantía económica'. No se atribuye presupuesto de la Consejería. Vigencia posterior del Decreto 52/2014 no auditada.</t>
  </si>
  <si>
    <t xml:space="preserve">Decreto 8/2006 derogado por el Decreto 52/2014 (disp. derogatoria c); desde 2014 es la sección de convivencia escolar del Observatorio de la Comunidad de Castilla y León (art. 4.1.c, art. 7), órgano colegiado adscrito a la Consejería de la Presidencia; no contar como órgano original intacto. Actividad 2026 no auditada.</t>
  </si>
  <si>
    <t xml:space="preserve">8, 88</t>
  </si>
  <si>
    <t xml:space="preserve">https://www.educa.jcyl.es/convivenciaescolar/es/observatorio-convivencia-escolar/antecedentes-observatorio-convivencia-escolar-castilla-leon
https://sirdoc.ccyl.es/Biblioteca/Dosieres/DL203AtencionViolenciaGenero/pdfs/CyL-Decreto-52-2014-Observatorio.pdf
https://laadministracionaldia.inap.es/noticia.asp?id=1132927</t>
  </si>
  <si>
    <t xml:space="preserve">Sin plantilla propia: medios personales de la Consejería de la Presidencia (verificado en norma, Decreto 52/2014, art. 12)</t>
  </si>
  <si>
    <t xml:space="preserve">Sin crédito de personal propio: órgano sin dotación diferenciada (verificado en norma)</t>
  </si>
  <si>
    <t xml:space="preserve">Sin ejecución propia: órgano sin dotación diferenciada (verificado en norma)</t>
  </si>
  <si>
    <t xml:space="preserve">Sin presupuesto ni plantilla propios (verificado en norma: Decreto 52/2014, art. 12 y DA 1ª); funcionamiento con medios de la Consejería de la Presidencia, sin importe identificable; vocales sin retribución ni asistencias</t>
  </si>
  <si>
    <t xml:space="preserve">Sin plantilla propia: la Consejería de la Presidencia atiende el funcionamiento 'con cargo a sus medios personales y materiales' (Decreto 52/2014, art. 12); el secretario de la sección de convivencia escolar es el del Comité permanente (art. 7.3); vicepresidencia de la consejería de educación (art. 7.2). Vocales sin derecho a 'ninguna cuantía económica' (DA 1ª). Los vocales no son plantilla.</t>
  </si>
  <si>
    <t xml:space="preserve">Revisado: convivenciaCyL, sección consultiva</t>
  </si>
  <si>
    <t xml:space="preserve">Decreto2014 art3: estudios, asesoramiento, propuestas e informe anual. Art7 lo aplica secciónconvivencia. Norma2006 derogada; no informe legislativo general identificado.</t>
  </si>
  <si>
    <t xml:space="preserve">Decreto52/2014 arts3,7 y disposiciónderogatoria</t>
  </si>
  <si>
    <t xml:space="preserve">https://sirdoc.ccyl.es/Biblioteca/Dosieres/DL203AtencionViolenciaGenero/pdfs/CyL-Decreto-52-2014-Observatorio.pdf</t>
  </si>
  <si>
    <t xml:space="preserve">Paralelo a Observatorio Estatal: cada nivel actúa con sus propios fondos o competencias. 15 organismos sobre este tema entre el Estado y las CCAA (verificados).</t>
  </si>
  <si>
    <t xml:space="preserve">Apoyo: Consejería de la Presidencia de Castilla y León, «con cargo a sus medios personales y materiales» (art. 12 Decreto 52/2014); la secretaría de la sección de convivencia escolar es la del Comité permanente (art. 7.3), cuyo secretario es el titular del órgano directivo central con funciones de secretariado de la Junta (art. 4.3). miembros: no retribuidos (DA 1.ª Decreto 52/2014: no generan derecho a «ninguna cuantía económica» en concepto de «remuneración, dietas o indemnizaciones»).</t>
  </si>
  <si>
    <t xml:space="preserve">Agencia Tributaria de Cataluña</t>
  </si>
  <si>
    <t xml:space="preserve">Nueva entidad; funciones existentes</t>
  </si>
  <si>
    <t xml:space="preserve">2007-07-17</t>
  </si>
  <si>
    <t xml:space="preserve">Ley 7/2007</t>
  </si>
  <si>
    <t xml:space="preserve">Aplicación de tributos propios y cedidos en su ámbito.</t>
  </si>
  <si>
    <t xml:space="preserve">Poder tributario ejecutivo real; no equivale a competencia sobre todos los impuestos estatales.</t>
  </si>
  <si>
    <t xml:space="preserve">Presupuesto propio aprobado 2026: 121.755.597,48 EUR (Llei 10/2026, de 9 de juliol, de pressupostos de la Generalitat per al 2026, DOGC 9706 de 13/07/2026, art. 2.6, p. 9; estat de despeses entitat 7910, programa 125, pp. 430-432). Cap. 1 58.784.906,90; cap. 2 58.446.440,58; cap. 4 102.250; cap. 6 4.396.500; cap. 8 25.500 EUR. Ley tardía: hasta su entrada en vigor rigió la prórroga presupuestaria. No es gasto ejecutado.</t>
  </si>
  <si>
    <t xml:space="preserve">Presupuestada 2026; ley original recodificada, no interpretar derogación parcial como desaparición</t>
  </si>
  <si>
    <t xml:space="preserve">https://www.boe.es/diario_boe/txt.php?id=BOE-A-2007-15212
https://www.boe.es/ccaa/dogc/2026/9706/f00001-00102.pdf
https://aplicacions.economia.gencat.cat/wpres/2026/pdf/ED_7910.pdf
https://aplicacions.economia.gencat.cat/wpres/2026/pdf/AP_7910.pdf
https://aplicacions.economia.gencat.cat/wpres/2026/pdf/VOL_L_RES.pdf</t>
  </si>
  <si>
    <t xml:space="preserve">Capítulo 1: crédito inicial 2026, entitat 7910 ATC, programa 125 (Llei 10/2026); incluye art. 16 cotizaciones sociales 12,065 M</t>
  </si>
  <si>
    <t xml:space="preserve">https://aplicacions.economia.gencat.cat/wpres/2026/pdf/ED_7910.pdf</t>
  </si>
  <si>
    <t xml:space="preserve">Presupuesto propio, crédito cap.1 y dotaciones presupuestadas 2026 verificados; plantilla ocupada y ejecución cap.1 pendientes</t>
  </si>
  <si>
    <t xml:space="preserve">dotacions pressupostades 2026, Annex de personal entitat 7910 (1 alt càrrec + 1.072 funcionaris + 30 laborals); budgeted, NO ocupación real</t>
  </si>
  <si>
    <t xml:space="preserve">https://aplicacions.economia.gencat.cat/wpres/2026/pdf/AP_7910.pdf</t>
  </si>
  <si>
    <t xml:space="preserve">Cap.1 2026 58,785 M = art.10 alts càrrecs 0,104 + art.12 funcionaris 43,842 + art.13 laborals 1,252 + art.15 incentius 1,522 + art.16 cotitzacions 12,065. 1.103 dotacions pressupostades (655 al Barcelonès), NO ocupación. Sin cifra de efectivos reales verificada.</t>
  </si>
  <si>
    <t xml:space="preserve">Revisado: ATCataluña informe PRECEPTIVO actual</t>
  </si>
  <si>
    <t xml:space="preserve">JuntaGobierno informa anteproyectos ley/decretolegislativo que afecten directa/indirectamente competencias y otros proyectosnormativos.</t>
  </si>
  <si>
    <t xml:space="preserve">Trámite específico, no informe favorable requerido. Art212-3.2k aprobación previa solo proyectosestructura propia.</t>
  </si>
  <si>
    <t xml:space="preserve">CódigoTributario Ley17/2017 art212-3.2c,d</t>
  </si>
  <si>
    <t xml:space="preserve">https://boe.es/buscar/act.php?id=DOGC-f-2017-90436</t>
  </si>
  <si>
    <t xml:space="preserve">Llei 10/2026 aprobada en julio de 2026 (antes, prórroga). Ejecución 2026 por entidad de derecho público y liquidación/cuentas 2025 de la ATC no localizadas en esta revisión. Capítulo 1 no equivale solo a sueldos.</t>
  </si>
  <si>
    <t xml:space="preserve">Dotaciones presupuestadas 2026 (Annex de personal, pressupostos Generalitat 2026, entitat 7910); plazas, no personas ocupadas</t>
  </si>
  <si>
    <t xml:space="preserve">Proxy por grupo profesional, no por función: A+B (titulados superiores y medios) → núcleo; C+D+E → administración y apoyo; 'Altres' (1 alto cargo) → otro. Limitación: en la ATC parte del grupo C (cos d'agents tributaris) hace trabajo tributario propio y parte de A/B hace gestión interna; los dos sesgos van en sentido contrario y el efecto neto no es cuantificable.</t>
  </si>
  <si>
    <t xml:space="preserve">AP_7910.pdf, p. 128, tabla de dotaciones 'Agència Tributària de Catalunya (7910)': Alts càrrecs Altres 1 = 1; 'Funcionari 189 396 230 244 13 - 1.072'; Laboral 11 11 5 2 1 = 30; Total A 200, B 407, C 235, D 246, E 14, Altres 1 = 1.103. Núcleo A+B = 200+407 = 607; administración C+D+E = 235+246+14 = 495; otro = 1 (alto cargo); 607+495+1 = 1.103 (cuadra). La tabla no tiene fila de personal eventual ni desglose por cuerpos.</t>
  </si>
  <si>
    <t xml:space="preserve">Oficina Antifraude de Cataluña</t>
  </si>
  <si>
    <t xml:space="preserve">Nueva entidad parlamentaria</t>
  </si>
  <si>
    <t xml:space="preserve">2008-11-05</t>
  </si>
  <si>
    <t xml:space="preserve">Ley 14/2008</t>
  </si>
  <si>
    <t xml:space="preserve">Prevenir e investigar irregularidades y corrupción en uso de recursos públicos.</t>
  </si>
  <si>
    <t xml:space="preserve">Investigación administrativa y recomendaciones; no sustituye Fiscalía ni jueces.</t>
  </si>
  <si>
    <t xml:space="preserve">Presupuesto propio aprobado 2026: 10.718.431,04 EUR, sección OA 'Oficina Antifrau de Catalunya' (Llei 10/2026, de 9 de juliol, DOGC 9706, art. 2.3 'Parlament i organismes estatutaris i consultius', p. 7). Cap. 1 9.271.181,04; cap. 2 984.250,00; cap. 4 27.000,00; operaciones corrientes 10.282.431,04 EUR (Resum, p. 35). Ley tardía: hasta julio de 2026 rigió la prórroga. No es gasto ejecutado.</t>
  </si>
  <si>
    <t xml:space="preserve">2026 crédito inicial Llei 10/2026 (9/07/2026); revisión 11/10/2026</t>
  </si>
  <si>
    <t xml:space="preserve">Publicación presupuestaria 2026 vigente</t>
  </si>
  <si>
    <t xml:space="preserve">https://www.boe.es/buscar/act.php?id=BOE-A-2008-19527
https://seuelectronica.antifrau.cat/es/presupuesto/summary/217-presupuesto-de-la-oficina-antifraude-de-cataluna/11612-presupuesto-oficina-antifraude-de-cataluna-2026.html
https://www.boe.es/ccaa/dogc/2026/9706/f00001-00102.pdf
https://aplicacions.economia.gencat.cat/wpres/2026/pdf/VOL_L_RES.pdf</t>
  </si>
  <si>
    <t xml:space="preserve">Capítulo 1: crédito inicial 2026, sección OA Oficina Antifrau (Llei 10/2026, Resum de despeses per articles i seccions); incluye art. 16 cotizaciones 1,513 M y art. 17 prestaciones 0,004 M</t>
  </si>
  <si>
    <t xml:space="preserve">https://aplicacions.economia.gencat.cat/wpres/2026/pdf/VOL_L_RES.pdf</t>
  </si>
  <si>
    <t xml:space="preserve">Presupuesto propio y crédito cap.1 2026 verificados; plantilla ocupada, RPT y ejecución pendientes</t>
  </si>
  <si>
    <t xml:space="preserve">Cap.1 2026 9,271 M = art.10 alts càrrecs 0,608 + art.11 eventual 0,112 + art.12 funcionaris 5,264 + art.13 laborals 1,769 + art.16 cotitzacions 1,513 + art.17 prestacions 0,004. Cap.1 = 86,5% del presupuesto. Sin cifra de plantilla ocupada ni dotaciones verificada en esta revisión.</t>
  </si>
  <si>
    <t xml:space="preserve">Revisado: AntifraudeCataluña: recomendaciones</t>
  </si>
  <si>
    <t xml:space="preserve">Asesora y propone al Parlamento/Gobierno contra fraude; no literal informe preceptivo general en art3c.</t>
  </si>
  <si>
    <t xml:space="preserve">Ley14/2008 art3c</t>
  </si>
  <si>
    <t xml:space="preserve">https://www.boe.es/buscar/act.php?id=BOE-A-2008-19527</t>
  </si>
  <si>
    <t xml:space="preserve">Llei 10/2026 aprobada en julio de 2026. Ejecución 2026 y liquidación 2025 de la Oficina (presupuesto propio aprobado por el Parlament/rendición propia) no localizadas en esta revisión.</t>
  </si>
  <si>
    <t xml:space="preserve">Paralelo a AIPI: cada nivel actúa con sus propios fondos o competencias. 10 organismos sobre este tema entre el Estado y las CCAA (verificados).</t>
  </si>
  <si>
    <t xml:space="preserve">Oficina antifraude autonómica: investiga irregularidades que también ven el órgano de control externo y la Fiscalía.</t>
  </si>
  <si>
    <t xml:space="preserve">Cámara o Sindicatura de Cuentas de la comunidad autónoma; para denuncias, Autoridad Independiente de Protección del Informante (AIPI) por convenio</t>
  </si>
  <si>
    <t xml:space="preserve">Órgano colegiado consultivo nuevo</t>
  </si>
  <si>
    <t xml:space="preserve">2007-02-20</t>
  </si>
  <si>
    <t xml:space="preserve">Decreto 28/2007</t>
  </si>
  <si>
    <t xml:space="preserve">Evaluar convivencia escolar y proponer prevención de violencia.</t>
  </si>
  <si>
    <t xml:space="preserve">Consultivo explícito: diagnóstico y propuestas, no sanción. No hay prueba suficiente de actividad reciente o vaciamiento.</t>
  </si>
  <si>
    <t xml:space="preserve">No se ha verificado una dotación propia actual. No equivale a cero EUR ni se le atribuye el presupuesto de la consejería.</t>
  </si>
  <si>
    <t xml:space="preserve">Vigente y con actividad formal en 2026: Orden de 27 de mayo de 2026 de la Consejería de Educación y FP (DOE núm. 104, 2/06/2026, pp. 23357-23358) cesa y nombra vocales del Observatorio para la Convivencia Escolar en Extremadura, citando el art. 7 del Decreto 28/2007 (DOE núm. 24, 27/02/2007) como norma de creación, sin modificarlo; mandato de cuatro años. Naturaleza: 'órgano colegiado, de carácter consultivo' que se relaciona administrativamente con la Consejería a través de la Dirección General de Política Educativa (Decreto 190/2007, estructura orgánica de la Consejería de Educación, arts. 1.6 y 3.3, DOE núm. 84, 21/07/2007; estructura de 2007). Dotación propia y régimen de indemnizaciones no verificados.</t>
  </si>
  <si>
    <t xml:space="preserve">8, 85</t>
  </si>
  <si>
    <t xml:space="preserve">https://recursos.educarex.es/pdf/normativa-sg/Decreto_28-2007.pdf
https://doe.juntaex.es/pdfs/doe/2024/2400o/24050192.pdf
https://doe.juntaex.es/pdfs/doe/2026/1040o/26050065.pdf
https://doe.juntaex.es/pdfs/doe/2007/840o/07040203.pdf</t>
  </si>
  <si>
    <t xml:space="preserve">Vocales nombrados y cesados por orden de la Consejería (Orden 27/05/2026, DOE 104); los vocales no son plantilla. La Orden no regula indemnizaciones ni medios. Cláusulas del Decreto 28/2007 sobre secretaría, medios de la Consejería, gasto e indemnizaciones no verificadas (texto del decreto no accesible en esta revisión).</t>
  </si>
  <si>
    <t xml:space="preserve">Diagnóstico, estudios y propuestas sobre convivencia escolar autonómica</t>
  </si>
  <si>
    <t xml:space="preserve">Decreto 28/2007, arts 1-3</t>
  </si>
  <si>
    <t xml:space="preserve">https://recursos.educarex.es/pdf/normativa-sg/Decreto_28-2007.pdf</t>
  </si>
  <si>
    <t xml:space="preserve">Apoyo: Según el Decreto 190/2007, art. 3.3, se relaciona con la Consejería de Educación a través de la DG de Política Educativa; no se ha verificado la unidad actual de secretaría.</t>
  </si>
  <si>
    <t xml:space="preserve">Agencia Gallega de Innovación (GAIN)</t>
  </si>
  <si>
    <t xml:space="preserve">Nueva agencia; integración de funciones preexistentes</t>
  </si>
  <si>
    <t xml:space="preserve">2012-01-12</t>
  </si>
  <si>
    <t xml:space="preserve">Decreto 50/2012</t>
  </si>
  <si>
    <t xml:space="preserve">Promover y coordinar innovación, ayudas y proyectos.</t>
  </si>
  <si>
    <t xml:space="preserve">Poder de gestión y financiación; no simple observatorio.</t>
  </si>
  <si>
    <t xml:space="preserve">Presupuesto propio aprobado 2026: 107.722.503 EUR (Lei 4/2025, do 23 de decembro, de orzamentos xerais da CA de Galicia para 2026, DOG núm. 252 de 31/12/2025, art. 2.Tres, p. 66840). Cap. I 6.822.119; II 237.016; III 106.219; IV 6.120.832; VI 4.334.353; VII 84.725.056; VIII 1.870.000; IX 3.506.908 EUR. Incluye 84.725.056 EUR de transferencias de capital: no tratar el total como coste burocrático. No es ejecución.</t>
  </si>
  <si>
    <t xml:space="preserve">4, 33, 112, 117</t>
  </si>
  <si>
    <t xml:space="preserve">https://www.xunta.gal/dog/Publicados/2012/20120127/AnuncioCA04-230112-11332_es.html
https://www.xunta.gal/dog/Publicados/2025/20251231/AnuncioC3B0-231225-0001_es.html
https://www.parlamentodegalicia.gal/sitios/web/BibliotecaLeisdeGalicia/Lei4_2025.pdf
https://www.es.parlamentodegalicia.es/sitios/web/DocsOrzamentos/LEI_I_2026.PDF</t>
  </si>
  <si>
    <t xml:space="preserve">Capítulo I gastos de persoal: crédito inicial 2026, Axencia Galega de Innovación (Lei 4/2025, art. 2.Tres, distribución orgánica e económica)</t>
  </si>
  <si>
    <t xml:space="preserve">https://www.parlamentodegalicia.gal/sitios/web/BibliotecaLeisdeGalicia/Lei4_2025.pdf</t>
  </si>
  <si>
    <t xml:space="preserve">Cap.I 2026 6,822 M = 6,3% del presupuesto de 107,723 M (dominado por transferencias de capital 84,725 M). Sin cifra de plantilla ocupada ni prazas orzamentadas verificada en esta revisión.</t>
  </si>
  <si>
    <t xml:space="preserve">Revisado: GAIN: gestión innovación</t>
  </si>
  <si>
    <t xml:space="preserve">Asesoramiento/planes innovación y normas internas; no consentimiento legislativo general en funciones estatutarias.</t>
  </si>
  <si>
    <t xml:space="preserve">Decreto50/2012 funciones estatutarias</t>
  </si>
  <si>
    <t xml:space="preserve">https://www.xunta.gal/dog/Publicados/2012/20120127/AnuncioCA04-230112-11332_es.html</t>
  </si>
  <si>
    <t xml:space="preserve">Paralelo a AEI y CDTI: cada nivel actúa con sus propios fondos o competencias. 10 organismos sobre este tema entre el Estado y las CCAA (verificados).</t>
  </si>
  <si>
    <t xml:space="preserve">Agencia autonómica que financia I+D+i; la AEI y el CDTI ya financian en todo el territorio.</t>
  </si>
  <si>
    <t xml:space="preserve">Agencia Estatal de Investigación (AEI) y Centro para el Desarrollo Tecnológico y la Innovación (CDTI, E.P.E.); la consejería autonómica para fondos propios</t>
  </si>
  <si>
    <t xml:space="preserve">Comunidad de Madrid</t>
  </si>
  <si>
    <t xml:space="preserve">Consejo de la Juventud de la Comunidad de Madrid</t>
  </si>
  <si>
    <t xml:space="preserve">Restauración: primer consejo 1986, extinguido 2010; recreado 2017</t>
  </si>
  <si>
    <t xml:space="preserve">2017-06-27</t>
  </si>
  <si>
    <t xml:space="preserve">Ley 8/2017</t>
  </si>
  <si>
    <t xml:space="preserve">Participación y representación juvenil; asesoramiento.</t>
  </si>
  <si>
    <t xml:space="preserve">Participativo/consultivo, no sancionador. No creación originaria desde cero.</t>
  </si>
  <si>
    <t xml:space="preserve">Sin presupuesto propio actual: el Consejo de la Juventud (entidad de derecho público creada por Ley 8/2017) quedó suprimido por la Ley 8/2024, de 26 de diciembre, de medidas para la mejora de la gestión pública en el ámbito local y autonómico de la Comunidad de Madrid, DA única.1 (BOE-A-2025-5523, pág. 37203), que integra sus bienes, derechos y obligaciones en la Comunidad de Madrid para los fines de la consejería de Juventud. La Ley 8/2017 queda derogada expresamente (DD única 2.a, pág. 37203); en vigor el 28/12/2024 (DF tercera, pág. 37204; BOCM 308 de 27/12/2024). No se cuantifica el sustituto.</t>
  </si>
  <si>
    <t xml:space="preserve">Suprimido por Ley 8/2024 DA única, efectiva 28/12/2024. El órgano sustituto previsto en la DA única.2 (colegiado, sin personalidad jurídica) se creó por Acuerdo del Consejo de Gobierno de 10/06/2026 (Mesa de Políticas de Juventud de la Comunidad de Madrid, BOCM 29/06/2026).</t>
  </si>
  <si>
    <t xml:space="preserve">Funcionamiento efectivo de la Mesa de Políticas de Juventud no auditado; acuerdo consultado en reproducción INAP del BOCM de 29/06/2026 (PDF del BOCM no recuperado). La DA única de la Ley 8/2024 no regula el destino del personal del Consejo suprimido.</t>
  </si>
  <si>
    <t xml:space="preserve">https://www.boe.es/diario_boe/txt.php?id=BOE-A-2017-13987
https://www.boe.es/buscar/doc.php?id=BOE-A-2025-5523
https://boe.es/boe/dias/2025/03/20/pdfs/BOE-A-2025-5523.pdf
https://laadministracionaldia.inap.es/noticia.asp?id=1267231</t>
  </si>
  <si>
    <t xml:space="preserve">No aplica: entidad extinguida el 28/12/2024 (Ley 8/2024, DA única)</t>
  </si>
  <si>
    <t xml:space="preserve">No aplica: entidad extinguida; no se cuantifica el sustituto</t>
  </si>
  <si>
    <t xml:space="preserve">Extinción verificada en fuente primaria (Ley 8/2024, BOE-A-2025-5523): sin presupuesto, personal ni salarios propios actuales; sustituto sin dotación diferenciada, no cuantificado</t>
  </si>
  <si>
    <t xml:space="preserve">Entidad extinguida: sin plantilla propia actual. Sustituto (Mesa de Políticas de Juventud, órgano colegiado sin personalidad): 'La constitución y funcionamiento de la Mesa no supondrán incremento alguno del gasto público' (acuerdo decimosexto, apdo. 2). Sus miembros no son plantilla.</t>
  </si>
  <si>
    <t xml:space="preserve">Revisado con discordancia interna: juventudMadrid</t>
  </si>
  <si>
    <t xml:space="preserve">Preámbulo menciona informes proyectosnormativos/planes/estrategias juventud, pero art3 funciones publicado no reproduce ese trámite específico. Art3.1 estudios e informes a solicitud/iniciativa.</t>
  </si>
  <si>
    <t xml:space="preserve">No afirmar informe PRECEPTIVO basándose solo en preámbulo. Discordancia conservada; no veto legislativo acreditado.</t>
  </si>
  <si>
    <t xml:space="preserve">Ley8/2017 preámbulo yart3</t>
  </si>
  <si>
    <t xml:space="preserve">https://www.boe.es/buscar/doc.php?id=BOE-A-2017-13987</t>
  </si>
  <si>
    <t xml:space="preserve">12 organismos sobre este tema entre el Estado y las CCAA (verificados)</t>
  </si>
  <si>
    <t xml:space="preserve">Suprimido por Ley 8/2024 de Madrid.</t>
  </si>
  <si>
    <t xml:space="preserve">Región de Murcia</t>
  </si>
  <si>
    <t xml:space="preserve">Instituto de Turismo de la Región de Murcia (ITREM)</t>
  </si>
  <si>
    <t xml:space="preserve">Nueva entidad pública empresarial/reordenación</t>
  </si>
  <si>
    <t xml:space="preserve">2012-12-27</t>
  </si>
  <si>
    <t xml:space="preserve">Ley 14/2012, art.56</t>
  </si>
  <si>
    <t xml:space="preserve">Promoción turística, ayudas y ejecución de política turística.</t>
  </si>
  <si>
    <t xml:space="preserve">Poder operativo de programas y financiación, no mero foro. Contrato-programa 2026 acredita actividad.</t>
  </si>
  <si>
    <t xml:space="preserve">2026, prórroga del presupuesto 2025 (Ley 3/2025)</t>
  </si>
  <si>
    <t xml:space="preserve">Crédito/dotación inicial de prórroga 2026: 24.438.620 EUR (24,43862 M). Es la dotación aprobada para 2025 por la Ley 3/2025, de 23 de julio, de Presupuestos de la CARM, art. 4 ('se aprueban las siguientes dotaciones, financiadas con unos recursos totales de igual cuantía'), fila 'Instituto de Turismo de la Región de Murcia 24.438.620' (BORM supl. 3 al núm. 169 de 24/07/2025, p. 13), prorrogada para 2026 por la Orden de 26/12/2025 (BORM 29/12/2025), art. 1.4 (se prorrogan también las dotaciones iniciales de las entidades del sector público regional). NO es presupuesto 2026 aprobado por ley; incluye promoción y ayudas turísticas, no solo administración; no es ejecución.</t>
  </si>
  <si>
    <t xml:space="preserve">2026, presupuesto 2025 prorrogado (dotación inicial); revisión 11/10/2026</t>
  </si>
  <si>
    <t xml:space="preserve">Operativo; contrato-programa 2026 suscrito 15/07/2026 (BORM 168 de 23/07/2026, pp. 17954-17992), que cita la Ley 3/2025 'prorrogada para 2026'. Murcia seguía con presupuesto prorrogado a junio de 2026 (Orden de 23/06/2026, BORM 145).</t>
  </si>
  <si>
    <t xml:space="preserve">Portal dice inicio actividad 15/12/2012, anterior a ley 27/12/2012. Se usa fecha legal y se conserva discrepancia sin inventar explicación.</t>
  </si>
  <si>
    <t xml:space="preserve">https://transparencia.carm.es/-/instituto-de-turismo-de-la-region-de-murcia?p_p_state=maximized
https://www.borm.es/services/anuncio/ano/2026/numero/3655/pdf
https://www.borm.es/services/anuncio/ano/2025/numero/3684/pdf?id=837745
https://laadministracionaldia.inap.es/noticia.asp?id=1261783
https://www.borm.es/services/anuncio/844337/pdf
https://www.borm.es/services/anuncio/843747/pdf
https://ig.carm.es/documents/21738/2049785/ITREM-Cuentas.2024/6b849898-538c-4084-8966-16425dfce0bc</t>
  </si>
  <si>
    <t xml:space="preserve">Sin crédito de personal 2026 individual verificado (presupuesto administrativo por capítulos de la EPE no localizado)</t>
  </si>
  <si>
    <t xml:space="preserve">Presupuesto propio (dotación 2025 prorrogada a 2026) verificado; personal ocupado y gasto de personal 2026 no verificados; gasto de personal 2024 de cuentas en notas</t>
  </si>
  <si>
    <t xml:space="preserve">Revisado: ITREM ordenación y planificación</t>
  </si>
  <si>
    <t xml:space="preserve">Leyart57 y funcionesoficiales: gestión/planificación/turismo e inspección/sanción; no informe legislativo general identificado.</t>
  </si>
  <si>
    <t xml:space="preserve">Ley14/2012 art57 y portalfunciones</t>
  </si>
  <si>
    <t xml:space="preserve">https://boe.es/buscar/act.php?id=BOE-A-2013-1927
https://itrem.carm.es/itrem/funciones/</t>
  </si>
  <si>
    <t xml:space="preserve">Último gasto de personal anual localizado: cuentas anuales 2024 del ITREM (Intervención General CARM), cuenta de pérdidas y ganancias p. 4, '6. Gastos de personal' = 3.134.887,63 EUR (sueldos, salarios y asimilados 2.485.672,13; cargas sociales 649.215,50); 2023: 2.868.541,99 EUR. Es gasto devengado PyG, no capítulo 1 presupuestario. Cuentas 2025 no localizadas. La Ley 3/2025 (art. 22.6) declara limitativas las dotaciones de gastos de personal de los presupuestos administrativos de estas entidades, pero su importe para el ITREM no se ha extraído.</t>
  </si>
  <si>
    <t xml:space="preserve">Promoción turística: no exige una entidad propia; la puede hacer la consejería.</t>
  </si>
  <si>
    <t xml:space="preserve">Consejería de Turismo de la comunidad autónoma</t>
  </si>
  <si>
    <t xml:space="preserve">Turismo</t>
  </si>
  <si>
    <t xml:space="preserve">Altos cargos: régimen legal del ITREM (Ley de creación, BORM núm. 301 de 31/12/2012, art. 62.1); no hay desglose de plantilla.</t>
  </si>
  <si>
    <t xml:space="preserve">https://www.turismoregiondemurcia.es/webs/murciaturistica/documentos/4/DOCUMENTOS_4_3.pdf</t>
  </si>
  <si>
    <t xml:space="preserve">Ley de creación del ITREM (entidad pública empresarial, BORM núm. 301, 31/12/2012, pp. 54087-54106, reproducida en la web del ITREM): art. 62.1, el Director General tiene la consideración de 'Alto Cargo de la Administración Regional', nombrado por el Consejo de Gobierno; la Presidencia la ejerce el consejero de turismo (alto cargo de la Consejería, no se cuenta); art. 63: personal laboral propio y funcionarios de la CARM adscritos. Sin mención de personal eventual. Cifra legal, no verificada en anexo de personal 2026.</t>
  </si>
  <si>
    <t xml:space="preserve">Oficina de Buenas Prácticas y Anticorrupción</t>
  </si>
  <si>
    <t xml:space="preserve">2018-05-17</t>
  </si>
  <si>
    <t xml:space="preserve">Ley Foral 7/2018</t>
  </si>
  <si>
    <t xml:space="preserve">Prevención, investigación administrativa de irregularidades y protección de denunciantes.</t>
  </si>
  <si>
    <t xml:space="preserve">Investigación real en mandato; remite indicios penales a justicia, no sentencia delitos.</t>
  </si>
  <si>
    <t xml:space="preserve">2026, crédito aprobado (Ley Foral 16/2025)</t>
  </si>
  <si>
    <t xml:space="preserve">Crédito inicial aprobado 2026: 996.964 EUR (0,996964 M) para la Oficina de Buenas Prácticas y Anticorrupción. Ley Foral 16/2025, de 22 de diciembre, de Presupuestos Generales de Navarra para 2026 (BON núm. 260 de 31/12/2025, pp. 46100-46145; BOE-A-2026-5611): art. 1.1.g integra 'El presupuesto de la Oficina de Buenas Prácticas y Anticorrupción'; Anexo 1, fila de la Oficina, total 996.964 (909.464 + 87.500). La cifra aprobada coincide con la del proyecto (antes en columnas contextuales, que se vacían). En el Anexo 1 los importes figuran en las columnas de transferencias (4: 909.464; 7: 87.500, según la reproducción tabular del anexo), es decir, como financiación de la Oficina desde los Presupuestos Generales; no es ejecución ni desglose del capítulo 1 propio de la Oficina.</t>
  </si>
  <si>
    <t xml:space="preserve">2026 crédito inicial aprobado; datos de personal y ejecución a 31/12/2024 (Cámara de Comptos); revisión 11/10/2026</t>
  </si>
  <si>
    <t xml:space="preserve">Reconocida con presupuesto propio aprobado en LF 16/2025. LF 3/2026, de 23 de marzo (BOE-A-2026-9045), le aplica la ley de transparencia en personal y contratación y le atribuye la gestión del Registro de grupos de interés.</t>
  </si>
  <si>
    <t xml:space="preserve">https://boe.es/buscar/act.php?id=BOE-A-2018-7644
https://www.boe.es/diario_boe/txt.php?id=BOE-A-2026-5611
https://www.boe.es/ccaa/bon/2025/260/n46100-46145.pdf
https://www.iberley.es/legislacion/anexo-1-presupuestos-generales-ano-2026-navarra
https://parlamentodenavarra.es/sites/default/files/contenido-estatico-archivos/4.%20Presupuesto%20por%20partidas%202026.pdf
https://parlamentodenavarra.es/sites/default/files/boletines/B2025117.pdf
https://boe.es/boe/dias/2026/04/25/pdfs/BOE-A-2026-9045.pdf</t>
  </si>
  <si>
    <t xml:space="preserve">Directora + 3 plazas ocupadas de las 11 de la plantilla orgánica a 31/12/2024 ('estaban ocupadas, además de la directora, únicamente tres', Cámara de Comptos, p. 14)</t>
  </si>
  <si>
    <t xml:space="preserve">https://parlamentodenavarra.es/sites/default/files/boletines/B2025117.pdf</t>
  </si>
  <si>
    <t xml:space="preserve">Sin crédito de capítulo 1 2026 propio verificado: el Anexo 1 de la LF 16/2025 solo da la transferencia total a la Oficina</t>
  </si>
  <si>
    <t xml:space="preserve">Crédito propio 2026 aprobado verificado; personas ocupadas y plantilla orgánica verificadas a 2024; capítulo 1 y ejecución 2026 no verificados; capítulo 1 ejecutado 2024 en notas</t>
  </si>
  <si>
    <t xml:space="preserve">2024-05-06</t>
  </si>
  <si>
    <t xml:space="preserve">Plazas de la plantilla orgánica aprobada por Resolución 18/2024, de 6 de mayo, de la directora (BON 101, 16/05/2024), citada por la Cámara de Comptos; NO ocupación real</t>
  </si>
  <si>
    <t xml:space="preserve">Plantilla orgánica de 11 plazas: directora (eventual), 3 directores/as de servicio, 1 jefe/a de sección, 1 formador/a asesor/a, 2 inspectores/as jurídicos, 1 inspector/a económico, 1 titulado/a superior de comunicación y 1 administrativo/a (C). A 31/12/2024 solo directora + 3 ocupadas (administrativo desde marzo, director/a del servicio de prevención desde agosto y formador/a desde octubre de 2024); procesos de inspectores sin cubrir en 2024 (Cámara de Comptos, informe 'Cuentas anuales de la Oficina de Buenas Prácticas y Anticorrupción (2024)', BOPN núm. 117 de 13/10/2025, p. 14).</t>
  </si>
  <si>
    <t xml:space="preserve">Revisado: AnticorrupciónNavarra: propuestas normativas</t>
  </si>
  <si>
    <t xml:space="preserve">Puede proponer modificacionesnormativas e informes de mejora. No trámite previo general en art6e.</t>
  </si>
  <si>
    <t xml:space="preserve">LeyForal7/2018 art6e</t>
  </si>
  <si>
    <t xml:space="preserve">https://boe.es/buscar/act.php?id=BOE-A-2018-7644</t>
  </si>
  <si>
    <t xml:space="preserve">Último ejercicio fiscalizado: 2024. Presupuesto inicial 2024: 875.022 EUR (p. 8 y 13). Capítulo 1 2024: obligaciones reconocidas y pagos 162.691 EUR (0,162691 M), ejecución del 24% (p. 14 y estado de liquidación, apéndice 1.1, p. 8); gasto total ejecutado 213.641 EUR; reintegro a la Hacienda Foral 59.805 EUR. No hay liquidación 2025 publicada localizada; no comparar 2024 con el crédito 2026.</t>
  </si>
  <si>
    <t xml:space="preserve">Plazas de la plantilla orgánica aprobada por Resolución 18/2024, de 6 de mayo, de la directora (BON 101, 16/05/2024), según la Cámara de Comptos (cuentas 2024). Son plazas, no ocupación: a 31/12/2024 solo estaban ocupadas la directora y 3 más.</t>
  </si>
  <si>
    <t xml:space="preserve">Proxy por nivel (A/C), no por función: plazas de funcionario nivel A (9) -&gt; núcleo; nivel C (1, administrativo/a) -&gt; administración y apoyo; directora (régimen eventual, sin nivel) -&gt; otro. Por función estricta, el núcleo inspector/formativo son 4 plazas (2 inspectores/as jurídicos, 1 inspector/a económico, 1 formador/a asesor/a); las otras 5 de nivel A son 3 directores/as de servicio, 1 jefe/a de sección y 1 titulado/a superior de comunicación (dirección, gestión y comunicación).</t>
  </si>
  <si>
    <t xml:space="preserve">Cámara de Comptos, 'Cuentas anuales de la Oficina de Buenas Prácticas y Anticorrupción (2024)', BOPN núm. 117 de 13/10/2025, p. 14, apdo. 4.3, tabla Puesto / Régimen jurídico / Nivel / Número: 'Directora Eventual 1'; 'Director/a de Servicio Funcionario A 3'; 'Jefe/a de sección Funcionario A 1'; 'Formador/a asesor/a Funcionario A 1'; 'Inspector/ Inspectora (jurídico) Funcionario A 2'; 'Inspector/ Inspectora (económico) Funcionario A 1'; 'Titulado/a superior comunicación Funcionario A 1'; 'Administrativo/a Funcionario C 1'; 'Total 11'. Suma A: 3+1+1+2+1+1 = 9; C: 1; eventual: 1; 9+1+1 = 11. Ocupación: 'estaban ocupadas, además de la directora, únicamente tres' (administrativa, directora del servicio de prevención, evaluación y formación, formadora asesora). Gasto: 'Retribuciones del personal eventual 76.044 78.346' (p. 14). Eventual = 1 (la directora, régimen 'Eventual').</t>
  </si>
  <si>
    <t xml:space="preserve">Autoridad Vasca de la Competencia (AVC)</t>
  </si>
  <si>
    <t xml:space="preserve">Nueva entidad que sustituye estructura previa de competencia</t>
  </si>
  <si>
    <t xml:space="preserve">2012-02-02</t>
  </si>
  <si>
    <t xml:space="preserve">Ley 1/2012</t>
  </si>
  <si>
    <t xml:space="preserve">Investigar/sancionar conductas anticompetitivas en ámbito autonómico y promover competencia.</t>
  </si>
  <si>
    <t xml:space="preserve">Potestad ejecutiva y sancionadora real; no simple órgano consultivo.</t>
  </si>
  <si>
    <t xml:space="preserve">30/09/2026</t>
  </si>
  <si>
    <t xml:space="preserve">Presupuesto actualizado a 30/09/2026: 2.227.000 EUR, igual al inicial (Ley 7/2025, art. 3: créditos de pago 2.227.000; créditos de compromiso 290.200; BOPV 251 de 30/12/2025, p. 2). Obligaciones reconocidas 1.167.415 EUR y pagos 1.167.415 EUR a 30/09/2026 (estado de situación 'AL 30-09-2026', Total sección 40). Sin modificación neta, lo que no descarta compensaciones internas. Crédito, no gasto ejecutado.</t>
  </si>
  <si>
    <t xml:space="preserve">Presupuesto y ejecución a 30/09/2026 (9 meses); cierre 2025 a 31/12/2025</t>
  </si>
  <si>
    <t xml:space="preserve">Presupuesto y ejecución mensual publicados hasta septiembre 2026</t>
  </si>
  <si>
    <t xml:space="preserve">24, 74</t>
  </si>
  <si>
    <t xml:space="preserve">https://www.boe.es/buscar/act.php?id=BOE-A-2012-2313
https://www.euskadi.eus/web01-a3ogaoce/es/contenidos/informacion/ejec_pres_avc_2026/es_def/adjuntos/211_2026_7_DETALLESPORPARTIDAS-GASTOSEINGRESOS_es.pdf
https://www.euskadi.eus/bopv2/datos/2025/12/2505538a.pdf
https://www.euskadi.eus/web01-a3ogaoce/es/contenidos/informacion/ejec_pres_avc_2026/es_def/adjuntos/211_2026_9_GASTOSPORCAPITULO_es.pdf
https://www.euskadi.eus/web01-a3ogaoce/es/contenidos/informacion/ejec_pres_avc_2026/es_def/adjuntos/211_2026_9_DETALLESPORPARTIDAS-GASTOSEINGRESOS_es.pdf
https://www.euskadi.eus/web01-a3ogaoce/es/contenidos/informacion/ejec_pres_avc_2025/es_def/adjuntos/211_2025_12_DETALLESPORPARTIDAS-GASTOS-E-INGRESOS_es.pdf
https://www.euskadi.eus/contenidos/informacion/presupuestos_cae/es_def/adjuntos/pdfs/2026A/Pertsonalaren_eranskina_Anexo_de_personal.pdf</t>
  </si>
  <si>
    <t xml:space="preserve">Capítulo 1: presupuesto actualizado 2026 (= inicial 1.566.240 EUR), corte 30/09/2026, AVC sección 40</t>
  </si>
  <si>
    <t xml:space="preserve">https://www.euskadi.eus/web01-a3ogaoce/es/contenidos/informacion/ejec_pres_avc_2026/es_def/adjuntos/211_2026_9_DETALLESPORPARTIDAS-GASTOSEINGRESOS_es.pdf</t>
  </si>
  <si>
    <t xml:space="preserve">Hasta 30/09/2026: 9 meses, NO año completo</t>
  </si>
  <si>
    <t xml:space="preserve">https://www.euskadi.eus/web01-a3ogaoce/es/contenidos/informacion/ejec_pres_avc_2026/es_def/adjuntos/211_2026_9_GASTOSPORCAPITULO_es.pdf</t>
  </si>
  <si>
    <t xml:space="preserve">Presupuesto, crédito y obligaciones de capítulo 1 2026 (30/09) y cierre 2025 verificados; plantilla presupuestaria 2026 verificada; personas ocupadas no verificadas</t>
  </si>
  <si>
    <t xml:space="preserve">Plantilla presupuestaria 2026 del sector público de la CAE (Anexo de personal, p. 5, código 211, total plazas; desglose por categoría no asignable con certeza en la extracción) (budgeted, NO ocupación real)</t>
  </si>
  <si>
    <t xml:space="preserve">https://www.euskadi.eus/contenidos/informacion/presupuestos_cae/es_def/adjuntos/pdfs/2026A/Pertsonalaren_eranskina_Anexo_de_personal.pdf</t>
  </si>
  <si>
    <t xml:space="preserve">Revisado: AVC dictamen normativo no vinculante</t>
  </si>
  <si>
    <t xml:space="preserve">Dictamina proyectosnormativoscompetencia; no literal preceptivo en esta frase.</t>
  </si>
  <si>
    <t xml:space="preserve">Expresamente NO vinculante.</t>
  </si>
  <si>
    <t xml:space="preserve">Influye mediante dictamen, no consentimiento favorable ni veto normativo.</t>
  </si>
  <si>
    <t xml:space="preserve">Ley1/2012 art3</t>
  </si>
  <si>
    <t xml:space="preserve">https://www.boe.es/buscar/act.php?id=BOE-A-2012-2313</t>
  </si>
  <si>
    <t xml:space="preserve">Estado de situación AL 30-09-2026 (EUR): cap.1 presupuesto inicial 1.566.240 = actualizado 1.566.240; disposiciones 1.425.033; obligaciones reconocidas 1.052.896 (67,2%; 68,5% el año anterior); pagos 1.052.896. Corte 30/09, no 31/08: no se rellena la columna de pagos a 31/08. Total gastos: 2.227.000 / ORN 1.167.415 / pagos 1.167.415. No comparar 9 meses con año completo. Capítulo 1 no equivale solo a sueldos.</t>
  </si>
  <si>
    <t xml:space="preserve">2025: hasta 31/12/2025, año completo</t>
  </si>
  <si>
    <t xml:space="preserve">Capítulo 1: gastos de personal; obligaciones reconocidas, no solo salarios</t>
  </si>
  <si>
    <t xml:space="preserve">https://www.euskadi.eus/web01-a3ogaoce/es/contenidos/informacion/ejec_pres_avc_2025/es_def/adjuntos/211_2025_12_DETALLESPORPARTIDAS-GASTOS-E-INGRESOS_es.pdf</t>
  </si>
  <si>
    <t xml:space="preserve">Fuente primaria cotejada: 'Estado de situación del presupuesto de gastos e ingresos: 2025 al 31-12-2025' (edición diciembre 2025), fila 'Capítulo 1 - Gastos de Personal 1.517.282 1.517.282 1.494.423 1.422.362 1.422.362' (inicial, actualizado, disposiciones, ORN, pagos; EUR). Total sección 40 2025: 2.220.000 / ORN 1.754.253 / pagos 1.724.919. Es la ejecución presupuestaria a cierre, no la Cuenta General auditada.</t>
  </si>
  <si>
    <t xml:space="preserve">Puestos (dotaciones) de la RPT de personal funcionario de la AVC, PDF '54-Auto_Vasca_Compet_20260803_F' de la página 'Relaciones de Puestos de Trabajo (RPT) del personal funcionario' del Gobierno Vasco (última modificación 03/08/2026). No incluye los 4 altos cargos. Coincide con los 13 funcionarios del Anexo de personal 2026.</t>
  </si>
  <si>
    <t xml:space="preserve">Por función, según la denominación del puesto: 'Responsable económico materia competencia' (3) + 'Responsable jurídico materia competencia' (4) -&gt; núcleo; Secretario/a general (A1), Técnico/a administración y servicios (A1), Técnico/a de informática (A1), Administrativo/a contabilidad (C1), Secretario/a alto cargo (C1) y Auxiliar general (C2) -&gt; administración y apoyo. Con el proxy por subgrupo saldría A1 10 / C1+C2 3.</t>
  </si>
  <si>
    <t xml:space="preserve">https://www.euskadi.eus/contenidos/informacion/indice_descarga_rpts/es_def/adjuntos/54-Auto_Vasca_Compet_20260803_F_eu_es.pdf</t>
  </si>
  <si>
    <t xml:space="preserve">RPT funcionarios AVC (13 filas): Presidencia: 512251 Responsable económico materia competencia dot. 1, 2, 3 (A1, CD 28, C); 512301 Responsable jurídico materia competencia dot. 1, 2, 3, 5 (A1, CD 28, C); 520010 Secretario/a alto cargo dot. 182 (C1, CD 18, LD); 520020 Auxiliar general dot. 1190 (C2, CD 16, C). Secretaría General: 510220 Técnico/a administración y servicios dot. 17 (A1, C); 510280 Técnico/a de informática dot. 79 (A1, C); 511946 Secretario/a general dot. 2 (A1, CD 29, LD); 520060 Administrativo/a contabilidad dot. 94 (C1, C). Núcleo 3+4 = 7; apoyo 6; total 13; LD = 2 (520010, 511946). Altos cargos: Anexo de personal 2026 p. 5, fila '211 ... Autoridad Vasca de la Competencia 17 4 13': como las 13 son los funcionarios de la RPT y los eventuales son 0 (ver deducción), el 4 corresponde a altos cargos, coherente con el Plan de acción 2026 de la AVC (presupuesto, p. 88: 'Kargu Publikoen ordainsariak' 366.868 EUR y 'Funtzionarioen ordainsariak' 889.276 EUR; presidente/a y 2 vocales del Consejo Vasco de la Competencia y director/a de investigación).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</si>
  <si>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Instituto Riojano de la Juventud</t>
  </si>
  <si>
    <t xml:space="preserve">Nuevo organismo autónomo</t>
  </si>
  <si>
    <t xml:space="preserve">2005-06-30</t>
  </si>
  <si>
    <t xml:space="preserve">Ley 7/2005, art.60</t>
  </si>
  <si>
    <t xml:space="preserve">Gestionar políticas de juventud.</t>
  </si>
  <si>
    <t xml:space="preserve">Gestor administrativo, no mero foro; organismo extinguido, las políticas continúan en administración.</t>
  </si>
  <si>
    <t xml:space="preserve">Sin presupuesto propio actual como organismo autónomo extinguido (Decreto 30/2012). Corroboración 2026: la Ley 8/2025, de 29 de diciembre, de Presupuestos Generales de La Rioja para 2026 (BOR núm. 252 de 30/12/2025, pág. 22598), art. 1.a, solo integra como organismos autónomos al Servicio Riojano de Salud y al Instituto de Estudios Riojanos. No equivale a coste cero de políticas juveniles; no se cuantifica sustituto.</t>
  </si>
  <si>
    <t xml:space="preserve">Extinción Decreto 30/2012 de 13/07/2012; Ley14/2022 confirma regulación anterior ya sin efectos jurídicos</t>
  </si>
  <si>
    <t xml:space="preserve">Fecha exacta de extinción obtenida de reproducción vLex; BOE2022 confirma desaparición pero no se ha recuperado BOR original.</t>
  </si>
  <si>
    <t xml:space="preserve">https://www.boe.es/eli/es-ri/l/2005/06/30/7
https://vlex.es/vid/extincion-riojano-juventud-autonomo-387496288
https://www.boe.es/diario_boe/txt.php?id=BOE-A-2023-1606
https://www.parlamento-larioja.org/recursos-de-informacion/leyes-aprobadas/ley-8-2025-de-29-de-diciembre-de-presupuestos-generales-de-la-comunidad-autonoma-de-la-rioja-para-el-ano-2026
https://vlex.es/vid/ley-8-2025-29-1099406590</t>
  </si>
  <si>
    <t xml:space="preserve">Organismo extinguido: sin presupuesto, personal ni salarios propios actuales; ausencia en la ley de presupuestos 2026 corroborada; BOR original del Decreto 30/2012 no recuperado</t>
  </si>
  <si>
    <t xml:space="preserve">Revisado: informe preceptivo HISTÓRICO juventudRioja</t>
  </si>
  <si>
    <t xml:space="preserve">Art2.2 requería informeprevio para reglamentos de límitesedad distintos. Entidadextinguida2012; no atribuir poderactual al antiguoInstituto.</t>
  </si>
  <si>
    <t xml:space="preserve">Histórico/no veto. Textoextinción leído en repositoriojurídico secundario; no localizado BORoriginal en búsqueda específica.</t>
  </si>
  <si>
    <t xml:space="preserve">Ley7/2005 art2.2; Decreto30/2012 extinción</t>
  </si>
  <si>
    <t xml:space="preserve">https://www.boe.es/eli/es-ri/l/2005/06/30/7
https://vlex.es/vid/extincion-riojano-juventud-autonomo-387496288</t>
  </si>
  <si>
    <t xml:space="preserve">Extinguido en 2012.</t>
  </si>
  <si>
    <t xml:space="preserve">Juventud</t>
  </si>
  <si>
    <t xml:space="preserve">Agencia de Prevención y Lucha contra el Fraude y la Corrupción (AVAF)</t>
  </si>
  <si>
    <t xml:space="preserve">2016-11-28</t>
  </si>
  <si>
    <t xml:space="preserve">Ley 11/2016</t>
  </si>
  <si>
    <t xml:space="preserve">Prevención e investigación administrativa; protección de denunciantes.</t>
  </si>
  <si>
    <t xml:space="preserve">Poder de investigación y protección, con límites frente a jurisdicción penal. Memoria 2025 publicada acredita actividad, no eficacia final.</t>
  </si>
  <si>
    <t xml:space="preserve">2026, aprobado (Ley 4/2026, art. 2.8)</t>
  </si>
  <si>
    <t xml:space="preserve">Presupuesto propio aprobado 2026: 5.374,67 miles EUR (5,37467 M). Ley 4/2026, de 22 de julio, de presupuestos de la Generalitat para 2026 (DOGV núm. 10425 de 10/08/2026, CVE DOGV-C-2026-25581), art. 2.8: 'Para el resto de entidades del sector público no adscritas a la Administración de la Generalitat, la estimación de gastos aprobada alcanza un importe de 5.374,67 miles de euros', fila 'Agencia de Prevención y Lucha contra el Fraude y la Corrupción de la Comunitat Valenciana 5.374,67' (p. 11). Estimación de gastos aprobada, no ejecución. Ley aprobada en julio de 2026: el primer semestre se rigió por el presupuesto anterior prorrogado.</t>
  </si>
  <si>
    <t xml:space="preserve">2026 presupuesto aprobado (Ley 4/2026, DOGV 10/08/2026); revisión 11/10/2026</t>
  </si>
  <si>
    <t xml:space="preserve">Memoria2025 publicada marzo2026</t>
  </si>
  <si>
    <t xml:space="preserve">43, 56</t>
  </si>
  <si>
    <t xml:space="preserve">https://www.boe.es/buscar/doc.php?id=BOE-A-2016-12048
https://www.antifraucv.es/wp-content/uploads/2026/03/Memoria_Avaf_2025_es.pdf
https://www.boe.es/ccaa/dogv/2026/10425/r00001-00351.pdf</t>
  </si>
  <si>
    <t xml:space="preserve">Presupuesto propio 2026 verificado; personal ocupado y gasto de personal no verificados</t>
  </si>
  <si>
    <t xml:space="preserve">Prevención, propuestas de cambios normativos e investigación anticorrupción</t>
  </si>
  <si>
    <t xml:space="preserve">Ley Foral 7/2018, arts 5-8, en especial 6(e)</t>
  </si>
  <si>
    <t xml:space="preserve">https://www.boe.es/eli/es-nc/lf/2018/05/17/7</t>
  </si>
  <si>
    <t xml:space="preserve">Agencia Madrileña para el Apoyo a las Personas Adultas con Discapacidad</t>
  </si>
  <si>
    <t xml:space="preserve">Refundación: sucede a Agencia Madrileña para la Tutela de Adultos</t>
  </si>
  <si>
    <t xml:space="preserve">2023-02-15</t>
  </si>
  <si>
    <t xml:space="preserve">Ley 1/2023, de 15 de febrero</t>
  </si>
  <si>
    <t xml:space="preserve">Apoyo y salvaguarda jurídica de adultos con discapacidad</t>
  </si>
  <si>
    <t xml:space="preserve">Juicio de capacidad legal: Apoyo y salvaguarda jurídica de adultos con discapacidad. Las funciones legales no acreditan por sí solas actividad, eficacia o dotación efectiva.</t>
  </si>
  <si>
    <t xml:space="preserve">2026, presupuesto aprobado (Ley 6/2025, art. 3.3)</t>
  </si>
  <si>
    <t xml:space="preserve">Presupuesto propio aprobado 2026: 15.531.808 EUR (15,531808 M). Ley 6/2025, de 23 de diciembre, de Presupuestos Generales de la Comunidad de Madrid para 2026, art. 3.3 'Se aprueban los presupuestos de los restantes entes públicos' (estimaciones de gastos y previsiones de ingresos), fila 'Agencia Madrileña para el Apoyo a Personas Adultas con Discapacidad 15.531.808' (BOE-A-2026-3218, BOE núm. 38 de 12/02/2026, Sec. I, pág. 22478). Figura entre los 'restantes entes públicos' (art. 3.3), no entre los organismos autónomos administrativos del art. 2.4: es ente de derecho público sujeto a ordenamiento privado, por lo que la cifra es una estimación de gastos, no un crédito limitativo ni ejecución. No se rellena 'Crédito inicial' por esa razón.</t>
  </si>
  <si>
    <t xml:space="preserve">2026 presupuesto aprobado (estimación de gastos); personal a 31/12/2025; revisión 11/10/2026</t>
  </si>
  <si>
    <t xml:space="preserve">Vigente y operativa: memoria de actividad 2025 (editada feb. 2026) y presupuesto propio 2026 en Ley 6/2025 art. 3.3. Naturaleza: 'Ente de Derecho Público, con personalidad jurídica propia' que 'ajusta sus actividades al ordenamiento jurídico privado' (memoria de cuentas 2024, p. 8); no organismo autónomo administrativo.</t>
  </si>
  <si>
    <t xml:space="preserve">Capacidad legal y eficacia práctica son distintas. Estado 2026 y plantilla ocupada no auditados salvo evidencia expresamente señalada. Fecha registral distinta de creación legal.</t>
  </si>
  <si>
    <t xml:space="preserve">Revisión cualitativa del mandato y estado; no auditoría exhaustiva de proyectos.</t>
  </si>
  <si>
    <t xml:space="preserve">https://www.boe.es/buscar/act.php?id=BOE-A-2023-13671
https://www.boe.es/eli/es-md/l/2025/12/23/6/dof/spa/pdf
https://www.boe.es/buscar/doc.php?id=BOE-A-2026-3218
https://www.comunidad.madrid/sites/default/files/278074_memoria_amapad_2025.pdf
https://www.comunidad.madrid/sites/default/files/doc/servicios-sociales/04_memoria_ctas_amapad_ej_2024_50823953.pdf</t>
  </si>
  <si>
    <t xml:space="preserve">Profesionales que prestaban servicio en AMAPAD a 31/12/2025 ('A 31 de diciembre 148 profesionales prestaban servicio en AMAPAD', memoria 2025, apdo. 3 'Equipo AMAPAD'); no RPT ni puestos presupuestados</t>
  </si>
  <si>
    <t xml:space="preserve">https://www.comunidad.madrid/sites/default/files/278074_memoria_amapad_2025.pdf</t>
  </si>
  <si>
    <t xml:space="preserve">Sin gasto de personal 2026 individual verificado: ente con contabilidad privada (PyG), presupuesto de explotación por partidas no localizado</t>
  </si>
  <si>
    <t xml:space="preserve">Sin ejecución individual verificada</t>
  </si>
  <si>
    <t xml:space="preserve">Presupuesto propio 2026 (estimación de gastos) y personas ocupadas a 31/12/2025 verificados; gasto de personal 2026 y ejecución no verificados; gasto de personal 2024 en notas</t>
  </si>
  <si>
    <t xml:space="preserve">Plantilla al cierre de 2024: 135 personas (1 directivo, 31 titulados superiores, 52 asistentes sociales, 51 personal administrativo; memoria de cuentas 2024, p. 28; total obtenido sumando la tabla). A 31/12/2025: 148 profesionales (memoria 2025). Aportación patrimonial de la Consejería de Familia, Juventud y Asuntos Sociales en 2025: 13.466.101 EUR (memoria 2025, apdo. 3); no es presupuesto propio 2026.</t>
  </si>
  <si>
    <t xml:space="preserve">Revisado: ApoyoDiscapacidadMadrid: asistencia jurídica</t>
  </si>
  <si>
    <t xml:space="preserve">Curatela, apoyos y administración patrimonial; no consulta legislativa general en art5.</t>
  </si>
  <si>
    <t xml:space="preserve">Ley1/2023 art5</t>
  </si>
  <si>
    <t xml:space="preserve">https://www.boe.es/buscar/act.php?id=BOE-A-2023-13671</t>
  </si>
  <si>
    <t xml:space="preserve">Ente de derecho público con régimen privado: no tiene capítulo 1 limitativo. Último gasto de personal anual localizado: 2024, partida 6 'Gastos de personal' de la cuenta de pérdidas y ganancias = 6.118.824,33 EUR (6,118824 M; memoria de cuentas anuales abreviadas 2024, p. 25). Cuentas 2025 no localizadas, por lo que no se rellenan las columnas 2025. No comparar 2024 con el presupuesto 2026.</t>
  </si>
  <si>
    <t xml:space="preserve">Apoyo jurídico a adultos con discapacidad (148 personas): un servicio exigido por ley.</t>
  </si>
  <si>
    <t xml:space="preserve">Discapacidad: apoyo jurídico</t>
  </si>
  <si>
    <t xml:space="preserve">Personas empleadas al término del ejercicio 2024 (31/12/2024), Memoria de cuentas anuales AMAPAD 2024, apdo. 14 'Otra información'. No es la cifra de 31/12/2025 (148 profesionales, memoria 2025, sin desglose por categoría).</t>
  </si>
  <si>
    <t xml:space="preserve">Por función, con las categorías propias de la memoria: 'Titulados superiores' (31) + 'Asistentes sociales' (52) -&gt; núcleo (ejercicio de apoyos/tutela a personas adultas con discapacidad); 'Personal administrativo' (51) -&gt; administración y apoyo; 'Directivos' (1) -&gt; otro. Parte de los titulados superiores puede hacer gestión (p. ej. subdirecciones generales jurídico-social y económico-administrativa); la memoria no permite separarlos.</t>
  </si>
  <si>
    <t xml:space="preserve">https://www.comunidad.madrid/sites/default/files/doc/servicios-sociales/04_memoria_ctas_amapad_ej_2024_50823953.pdf</t>
  </si>
  <si>
    <t xml:space="preserve">Memoria de cuentas AMAPAD ejercicio 2024, apdo. 14, p. 27 según la extracción (la ficha citaba p. 28): 'El número de personas empleadas al término del ejercicio, comparado con las cifras del ejercicio precedente': TOTAL 2024 Directivos 1, Titulados superiores 31, Asistentes sociales 52, Personal administrativo 51 (2023: 1/35/45/47 = 128). Suma: 31+52 = 83; 51; 1; 83+51+1 = 135 (23 hombres, 112 mujeres). La memoria 2025 (apdo. 3 'Equipo AMAPAD') solo da 'A 31 de diciembre 148 profesionales prestaban servicio en AMAPAD', sin desglose.</t>
  </si>
  <si>
    <t xml:space="preserve">Agencia Digital de Andalucía (ADA)</t>
  </si>
  <si>
    <t xml:space="preserve">Creación nueva que centraliza funciones TIC dispersas</t>
  </si>
  <si>
    <t xml:space="preserve">2020-12-28</t>
  </si>
  <si>
    <t xml:space="preserve">Ley 3/2020, disposición adicional 22; Decreto 128/2021, estatutos</t>
  </si>
  <si>
    <t xml:space="preserve">Estrategia y ejecución TIC de la Junta (planificación, compras, infraestructuras)</t>
  </si>
  <si>
    <t xml:space="preserve">Juicio de capacidad legal: Estrategia y ejecución TIC de la Junta (planificación, compras, infraestructuras). Las funciones legales no acreditan por sí solas actividad, eficacia o dotación efectiva.</t>
  </si>
  <si>
    <t xml:space="preserve">Crédito propio inicial aprobado 2026: 492.887081 millones EUR (Ley 8/2025, p. 18, columna Gastos). No es ejecución ni solo coste administrativo.</t>
  </si>
  <si>
    <t xml:space="preserve">2026 presupuesto inicial; revisión 11/10/2026</t>
  </si>
  <si>
    <t xml:space="preserve">Crédito propio aprobado 2026 verificado. No se ha auditado actividad, plantilla ocupada o ejecución.</t>
  </si>
  <si>
    <t xml:space="preserve">https://www.juntadeandalucia.es/boja/2021/65/BOJA21-065-00082-5780-01_00189672.pdf
https://www.boe.es/buscar/pdf/2026/BOE-A-2026-945-consolidado.pdf
https://www.boe.es/eli/es-an/l/2020/12/28/3
https://www.juntadeandalucia.es/boja/2021/65/43
https://www.juntadeandalucia.es/organismos/economiahaciendayfondoseuropeos/areas/rendicion-contable/mensuales.html
https://www.juntadeandalucia.es/haciendayadministracionpublica/servicios/fiscalizacion/rendicion/avance_cuenta2025/avance/menu.htm
https://www.juntadeandalucia.es/export/presup2026/estado/programas/estadoIII-a-1.pdf
https://www.juntadeandalucia.es/haciendayadministracionpublica/servicios/fiscalizacion/rendicion/mensuales2026/marzo/descargas/agencias/ada/2_ADA-3.pdf
https://www.juntadeandalucia.es/haciendayadministracionpublica/servicios/fiscalizacion/rendicion/mensuales2025/diciembre/descargas/agencias/ada/2_ADA-3.pdf
https://www.juntadeandalucia.es/haciendayadministracionpublica/servicios/fiscalizacion/rendicion/mensuales2025/diciembre/descargas/agencias/ada/2_ADA-1.pdf
https://www.juntadeandalucia.es/export/presup2026/personal/personalI-c-1.pdf
https://www.juntadeandalucia.es/export/presup2026/personal/personalI-con-1b-1.pdf</t>
  </si>
  <si>
    <t xml:space="preserve">Personas ocupadas; no confundir miembros del órgano con empleados</t>
  </si>
  <si>
    <t xml:space="preserve">Sin cifra individual verificada en esta revisión</t>
  </si>
  <si>
    <t xml:space="preserve">Capítulo 1: crédito inicial 2026, sección 01.31 ADA, programa 1.2.D (servicio 01 71,879482 M + servicio 17 FEDER 0,924018 M); columna OTRAS SEC. 1,714229 M no imputada</t>
  </si>
  <si>
    <t xml:space="preserve">https://www.juntadeandalucia.es/export/presup2026/estado/programas/estadoIII-a-1.pdf</t>
  </si>
  <si>
    <t xml:space="preserve">Capítulo 1: obligaciones reconocidas (suma de los dos subtotales '1 GASTOS DE PERSONAL', Cuenta de Gastos Públicos a nivel de Seguimiento IGJA, sección 0131); incluye cotizaciones sociales, no desglose salarial puro</t>
  </si>
  <si>
    <t xml:space="preserve">https://www.juntadeandalucia.es/haciendayadministracionpublica/servicios/fiscalizacion/rendicion/mensuales2026/marzo/descargas/agencias/ada/2_ADA-3.pdf</t>
  </si>
  <si>
    <t xml:space="preserve">Presupuesto propio, cap.1 crédito 2026, cap.1 ejecutado a 31/03/2026 y cap.1 2025 anual (IGJA dic-2025) verificados; plazas presupuestadas verificadas; plantilla ocupada pendiente</t>
  </si>
  <si>
    <t xml:space="preserve">Plazas Anexo de Personal 2026: 1.137 sección 01.31 (2 altos cargos, 1.107 funcionarios, 28 laborales; pp. 510/516; = 'NÚMERO DE PERSONAS 1.137' del programa 1.2.D) + 184 plazas de 'otro personal' (plantilla de efectivos, p. 704); budgeted, NO ocupación real</t>
  </si>
  <si>
    <t xml:space="preserve">https://www.juntadeandalucia.es/export/presup2026/personal/personalI-c-1.pdf</t>
  </si>
  <si>
    <t xml:space="preserve">Programa 1.2.D: 1.137 personas presupuestadas, cap.1 sección 72,803500 M (OTRAS SEC. 1,714229 M, no imputar). Anexo de Personal 2026: 1.137 plazas Anexo I (personalI-c-1) + 184 plazas 'otro personal' (personalI-con-1b-1; Sevilla 150, de ellas 114 en Subd. de Sistemas de Información) = 1.321. NO ocupación.</t>
  </si>
  <si>
    <t xml:space="preserve">Revisado: ADA: asistencia técnica digital</t>
  </si>
  <si>
    <t xml:space="preserve">Estatuto art6 incluye asistencia TIC y propuestas de simplificación. No informe preceptivo general de normas identificado allí.</t>
  </si>
  <si>
    <t xml:space="preserve">Decreto128/2021 estatutoart6</t>
  </si>
  <si>
    <t xml:space="preserve">https://www.juntadeandalucia.es/boja/2021/65/43</t>
  </si>
  <si>
    <t xml:space="preserve">Crédito definitivo cap.1 a 31/03/2026 (inicial 72.803.500 + modificaciones 45.601,61), IGJA resumen mensual marzo 2026</t>
  </si>
  <si>
    <t xml:space="preserve">IGJA marzo 2026 (Enero-Marzo, extracción 06/04/2026), sección 0131: subtotal cap.1 servicio central inicial 71.879.482,00, modif. 45.601,61, oblig. 13.905.705,95; subtotal cap.1 FEDER inicial 924.018,00, modif. 0,00, oblig. 208.265,42. Total cap.1: definitivo 72.849.101,61; obligaciones = pagos 14.113.971,37 EUR. Total sección: definitivo 510.121.265,21; obligaciones 45.272.300,95. El PDF 2_ADA-1 de marzo 2026 publicado contiene por error datos de la sección 1932 (CAAC), por lo que las modificaciones de cap.1 se cotejaron solo por la suma de créditos iniciales (= presupuesto 72.803.500). Cortes posteriores (hasta julio 2026; trimestral 2T/2026 'ADA-5') no accesibles en esta sesión: actualizar.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t>
  </si>
  <si>
    <t xml:space="preserve">https://www.juntadeandalucia.es/haciendayadministracionpublica/servicios/fiscalizacion/rendicion/mensuales2025/diciembre/descargas/agencias/ada/2_ADA-3.pdf</t>
  </si>
  <si>
    <t xml:space="preserve">Cuenta de Gastos Públicos a nivel de Seguimiento, Enero-Diciembre 2025, sección 0131, subtotales cap.1: 013101 inicial 71.534.143,00 / modif. -10.346.452,08 / definitivo 61.187.690,92 / oblig. 56.909.290,39; 013117 FEDER 2.375.106,00 / -131.510,83 / 2.243.595,17 / 993.730,62; 013118 44.453,00 / 5.351,10 / 49.804,10 / 31.079,71. Total cap.1: definitivo 63.481.090,19; obligaciones = pagos 57.934.100,72 EUR. Modificaciones cap.1 -10.472.611,81 cuadran con 2_ADA-1 dic-2025. Total sección 2025: definitivo 514.946.662,22; obligaciones 362.585.858,78. No es Cuenta General 2025.</t>
  </si>
  <si>
    <t xml:space="preserve">Competencia autonómica que el Estado no presta en ese territorio; la duplicidad es de forma (agencia propia o dirección general). 10 organismos sobre este tema entre el Estado y las CCAA (verificados).</t>
  </si>
  <si>
    <t xml:space="preserve">Agencia digital autonómica: el P100 hace una sola web y una sola aplicación para todo el Estado, a la que se suman las comunidades.</t>
  </si>
  <si>
    <t xml:space="preserve">Explícito en el P100: Organización del Estado 17 y criterio Extramuros del 12/10/2026 («con una nacional basta»)</t>
  </si>
  <si>
    <t xml:space="preserve">Agencia Estatal de Administración Digital (AEAD) y web única del Estado</t>
  </si>
  <si>
    <t xml:space="preserve">Plazas presupuestadas 2026 (Anexo de Personal 2026: Anexo I sección 01.31 + plantilla de 'otro personal'), sin los 2 altos cargos; no ocupación</t>
  </si>
  <si>
    <t xml:space="preserve">Mixto. Anexo I (1.135 plazas): 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'Otro personal' (184 plazas, categorías sin función literal): por unidad; unidades TIC (SAE, Alpes, Subdirección de Sistemas de Información, Tecnologías de la Información), que son la función propia de la ADA -&gt; núcleo (incluidos 2 mandos y 14 plazas G3 de la SSI); Servicios Generales y Personal -&gt; administración y apoyo. Altos cargos fuera del total</t>
  </si>
  <si>
    <t xml:space="preserve">(1) personalI-c-1.pdf, p. 510 'Resumen de anexo de personal' sección 01.31: Viceconsejeros y asimilados 1, Directores generales y asimilados 1; funcionarios A1 358, A1/A2 258, A2 61, A2/C1 266, C1 68, C1/C2 82, C2 14 (total 1.107); laborales Grupo 2 3, Grupo 3 14, Grupo 4 9, Grupo 5 2 (total 28); TOTAL 1.137. (2) personalI-con-1b-1.pdf, pp. 700-704, plantilla 'otro personal' ADA, TOTAL 184: SAE 34 (Técnico C-F y 'Mandos E' 1), Alpes 3 (ALP. TMED/TSUP), Subdirección de Sistemas de Información 127 (G1/G2/G3 con nivel retributivo, incl. G3 6+6+2 y 'Subdirector 03' 1), Tecnologías de la Información 14 (Grupo 1/2), Servicios Generales y Personal 6 (Córdoba 2 'Técnico 1 DEVA'; Sevilla 4: técnico informático, B-5, B-1, A-3). Núcleo = 358+258+61+3 + 178 = 858; administración = 68+82+14 + 14+9+2 + 6 = 195; otro = 266 (A2/C1). Total 1.319 = 1.321 - 2 altos cargos.</t>
  </si>
  <si>
    <t xml:space="preserve">Agencia Empresarial para la Transformación y el Desarrollo Económico (TRADE)</t>
  </si>
  <si>
    <t xml:space="preserve">Reordenación e integración de funciones preexistentes</t>
  </si>
  <si>
    <t xml:space="preserve">2021-08-03</t>
  </si>
  <si>
    <t xml:space="preserve">Decreto-ley 16/2021; sustituido por Ley 9/2021</t>
  </si>
  <si>
    <t xml:space="preserve">Internacionalización, atracción de inversión, desarrollo empresarial</t>
  </si>
  <si>
    <t xml:space="preserve">Juicio de capacidad legal: Internacionalización, atracción de inversión, desarrollo empresarial. Las funciones legales no acreditan por sí solas actividad, eficacia o dotación efectiva.</t>
  </si>
  <si>
    <t xml:space="preserve">Presupuesto propio 2026: 123,015591 M EUR (123.015.591 EUR). Ley 8/2025 art. 2.7 (agencias públicas empresariales; ingresos = gastos) y estado de gastos sección 10.51, programa 7.2.B 'Apoyo económico al sector empresarial' (estadoIII-d-2, pp. 499, 503 y 514). Incluye cap.7 transferencias de capital 71,207511 M y cap.4 10,520000 M (apoyo a empresas), no solo administración. No es ejecución. La columna 'OTRAS SEC.' del programa 7.2.B (30,978211 M) no es de TRADE.</t>
  </si>
  <si>
    <t xml:space="preserve">Creación o transformación legal verificada. La ejecución IGJA acredita actividad presupuestaria: obligaciones totales 30,889623 M en 2025 (dic-2025) y 5,969861 M a 31/03/2026. Inscripción registral comunicada por el lote no sustituye la comprobación de actividad.</t>
  </si>
  <si>
    <t xml:space="preserve">https://www.juntadeandalucia.es/boja/2021/250/2
https://www.boe.es/buscar/act.php?id=BOJA-b-2021-90321
https://www.boe.es/buscar/act.php?id=BOE-A-2022-757
https://www.juntadeandalucia.es/haciendayadministracionpublica/servicios/fiscalizacion/rendicion/cuenta2024/descargas/ape/TRADE0-0.pdf
https://www.juntadeandalucia.es/organismos/economiahaciendayfondoseuropeos/areas/rendicion-contable/mensuales.html
https://www.juntadeandalucia.es/haciendayadministracionpublica/servicios/fiscalizacion/rendicion/avance_cuenta2025/avance/menu.htm
https://www.boe.es/diario_boe/txt.php?id=BOE-A-2026-945
https://www.juntadeandalucia.es/export/presup2026/estado/programas/estadoIII-d-2.pdf
https://www.juntadeandalucia.es/haciendayadministracionpublica/servicios/fiscalizacion/rendicion/mensuales2026/marzo/descargas/agencias/trade/2_TRADE-3.pdf
https://www.juntadeandalucia.es/haciendayadministracionpublica/servicios/fiscalizacion/rendicion/mensuales2025/diciembre/descargas/agencias/trade/2_TRADE-3.pdf
https://www.juntadeandalucia.es/haciendayadministracionpublica/servicios/fiscalizacion/rendicion/mensuales2025/diciembre/descargas/agencias/trade/2_TRADE-1.pdf
https://www.juntadeandalucia.es/export/presup2026/personal/personalI-con-4-2.pdf</t>
  </si>
  <si>
    <t xml:space="preserve">Capítulo 1: crédito inicial 2026 del estado de gastos de la agencia pública empresarial, sección 10.51 programa 7.2.B (MEDIOS p. 503; resumen p. 514). Es cap.1 del presupuesto de gastos aprobado en la Ley, no 'gastos de personal' de PEC/PAIF</t>
  </si>
  <si>
    <t xml:space="preserve">https://www.juntadeandalucia.es/export/presup2026/estado/programas/estadoIII-d-2.pdf</t>
  </si>
  <si>
    <t xml:space="preserve">Capítulo 1: obligaciones reconocidas (suma de subtotales '1 GASTOS DE PERSONAL', Cuenta de Gastos Públicos a nivel de Seguimiento IGJA, sección 1051); incluye cotizaciones sociales, no desglose salarial puro</t>
  </si>
  <si>
    <t xml:space="preserve">https://www.juntadeandalucia.es/haciendayadministracionpublica/servicios/fiscalizacion/rendicion/mensuales2026/marzo/descargas/agencias/trade/2_TRADE-3.pdf</t>
  </si>
  <si>
    <t xml:space="preserve">Plazas de la 'Plantilla de efectivos de personal' de TRADE, Anexo de Personal 2026 (otro personal, agencias públicas empresariales), p. 820 (Sevilla 217; resto provincias y Madrid); budgeted, NO ocupación real</t>
  </si>
  <si>
    <t xml:space="preserve">https://www.juntadeandalucia.es/export/presup2026/personal/personalI-con-4-2.pdf</t>
  </si>
  <si>
    <t xml:space="preserve">Programa 7.2.B: cap.1 sección 21,669549 M (servicio 01: 21,359236 M; servicio 13 cofinanciado: 0,310313 M); OTRAS SEC. 7,518733 M no imputable. Tabla MEDIOS sin cifra de 'número de personas'. Anexo de Personal 2026: 312 plazas. NO ocupación.</t>
  </si>
  <si>
    <t xml:space="preserve">Revisado: TRADE financiación y asistencia</t>
  </si>
  <si>
    <t xml:space="preserve">Funcionesestatuto de promoción/financiación y asistenciaempresa; no informe legislativo general en funciones.</t>
  </si>
  <si>
    <t xml:space="preserve">Decreto69/2023 estatutoarts5-6</t>
  </si>
  <si>
    <t xml:space="preserve">https://www.juntadeandalucia.es/boja/2023/57/BOJA23-057-00031-5484-01_00280535.pdf</t>
  </si>
  <si>
    <t xml:space="preserve">IGJA marzo 2026 (Enero-Marzo, extracción 06/04/2026), sección 1051: cap.1 inicial 21.359.236,00 + 310.313,00 = 21.669.549 (= presupuesto), modificaciones 0,00, obligaciones 4.461.337,60 + 0,00, pagos 4.461.160,00 EUR. Total sección: definitivo 123.015.591,00; obligaciones 5.969.861,34; pagos 5.561.561,88. Cortes posteriores (hasta julio 2026; trimestral 2T/2026 'TRADE-5') no accesibles en esta sesión: actualizar. Pagos cap.1 a 31/03/2026: 4,461160 M.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de TRADE (p. 4, cuenta del resultado económico-patrimonial): '8. Gastos de Personal ... 14.280,19' miles EUR en 2024 (sueldos, salarios y asimilados 11.271,38; cargas sociales 3.008,81); dato 2024, solo referencia.</t>
  </si>
  <si>
    <t xml:space="preserve">https://www.juntadeandalucia.es/haciendayadministracionpublica/servicios/fiscalizacion/rendicion/mensuales2025/diciembre/descargas/agencias/trade/2_TRADE-3.pdf</t>
  </si>
  <si>
    <t xml:space="preserve">Cuenta de Gastos Públicos a nivel de Seguimiento, Enero-Diciembre 2025, sección 1051: subtotal cap.1 servicio central inicial 19.249.656,00 / modif. 0,00 / definitivo 19.249.656,00 / oblig. 18.711.895,39; subtotal cofinanciado 324.319,00 / -65.428,80 / 258.890,20 / 0,00. Total cap.1: definitivo 19.508.546,20; obligaciones = pagos 18.711.895,39 EUR. Modificaciones cap.1 -65.428,80 cuadran con 2_TRADE-1 dic-2025. Total sección 2025: inicial 69.960.878,00; definitivo 68.609.064,48; obligaciones 30.889.623,12. No es Cuenta General 2025.</t>
  </si>
  <si>
    <t xml:space="preserve">Agencia andaluza de apoyo empresarial e internacionalización; esas funciones ya las cubren instrumentos estatales.</t>
  </si>
  <si>
    <t xml:space="preserve">Aplicando el criterio del P100: Criterio Extramuros del 12/10/2026 y Crecer y producir 5</t>
  </si>
  <si>
    <t xml:space="preserve">Consejería competente e instrumentos estatales (ICO, ENISA y CDTI, E.P.E.)</t>
  </si>
  <si>
    <t xml:space="preserve">Desarrollo empresarial</t>
  </si>
  <si>
    <t xml:space="preserve">Plazas presupuestadas 2026 (Anexo de Personal 2026, plantilla de efectivos de 'otro personal' de TRADE); no ocupación</t>
  </si>
  <si>
    <t xml:space="preserve">Por función, con unidad y categoría de la plantilla: direcciones finalistas (Internacionalización de la Economía, Desarrollo de Negocio y Soporte de Valor, Financiación Empresarial, Fomento Empresarial): técnicos/as de cualquier nivel, gestor de cartera y mandos/directores de esas direcciones -&gt; núcleo; administrativos/as, secretaria de dirección y Gerente/a de Administración y Finanzas -&gt; administración y apoyo; Dirección de Servicios Corporativos y Secretaría General completas -&gt; administración y apoyo; Dirección General: 1 administrativo/a -&gt; apoyo, resto (19: Director General, jefaturas, asesor y técnicos del gabinete) -&gt; otro</t>
  </si>
  <si>
    <t xml:space="preserve">personalI-con-4-2.pdf, pp. 810-820, columnas 'CLASIFICACIÓN DE PERSONAL / PLAZAS'; total 312 (Almería 7, Cádiz 15, Córdoba 13, Granada 20, Huelva 7, Jaén 12, Madrid 3, Málaga 18, Sevilla 217). Sevilla por unidad: Internacionalización 37+1+3, Desarrollo de Negocio 27, Fomento 8, Financiación 42, Servicios Corporativos 7+3+44 (+Madrid 3 = 57), Secretaría General 25, Dirección General 20. Núcleo: provincias distintas de Sevilla 73 (técnicos de Financiación, Fomento, Desarrollo e Internacionalización) + Sevilla 99 (Internacionalización 33+1+3, Desarrollo 24, Fomento 7, Financiación 31) = 172. Administración: administrativos/as en direcciones finalistas 38 (19 fuera de Sevilla + Sevilla 4+3+1+11, este último incluye 'Gerente/a de Adm. y Fin.') + Servicios Corporativos 57 + Secretaría General 25 + 1 administrativo/a de la DG = 121. Otro: Dirección General 19. Advertencia: en Desarrollo de Negocio (Sevilla) una segunda lectura de las filas sumó 26 frente al subtotal impreso 27, por lo que la asignación de 1 plaza dentro de esa unidad puede variar entre núcleo y apoyo.</t>
  </si>
  <si>
    <t xml:space="preserve">Agencia para la Calidad Científica y Universitaria de Andalucía (ACCUA)</t>
  </si>
  <si>
    <t xml:space="preserve">Reordenación: evaluación y acreditación antes en Agencia Andaluza del Conocimiento</t>
  </si>
  <si>
    <t xml:space="preserve">Evaluación de calidad del sistema universitario y científico andaluz</t>
  </si>
  <si>
    <t xml:space="preserve">Juicio de capacidad legal: Evaluación de calidad del sistema universitario y científico andaluz. Las funciones legales no acreditan por sí solas actividad, eficacia o dotación efectiva.</t>
  </si>
  <si>
    <t xml:space="preserve">Crédito propio inicial aprobado 2026: 3.901802 millones EUR (Ley 8/2025, p. 18, columna Gastos). No es ejecución ni solo coste administrativo.</t>
  </si>
  <si>
    <t xml:space="preserve">https://www.juntadeandalucia.es/boja/2021/250/2
https://www.boe.es/buscar/pdf/2026/BOE-A-2026-945-consolidado.pdf
https://www.boe.es/buscar/act.php?id=BOJA-b-2021-90321
https://www.boe.es/buscar/act.php?id=BOE-A-2022-757
https://www.juntadeandalucia.es/haciendayadministracionpublica/servicios/fiscalizacion/rendicion/cuenta2024/descargas/ooaa/accua/ACCUA0-0.pdf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https://www.juntadeandalucia.es/haciendayadministracionpublica/servicios/fiscalizacion/rendicion/mensuales2026/marzo/descargas/agencias/accua/2_ACCUA-3.pdf
https://www.juntadeandalucia.es/haciendayadministracionpublica/servicios/fiscalizacion/rendicion/mensuales2025/diciembre/descargas/agencias/accua/2_ACCUA-3.pdf
https://www.juntadeandalucia.es/haciendayadministracionpublica/servicios/fiscalizacion/rendicion/mensuales2025/diciembre/descargas/agencias/accua/2_ACCUA-1.pdf
https://www.juntadeandalucia.es/export/presup2026/personal/personalI-c-7.pdf
https://www.juntadeandalucia.es/export/presup2026/personal/personalI-con-1b-4.pdf</t>
  </si>
  <si>
    <t xml:space="preserve">cap.1 gastos de personal, crédito 2026 (sección 15.31 propia; sin columna OTRAS SEC. (todo en sección propia))</t>
  </si>
  <si>
    <t xml:space="preserve">https://www.juntadeandalucia.es/export/presup2026/estado/programas/estadoIII-a-7.pdf</t>
  </si>
  <si>
    <t xml:space="preserve">Capítulo 1: obligaciones reconocidas (subtotal '1 GASTOS DE PERSONAL', Cuenta de Gastos Públicos a nivel de Seguimiento IGJA, sección 1531); incluye cotizaciones sociales, no desglose salarial puro</t>
  </si>
  <si>
    <t xml:space="preserve">https://www.juntadeandalucia.es/haciendayadministracionpublica/servicios/fiscalizacion/rendicion/mensuales2026/marzo/descargas/agencias/accua/2_ACCUA-3.pdf</t>
  </si>
  <si>
    <t xml:space="preserve">Plazas Anexo de Personal 2026: 12 sección 15.31 (1 alto cargo, 11 funcionarios; pp. 564-566; = 12 personas presupuestadas del programa 4.2.K) + 28 plazas de 'otro personal' (plantilla de efectivos, p. 720: Córdoba 15, Sevilla 13); budgeted, NO ocupación real</t>
  </si>
  <si>
    <t xml:space="preserve">https://www.juntadeandalucia.es/export/presup2026/personal/personalI-con-1b-4.pdf</t>
  </si>
  <si>
    <t xml:space="preserve">Programa 4.2.K: 12 personas presupuestadas (Anexo I), cap.1 2,279024 M; además 28 plazas de 'otro personal' en el Anexo de Personal 2026 (personalI-con-1b-4) = 40 plazas. Total 3,901802 M, todo en sección propia. NO ocupación.</t>
  </si>
  <si>
    <t xml:space="preserve">Revisado: ACCUA informes sectoriales, algunos VINCULANTES</t>
  </si>
  <si>
    <t xml:space="preserve">Universidades: facultativo/no vinculante(7d). InstitutosUniversitariosInvestigación: preceptivo/vinculante(7l). Academias y estatutos: preceptivo/no vinculante(7m).</t>
  </si>
  <si>
    <t xml:space="preserve">SÍ vinculante para creación institutosuniversitariosinvestigación; NO para universidades ni academias.</t>
  </si>
  <si>
    <t xml:space="preserve">Filtro obligatorio en decisión sectorial específica; no veto general a ley parlamentaria.</t>
  </si>
  <si>
    <t xml:space="preserve">Decreto17/2023 estatutoart7d,l,m</t>
  </si>
  <si>
    <t xml:space="preserve">https://www.juntadeandalucia.es/boja/2023/39/BOJA23-039-00024-3125-01_00278198.pdf</t>
  </si>
  <si>
    <t xml:space="preserve">IGJA marzo 2026 (Enero-Marzo, extracción 06/04/2026), sección 1531: cap.1 inicial 2.279.024,00; modificaciones 0,00; definitivo 2.279.024,00; obligaciones 431.810,37; pagos 427.516,20 EUR. Total sección: obligaciones 608.685,42; pagos 600.816,25. Cortes posteriores (hasta julio 2026; trimestral 2T/2026 'ACCUA-5') no accesibles en esta sesión: actualizar. Pagos cap.1 a 31/03/2026: 0,427516 M.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de ACCUA: gastos de personal 1.614,55 miles EUR (cuadro 16.1, p. 20, contabilidad económico-patrimonial) y cap.1 de la liquidación 2024 1.614,71 miles EUR (nota 22.2, p. 30); dato 2024, solo referencia.</t>
  </si>
  <si>
    <t xml:space="preserve">https://www.juntadeandalucia.es/haciendayadministracionpublica/servicios/fiscalizacion/rendicion/mensuales2025/diciembre/descargas/agencias/accua/2_ACCUA-3.pdf</t>
  </si>
  <si>
    <t xml:space="preserve">Cuenta de Gastos Públicos a nivel de Seguimiento, Enero-Diciembre 2025, sección 1531, p. 2: cap.1 inicial 2.237.818,00; modificaciones 0,00 (2_ACCUA-1 dic-2025: transferencias +146.666,66/-146.666,66, neto 0,00); definitivo 2.237.818,00; obligaciones = pagos 1.601.418,10 EUR. Total sección 2025: crédito 3.665.495,00; obligaciones 2.967.239,30. No es Cuenta General 2025.</t>
  </si>
  <si>
    <t xml:space="preserve">Plazas presupuestadas 2026 (Anexo de Personal 2026: Anexo I sección 15.31 + plantilla de 'otro personal'), sin el alto cargo; no ocupación</t>
  </si>
  <si>
    <t xml:space="preserve">Mixto. Anexo I (11 funcionarios): proxy por subgrupo, no por función (A1 y A1/A2 -&gt; núcleo; C1/C2 -&gt; administración). 'Otro personal' (28): por función según unidad y categoría: Dirección de Evaluación y Acreditación (DEVA): licenciados y técnicos -&gt; núcleo, administrativos y auxiliares -&gt; apoyo; Servicios Generales y Personal, Administración y Finanzas, Servicios Jurídicos y Contratación y Gabinete de Comunicación -&gt; administración y apoyo. Otro = 0 por clasificación (no por falta de dato). Alto cargo fuera del total</t>
  </si>
  <si>
    <t xml:space="preserve">(1) personalI-c-7.pdf, p. 564, 'Resumen de anexo de personal' sección 15.31: 'DIRECTORES GENERALES Y ASIMILADOS 1', 'GRUPO A1 7', 'GRUPO A1/A2 2', 'GRUPO C1/C2 2', 'TOTAL FUNCIONARIOS 11', 'TOTAL 12' (sin laborales). (2) personalI-con-1b-4.pdf, pp. 719-720, TOTAL 28: Córdoba 15 = Servicios Generales y Personal 1 (Conserje DEVA) + DEVA 14 (Administrativo DEVA 2, Auxiliar DEVA 3, Licenciado DEVA 4, Técnico 1 DEVA 4, Técnico 2 DEVA 1); Sevilla 13 = Administración y Finanzas 4 (Técnico 2 [cifra no legible], Técnico B-5 1, Técnico B-6 1), Gabinete de Comunicación 1, Servicios Generales y Personal 3, Servicios Jurídicos y Contratación 2, DEVA 3 (Técnico A-9 1, A-11 2). Núcleo = 7+2 + 9 + 3 = 21; administración = 2 + 5 + (1+4+1+3+2) = 18. 21+18 = 39 = 40 - 1 alto cargo.</t>
  </si>
  <si>
    <t xml:space="preserve">Instituto de Salud de Andalucía (ISA)</t>
  </si>
  <si>
    <t xml:space="preserve">Integración de Fundación Progreso y Salud, Escuela Andaluza de Salud Pública y funciones del departamento</t>
  </si>
  <si>
    <t xml:space="preserve">2024-06-21</t>
  </si>
  <si>
    <t xml:space="preserve">Ley 1/2024, de 21 de junio</t>
  </si>
  <si>
    <t xml:space="preserve">Coordinación de salud pública, investigación y formación sanitaria</t>
  </si>
  <si>
    <t xml:space="preserve">Juicio de capacidad legal: Coordinación de salud pública, investigación y formación sanitaria. Las funciones legales no acreditan por sí solas actividad, eficacia o dotación efectiva.</t>
  </si>
  <si>
    <t xml:space="preserve">Crédito propio inicial aprobado 2026: 56.356937 millones EUR (Ley 8/2025, p. 18, columna Gastos). No es ejecución ni solo coste administrativo.</t>
  </si>
  <si>
    <t xml:space="preserve">La ley 2026 aprueba crédito propio, pero contempla transición si no había empezado a funcionar. IGJA: sección 13.32 con obligaciones reconocidas 0,00 EUR en todo 2025 (créditos minorados -46,017334 M, extracción 03/02/2026) y a 31/03/2026 (minoración -24,485053 M). Indicio de que a esas fechas el ISA no había asumido gasto propio; puesta en funcionamiento a octubre 2026 no confirmada.</t>
  </si>
  <si>
    <t xml:space="preserve">https://www.boe.es/buscar/act.php?id=BOE-A-2024-13825
https://www.boe.es/buscar/pdf/2026/BOE-A-2026-945-consolidado.pdf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https://www.juntadeandalucia.es/haciendayadministracionpublica/servicios/fiscalizacion/rendicion/mensuales2026/marzo/descargas/agencias/isa/2_ISA-3.pdf
https://www.juntadeandalucia.es/haciendayadministracionpublica/servicios/fiscalizacion/rendicion/mensuales2026/marzo/descargas/agencias/isa/2_ISA-1.pdf
https://www.juntadeandalucia.es/haciendayadministracionpublica/servicios/fiscalizacion/rendicion/mensuales2025/diciembre/descargas/agencias/isa/2_ISA-3.pdf
https://www.juntadeandalucia.es/haciendayadministracionpublica/servicios/fiscalizacion/rendicion/mensuales2025/diciembre/descargas/agencias/isa/2_ISA-1.pdf
https://www.juntadeandalucia.es/export/presup2026/personal/personalI-c-5.pdf
https://www.juntadeandalucia.es/export/presup2026/personal/personalI-con-1b-3.pdf</t>
  </si>
  <si>
    <t xml:space="preserve">cap.1 gastos de personal, crédito 2026 (sección 13.32 propia; sin columna OTRAS SEC.; Instituto de Salud de Andalucía (ISA))</t>
  </si>
  <si>
    <t xml:space="preserve">https://www.juntadeandalucia.es/export/presup2026/estado/programas/estadoIII-a-5.pdf</t>
  </si>
  <si>
    <t xml:space="preserve">Capítulo 1: obligaciones reconocidas = 0,00 EUR VERIFICADO en fuente (no es 'no encontrado'); Cuenta de Gastos Públicos a nivel de Seguimiento IGJA, sección 1332, todos los subtotales de cap.1 a cero</t>
  </si>
  <si>
    <t xml:space="preserve">https://www.juntadeandalucia.es/haciendayadministracionpublica/servicios/fiscalizacion/rendicion/mensuales2026/marzo/descargas/agencias/isa/2_ISA-3.pdf</t>
  </si>
  <si>
    <t xml:space="preserve">Fuente primaria cotejada contra fila y unidad (euros); no estimación. Cero real publicado</t>
  </si>
  <si>
    <t xml:space="preserve">Presupuesto propio y cap.1 crédito 2026 verificados; ejecución cap.1 verificada en 0,00 (2025 y a 31/03/2026); plazas presupuestadas verificadas; plantilla ocupada pendiente</t>
  </si>
  <si>
    <t xml:space="preserve">Plazas Anexo de Personal 2026: 39 sección 13.32 (1 alto cargo, 31 funcionarios, 7 laborales; pp. 556/558; = 39 personas del programa 4.1.K) + 352 plazas de 'otro personal' (plantilla de efectivos, p. 717: Granada 173, Sevilla 152, Málaga 23, otras 4); budgeted, NO ocupación real</t>
  </si>
  <si>
    <t xml:space="preserve">https://www.juntadeandalucia.es/export/presup2026/personal/personalI-con-1b-3.pdf</t>
  </si>
  <si>
    <t xml:space="preserve">Programa 4.1.K: 39 personas presupuestadas (Anexo I), cap.1 29,027069 M; además 352 plazas de 'otro personal' (personalI-con-1b-3) = 391 plazas. Sección propia 56,356937 M. Ejecución IGJA cap.1 = 0,00 en 2025 y a 31/03/2026. NO ocupación.</t>
  </si>
  <si>
    <t xml:space="preserve">Revisado: InstitutoSaludAndalucía: conocimiento y formación</t>
  </si>
  <si>
    <t xml:space="preserve">Investigación, formación, asesoramiento y mejora sanitaria; no trámite general legislativo en art3.</t>
  </si>
  <si>
    <t xml:space="preserve">Ley1/2024 art3</t>
  </si>
  <si>
    <t xml:space="preserve">https://www.boe.es/buscar/act.php?id=BOE-A-2024-13825</t>
  </si>
  <si>
    <t xml:space="preserve">Crédito definitivo cap.1 a 31/03/2026 (inicial 29.027.069 - minoración 12.934.837), IGJA resumen mensual marzo 2026</t>
  </si>
  <si>
    <t xml:space="preserve">IGJA marzo 2026 (Enero-Marzo, extracción 06/04/2026), sección 1332: siete subtotales cap.1 con inicial total 29.027.069 (= presupuesto); modificaciones cap.1 -12.934.837,00 (cuadra con 2_ISA-1 marzo); definitivo 16.092.232,00; obligaciones 0,00; pagos 0,00. Total sección: inicial 56.356.937; modificaciones -24.485.053; definitivo 31.871.884; obligaciones 0,00. Cortes posteriores (hasta julio 2026; trimestral 2T/2026 'ISA-5') no accesibles en esta sesión: comprobar si el ISA empezó a ejecutar después de marzo.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El ISA no figura entre las entidades de la Cuenta General 2024.</t>
  </si>
  <si>
    <t xml:space="preserve">Capítulo 1: gastos de personal; crédito definitivo, obligaciones reconocidas y pagos. Obligaciones y pagos = 0,00 EUR verificados (no 'no encontrado')</t>
  </si>
  <si>
    <t xml:space="preserve">https://www.juntadeandalucia.es/haciendayadministracionpublica/servicios/fiscalizacion/rendicion/mensuales2025/diciembre/descargas/agencias/isa/2_ISA-3.pdf</t>
  </si>
  <si>
    <t xml:space="preserve">Cuenta de Gastos Públicos a nivel de Seguimiento, Enero-Diciembre 2025, sección 1332: siete subtotales cap.1, inicial 32.154.628 (4.192.707 + 13.599.349 + 8.789.100 + 1.119.514 + 206.080 + 2.070.285 + 2.177.593); modificaciones -23.121.403,00 (cuadra con 2_ISA-1 dic-2025); definitivo 9.033.225,00; obligaciones 0,00; pagos 0,00. Total sección 2025: inicial 57.954.419; modificaciones -46.017.334; definitivo 11.937.085; obligaciones 0,00. No es Cuenta General 2025.</t>
  </si>
  <si>
    <t xml:space="preserve">Paralelo a AESAP: cada nivel actúa con sus propios fondos o competencias. 5 organismos sobre este tema entre el Estado y las CCAA (verificados).</t>
  </si>
  <si>
    <t xml:space="preserve">No ha arrancado: 0 € de gasto de personal en 2025 y a marzo de 2026. Suprimirla cuesta menos que ponerla en marcha.</t>
  </si>
  <si>
    <t xml:space="preserve">Consejería de Sanidad de la comunidad autónoma</t>
  </si>
  <si>
    <t xml:space="preserve">Plazas presupuestadas 2026 (Anexo de Personal 2026: Anexo I sección 13.32 + plantilla de 'otro personal'), sin el alto cargo; no ocupación</t>
  </si>
  <si>
    <t xml:space="preserve">Mixto. Anexo I (38): proxy por subgrupo, no por función (A1, A1/A2 y laborales grupo 1 -&gt; núcleo; C1/C2 -&gt; administración). 'Otro personal' (352): por función según categoría: investigador/a senior, evaluador/a jefe de proyecto, técnico/a y auxiliar científico/a, asesor/a técnico/a, profesorado (Prof 1A-3B), técnicos (TCO II-IV, Tit. sup./medio, Espec. I-II) -&gt; núcleo; Admin/Administrativo/a, Secretario/a de dirección, Auxiliar de servicios y Recepción -&gt; administración y apoyo; los 9 técnicos de la Subdirección de Sistemas de Información y TIC -&gt; apoyo (función de soporte); Consejero Delegado -&gt; otro. Alto cargo fuera del total</t>
  </si>
  <si>
    <t xml:space="preserve">(1) personalI-c-5.pdf, p. 556 'Resumen de anexo de personal' sección 13.32: 'VICECONSEJEROS Y ASIMILADOS 1', 'GRUPO A1 16', 'GRUPO A1/A2 7', 'GRUPO C1/C2 8', 'TOTAL FUNCIONARIOS 31', laborales 'GRUPO 1 7', 'TOTAL 39'. (2) personalI-con-1b-3.pdf, pp. 709-717, TOTAL 352 (Cádiz 2, Granada 173, Huelva 1, Jaén 1, Málaga 23, Sevilla 152). Suma por categoría: Investigador/a senior 56, Evaluador/a jefe proyecto 49, Prof (1A 7, 1B 7, 2A 13, 2B 3, 3A 9, 3B 16) 55, TCO II 10, TCO III 10, TCO IV 5, TCO TIC 1, Tit. sup 8, Tit. medio 6, Espec I 5, Espec II 1, Asesor/a técnico/a 7, Auxiliar científico/a 7, Técnico/a científico/a 1; Secretario/a de dirección 62, Admin 39, Administrativo/a 24, Auxiliar servicios 3, Recepción 2; Consejero delegado 1. Núcleo plantilla 212 (= 221 técnicos - 9 de la Subdirección SI y TIC: Prof 3B 1, TCO II 4, TCO IV 1, TCO TIC 1, Tit. medio 2); apoyo plantilla 130 + 9 = 139; otro 1. Total: núcleo 16+7+7+212 = 242; apoyo 8+139 = 147; otro 1; 390 = 391 - 1 alto cargo. Filas literales comprobadas en 2ª lectura para I+D+I (36), GOI (22), CABIMER (29), ACSA (38), Docencia (Admin 20), SI y TIC (12) y Dirección Entidad (5).</t>
  </si>
  <si>
    <t xml:space="preserve">Agencia de Emergencias de Andalucía (antes ASGIE)</t>
  </si>
  <si>
    <t xml:space="preserve">Integración de operativos y funciones preexistentes</t>
  </si>
  <si>
    <t xml:space="preserve">2023-04-11</t>
  </si>
  <si>
    <t xml:space="preserve">Decreto-ley 2/2023; Decreto 270/2024; renombrada por Decreto-ley 5/2026</t>
  </si>
  <si>
    <t xml:space="preserve">Gestión integral de emergencias 112 y prevención/extinción de incendios forestales</t>
  </si>
  <si>
    <t xml:space="preserve">Juicio: capacidad ejecutiva operativa real, respaldada por norma 2026 que confirma inicio operativo y por crédito propio. No auditoría de resultados.</t>
  </si>
  <si>
    <t xml:space="preserve">Crédito propio inicial aprobado 2026: 271.626000 millones EUR (Ley 8/2025, p. 18, columna Gastos). No es ejecución ni solo coste administrativo.</t>
  </si>
  <si>
    <t xml:space="preserve">La norma 2026 confirma inicio operativo 1/01/2025 y cambio de nombre en 2026.</t>
  </si>
  <si>
    <t xml:space="preserve">https://boe.es/buscar/doc.php?id=BOJA-b-2023-90144
https://www.boe.es/buscar/pdf/2026/BOE-A-2026-945-consolidado.pdf
https://www.juntadeandalucia.es/boja/2026/80/c01/1
https://www.juntadeandalucia.es/haciendayadministracionpublica/servicios/fiscalizacion/rendicion/mensuales2025/diciembre/descargas/agencias/asema/2_ASEMA-3.pdf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https://www.juntadeandalucia.es/haciendayadministracionpublica/servicios/fiscalizacion/rendicion/mensuales2026/marzo/descargas/agencias/asema/2_ASEMA-3.pdf
https://www.juntadeandalucia.es/haciendayadministracionpublica/servicios/fiscalizacion/rendicion/mensuales2026/marzo/descargas/agencias/asema/2_ASEMA-1.pdf
https://www.juntadeandalucia.es/haciendayadministracionpublica/servicios/fiscalizacion/rendicion/mensuales2025/diciembre/descargas/agencias/asema/2_ASEMA-1.pdf
https://www.juntadeandalucia.es/export/presup2026/personal/personalI-d-1.pdf
https://www.juntadeandalucia.es/export/presup2026/personal/personalI-con-2-1.pdf</t>
  </si>
  <si>
    <t xml:space="preserve">Capítulo 1: crédito inicial 2026, total sección 01.39 (programas 1.2.S 13,432356 + 2.2.B 8,116847 + 4.4.E 141,064238 M; resumen por capítulos p. 269)</t>
  </si>
  <si>
    <t xml:space="preserve">https://www.juntadeandalucia.es/export/presup2026/estado/programas/estadoIII-b-1.pdf</t>
  </si>
  <si>
    <t xml:space="preserve">Capítulo 1: obligaciones reconocidas (suma de los tres subtotales '1 GASTOS DE PERSONAL', Cuenta de Gastos Públicos a nivel de Seguimiento IGJA, sección 0139); incluye cotizaciones sociales, no desglose salarial puro</t>
  </si>
  <si>
    <t xml:space="preserve">https://www.juntadeandalucia.es/haciendayadministracionpublica/servicios/fiscalizacion/rendicion/mensuales2026/marzo/descargas/agencias/asema/2_ASEMA-3.pdf</t>
  </si>
  <si>
    <t xml:space="preserve">Presupuesto propio y cap.1 crédito 2026 (total agencia) verificados; cap.1 ejecutado a 31/03/2026 verificado; plazas presupuestadas verificadas; cap.1 2025 anual incompleto; plantilla ocupada pendiente</t>
  </si>
  <si>
    <t xml:space="preserve">Plazas Anexo de Personal 2026: 191 sección 01.39 (1 alto cargo, 147 funcionarios, 43 laborales; pp. 598-603; = 14 + 136 + 41 personas de los programas 1.2.S, 2.2.B y 4.4.E) + 3.793 plazas de 'otro personal' (plantilla de efectivos, p. 733; mayoría Subd. Incendios Forestales y Emergencias Ambientales); budgeted, NO ocupación real</t>
  </si>
  <si>
    <t xml:space="preserve">https://www.juntadeandalucia.es/export/presup2026/personal/personalI-con-2-1.pdf</t>
  </si>
  <si>
    <t xml:space="preserve">MEDIOS sección 01.39: 1.2.S 14 personas / cap.1 13,432356 M; 2.2.B 136 / 8,116847 M; 4.4.E 41 / 141,064238 M; total cap.1 162,613441 M. Columna OTRAS SEC. (2.2.B 196 personas / 10,914428 M; 4.4.E 374 / 46,852469 M; 1.2.S 10.964 / 655,327280 M) NO es de la agencia. El recuento MEDIOS (191) no incluye el personal laboral del operativo de incendios: el Anexo de Personal suma 3.793 plazas de 'otro personal' (personalI-con-2-1) -&gt; 3.984 plazas. NO ocupación.</t>
  </si>
  <si>
    <t xml:space="preserve">Revisado: EmergenciasAndalucía planificación y mando</t>
  </si>
  <si>
    <t xml:space="preserve">Statutoarts6-7: seguridad/emergencias y planes; no trámite legislativo general identificado allí. ComisiónProtecciónCivil/ConsejoFuego adscritos no equivalen automáticamente a facultad general de la agencia.</t>
  </si>
  <si>
    <t xml:space="preserve">Consulta de órganos adscritos exige sus propias normas; no veto general de la agencia acreditado.</t>
  </si>
  <si>
    <t xml:space="preserve">Decreto270/2024 estatutoart6; DAcuarta decreto: órganos adscritos</t>
  </si>
  <si>
    <t xml:space="preserve">https://www.juntadeandalucia.es/boja/2024/252/1</t>
  </si>
  <si>
    <t xml:space="preserve">Crédito definitivo cap.1 a 31/03/2026 (inicial 162.613.441 + modificaciones 311.826,60), IGJA resumen mensual marzo 2026</t>
  </si>
  <si>
    <t xml:space="preserve">IGJA marzo 2026 (Enero-Marzo, extracción 06/04/2026), sección 0139 (aún 'AG. SEGURIDAD Y GES. INT. EMERGENCIAS'): subtotales cap.1 inicial 160.589.937 / modif. 311.826,60 / oblig. 28.813.685,13; 1.880.159 / 0,00 / 361.057,76; 143.345 / 0,00 / 7.268,37. Total cap.1: definitivo 162.925.267,60; obligaciones = pagos 29.182.011,26 EUR. El PDF se lee truncado en p. 6, pero la suma de iniciales = cap.1 presupuestado (162.613.441) y las modificaciones = 2_ASEMA-1 (311.826,60), así que no faltan subtotales. 2025 (dic-2025, extracción 03/02/2026): solo legibles dos subtotales cap.1 (oblig. 110.288.652,20 y 1.684.646,14; total modificaciones cap.1 2025 -22.788.828,08 según 2_ASEMA-1), sin poder cerrar el total anual: no se rellenan las columnas 2025. Cortes 2026 posteriores (hasta julio; trimestral 2T/2026 'ASEMA-5') no accesibles en esta sesión.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Ronda 2, detalle dic-2025 (2_ASEMA-3, extracción 03.02.2026; columnas: crédito definitivo, autorizado, dispuesto, obligaciones, pagos materializados): subtotal cap.1 bajo '00 Servicios Centrales': definitivo 112.795.364,13; obligaciones 110.288.652,20; pagos 110.262.350,00. Segundo subtotal cap.1 (bloque tras la cabecera de p. 5): definitivo 1.741.008,79; obligaciones 1.684.646,14; pagos 1.684.075,25. Servicio 013901 Servicios Centrales (todos los capítulos): inicial 211.633.174,00; modificaciones -18.287.433,71; definitivo 193.345.740,29; obligaciones 183.920.920,80; pagos 183.796.336,30. 2_ASEMA-1 dic-2025: modificaciones totales -18.757.961,73 (cap.1 -22.788.828,08), así que hay al menos otro servicio (modificaciones -470.528,02) cuyos subtotales no son legibles: el texto del PDF se corta a ~49.000 caracteres ('G/22B/12005/00 TRIENIOS (ADM', p. 6) también con offset. Sin crédito inicial cap.1 2025 de la sección 01.39 (estado de gastos 2025: PROVENANCE_REQUIRED/SERVER_ERROR) no se puede cerrar el total: columnas 2025 siguen vacías. La agencia no figura en la Cuenta General 2024 (inicio operativo 01/01/2025).</t>
  </si>
  <si>
    <t xml:space="preserve">Plazas presupuestadas 2026 (Anexo de Personal 2026: Anexo I sección 01.39 + plantilla de 'otro personal'), sin el alto cargo; no ocupación</t>
  </si>
  <si>
    <t xml:space="preserve">Mixto. Plantilla de 'otro personal' (3.793, categorías solo por grupo/nivel 1-4, sin denominación): por unidad. El operativo de incendios forestales (bomberos forestales y demás personal de la Subdirección de Incendios Forestales y Emergencias Ambientales, 3.609) -&gt; núcleo funcional; subdirecciones horizontales (Recursos Humanos, Contratación y Recursos Materiales, Recursos Financieros, Tecnologías de la Información, Subdirección General, Desarrollo Corporativo Estratégico, Planificación de Calidad I+D+I) -&gt; administración y apoyo; gerencias provinciales (función mixta no indicada), Infraestructuras/Obras Forestales y Paisajismo, Uso Público y Coord. TCA y Seguridad -&gt; otro. Anexo I (190): proxy por subgrupo, no por función (A1, A1/A2, A2 -&gt; núcleo; C1, C1/C2 y laborales grupos 3-5 -&gt; apoyo; A2/C1 -&gt; otro); parte de los laborales del grupo 3 pueden ser operadores de emergencias (no consta). Alto cargo fuera del total</t>
  </si>
  <si>
    <t xml:space="preserve">(1) personalI-d-1.pdf, p. 598 'Resumen de anexo de personal' sección 01.39: Directores generales y asimilados 1; funcionarios A1 32, A1/A2 92, A2 1, A2/C1 15, C1 1, C1/C2 6 (total 147); laborales Grupo 3 24, Grupo 4 6, Grupo 5 13 (total 43); TOTAL 191. (2) personalI-con-2-1.pdf, pp. 722-733, líneas 'TOTAL' literales: 'TOTAL SUBD INCEND FOREST Y EMERG AMB' 416 (Almería) + 364 (Cádiz) + 382 (Córdoba) + 424 y 84 (Granada) + 467 (Huelva) + 623 (Jaén) + 414 (Málaga) + 435 (Sevilla) = 3.609; Subdirección RRHH 4+4+1+3+5+1+16 = 34; Subdir. Contratación y R. Mat. 3+1+8+4 = 16; Subdirec. Rec. Financ. 6; Tecn. Información 1+1+1+3 = 6; Subdirección General 1; Serv. Des. Corp. Estratégico 1; Plan. Cal. I+D+I 1 (apoyo 65); Gerencias provinciales 108 (Almería 11, Cádiz 9, Córdoba 9, Granada 27 + bloques 'Gerencia de Granada' 2+2+6+3+2, Huelva 10, Jaén 11, Málaga 12, Sevilla 4); Infraest. O. Forest. y Paisajism. 2+1+1+5 = 9; Uso Público 1; Coord. TCA y Seguridad 1 (otro 119); 'TOTAL ... 3.793'. Núcleo 125 + 3.609 = 3.734; apoyo 7 + 43 + 65 = 115; otro 15 + 119 = 134; 3.983 = 3.984 - 1 alto cargo.</t>
  </si>
  <si>
    <t xml:space="preserve">Agència de la Natura de Catalunya (ANC)</t>
  </si>
  <si>
    <t xml:space="preserve">Creación legal nueva</t>
  </si>
  <si>
    <t xml:space="preserve">2020-07-02</t>
  </si>
  <si>
    <t xml:space="preserve">Llei 7/2020, de 2 de julio</t>
  </si>
  <si>
    <t xml:space="preserve">Gestión unificada de espacios naturales, biodiversidad y política forestal</t>
  </si>
  <si>
    <t xml:space="preserve">Juicio: retraso de despliegue documentado en mayo 2026. No se afirma inactividad a octubre 2026 sin confirmación final.</t>
  </si>
  <si>
    <t xml:space="preserve">Sin presupuesto propio 2026: no figura en la ley de presupuestos (entidad no desplegada)</t>
  </si>
  <si>
    <t xml:space="preserve">Sin presupuesto propio 2026: la Agència de la Natura no figura en la 'Relació d'entitats del sector públic que s'inclouen als pressupostos' de la Llei 10/2026, de 9 de juliol (Resum, pp. 3-7, 51 entitats de dret públic) ni en el art. 2 de la Llei (DOGC 9706, 13/07/2026). Entidad creada por Llei 7/2020 sin despliegue verificado. No equivale a coste cero de la política de natura: los créditos siguen en el departamento competente y no se atribuyen.</t>
  </si>
  <si>
    <t xml:space="preserve">2026, Llei 10/2026 de pressupostos (9/07/2026); revisión 11/10/2026</t>
  </si>
  <si>
    <t xml:space="preserve">Creada en ley2020. Prensa21/05/2026 indica falta de despliegue; constituciónOct 2026 no confirmada. Ausencia registral no se usa como prueba absoluta.</t>
  </si>
  <si>
    <t xml:space="preserve">http://www.boe.es/buscar/doc.php?id=BOE-A-2020-7942
https://participa.gencat.cat/processes/DecretEstatutsANACAT
https://www.elperiodico.com/es/sociedad/20260521/presupuestos-2026-excluyen-agencia-natura-cataluna-130447830
https://aplicacions.economia.gencat.cat/wpres/2026/pdf/VOL_L_RES.pdf
https://www.boe.es/ccaa/dogc/2026/9706/f00001-00102.pdf</t>
  </si>
  <si>
    <t xml:space="preserve">Sin crédito de personal individual verificado</t>
  </si>
  <si>
    <t xml:space="preserve">Verificado: sin presupuesto propio en Llei 10/2026; sin personal ni salarios propios verificados (entidad no desplegada)</t>
  </si>
  <si>
    <t xml:space="preserve">Revisado: AgenciaNatura informes específicos</t>
  </si>
  <si>
    <t xml:space="preserve">Preceptivo sobre planes/programas/proyectos/autorizaciones que afecten espacios protegidos, no ley general.</t>
  </si>
  <si>
    <t xml:space="preserve">Toma en consideración debe motivarse. Planes y autorizaciones, no veto parlamentario. Constituciónoperativa pendiente independiente.</t>
  </si>
  <si>
    <t xml:space="preserve">Llei7/2020 art3w</t>
  </si>
  <si>
    <t xml:space="preserve">http://www.boe.es/buscar/doc.php?id=BOE-A-2020-7942</t>
  </si>
  <si>
    <t xml:space="preserve">Creada por ley en 2020, sin desplegar y sin presupuesto en 2026.</t>
  </si>
  <si>
    <t xml:space="preserve">Espacios naturales</t>
  </si>
  <si>
    <t xml:space="preserve">Agencia Valenciana de Protección del Territorio (AVPT)</t>
  </si>
  <si>
    <t xml:space="preserve">Creación nueva</t>
  </si>
  <si>
    <t xml:space="preserve">2019-02-05</t>
  </si>
  <si>
    <t xml:space="preserve">Ley 1/2019, de 5 de febrero (modifica TRLOTUP Ley 5/2014 e introduce su regulación); Ley 9/2019, de 23 de diciembre (la convierte en organismo autónomo)</t>
  </si>
  <si>
    <t xml:space="preserve">Disciplina urbanística: potestades sancionadoras sobre infracciones graves y muy graves del suelo</t>
  </si>
  <si>
    <t xml:space="preserve">Juicio de capacidad legal: Disciplina urbanística: potestades sancionadoras sobre infracciones graves y muy graves del suelo. Las funciones legales no acreditan por sí solas actividad, eficacia o dotación efectiva.</t>
  </si>
  <si>
    <t xml:space="preserve">2026, crédito aprobado (Ley 4/2026, art. 2.2)</t>
  </si>
  <si>
    <t xml:space="preserve">Crédito inicial aprobado 2026: 2.590,89 miles EUR (2,59089 M). Ley 4/2026, de 22 de julio, de presupuestos de la Generalitat para 2026 (DOGV núm. 10425 de 10/08/2026), art. 2.2: 'Las dotaciones de gastos aprobadas para el cumplimiento de los fines de los distintos organismos autónomos de la Generalitat consignan créditos por un importe de 1.283.876,40 miles de euros', fila 'Agencia Valenciana de Protección del Territorio 2.590,89' (p. 10). Crédito, no ejecución. Ley aprobada en julio de 2026: el primer semestre se rigió por el presupuesto anterior prorrogado.</t>
  </si>
  <si>
    <t xml:space="preserve">2026 crédito inicial aprobado (Ley 4/2026, DOGV 10/08/2026); revisión 11/10/2026</t>
  </si>
  <si>
    <t xml:space="preserve">Organismo autónomo con crédito propio 2026 en la Ley 4/2026 (art. 2.2); actividad efectiva no auditada.</t>
  </si>
  <si>
    <t xml:space="preserve">https://www.boe.es/boe/dias/2019/02/28/pdfs/BOE-A-2019-2784.pdf
https://www.boe.es/diario_boe/txt.php?id=BOE-A-2020-1010
https://www.boe.es/ccaa/dogv/2026/10425/r00001-00351.pdf</t>
  </si>
  <si>
    <t xml:space="preserve">Presupuesto propio 2026 verificado; capítulo 1, ejecución y personal no verificados</t>
  </si>
  <si>
    <t xml:space="preserve">Revisado: AVPT propuestas y disciplinaurbanística</t>
  </si>
  <si>
    <t xml:space="preserve">Inspecciona/sanciona; propone modificar/adoptar normas a consejería y asesora municipios. No informe previo general para leyes.</t>
  </si>
  <si>
    <t xml:space="preserve">Textoestatuto leído en repositoriosecundario; referencia oficial corroborada portalAVPT/Xunta. Impugnarlicencias no equivale a vetoleyes.</t>
  </si>
  <si>
    <t xml:space="preserve">Decreto52/2021 estatutoart4i</t>
  </si>
  <si>
    <t xml:space="preserve">https://www.iberley.es/legislacion/decreto-52-2021-9-abril-consell-aprobacion-estatutos-agencia-valenciana-proteccio-territori-2021-4212-26848066</t>
  </si>
  <si>
    <t xml:space="preserve">Persigue las infracciones urbanísticas graves.</t>
  </si>
  <si>
    <t xml:space="preserve">Aplicando el criterio del P100: Función técnica y sancionadora</t>
  </si>
  <si>
    <t xml:space="preserve">Disciplina urbanística</t>
  </si>
  <si>
    <t xml:space="preserve">Agència Valenciana de Seguretat Ferroviària (AVSF)</t>
  </si>
  <si>
    <t xml:space="preserve">2018-03-26</t>
  </si>
  <si>
    <t xml:space="preserve">Ley 7/2018, de 26 de marzo, de Seguridad Ferroviaria</t>
  </si>
  <si>
    <t xml:space="preserve">Seguridad ferroviaria en la CV (ámbito FGV)</t>
  </si>
  <si>
    <t xml:space="preserve">Juicio de capacidad legal: Seguridad ferroviaria en la CV (ámbito FGV). Las funciones legales no acreditan por sí solas actividad, eficacia o dotación efectiva.</t>
  </si>
  <si>
    <t xml:space="preserve">Crédito inicial aprobado 2026: 1.638,11 miles EUR (1,63811 M). Ley 4/2026, de 22 de julio, de presupuestos de la Generalitat para 2026 (DOGV núm. 10425 de 10/08/2026), art. 2.2 (créditos de los organismos autónomos, 1.283.876,40 miles EUR en total), fila 'Agència Valenciana de Seguretat Ferroviària 1.638,11' (p. 10). Crédito, no ejecución. Ley aprobada en julio de 2026: el primer semestre se rigió por el presupuesto anterior prorrogado.</t>
  </si>
  <si>
    <t xml:space="preserve">https://www.boe.es/eli/es-vc/l/2018/03/26/7/con
https://www.boe.es/ccaa/dogv/2026/10425/r00001-00351.pdf</t>
  </si>
  <si>
    <t xml:space="preserve">Revisado: AVSF informe FAVORABLE requerido, alcance estrecho</t>
  </si>
  <si>
    <t xml:space="preserve">Sí: orden normas pasosnivel (art28) y decreto requisitosmaterialrodante(art34); urbanizacióncolindante(art25.3).</t>
  </si>
  <si>
    <t xml:space="preserve">SÍ requiere informe favorable para esas órdenes/decretos y proyectos; NO permiso general para aprobarley.</t>
  </si>
  <si>
    <t xml:space="preserve">Puede condicionar esas normasreglamentarias/proyectos. No veto parlamentario ni todaslasleyes.</t>
  </si>
  <si>
    <t xml:space="preserve">Ley7/2018 arts25.3,28.1-2,34</t>
  </si>
  <si>
    <t xml:space="preserve">https://www.boe.es/eli/es-vc/l/2018/03/26/7/con</t>
  </si>
  <si>
    <t xml:space="preserve">Supervisa una red que AESF no cubre por ley (red autonómica); no es duplicado. 2 organismos sobre este tema entre el Estado y las CCAA (verificados).</t>
  </si>
  <si>
    <t xml:space="preserve">Supervisa la seguridad de la red de FGV, que hoy la AESF no cubre por ley.</t>
  </si>
  <si>
    <t xml:space="preserve">Aplicando el criterio del P100: Criterio Extramuros del 12/10/2026 (exige cambiar la ley ferroviaria)</t>
  </si>
  <si>
    <t xml:space="preserve">Agència Valenciana de Residus i Economia Circular</t>
  </si>
  <si>
    <t xml:space="preserve">2022-11-29</t>
  </si>
  <si>
    <t xml:space="preserve">Ley 5/2022, de 29 de noviembre, de residuos y suelos contaminados para el fomento de la economía circular en la CV</t>
  </si>
  <si>
    <t xml:space="preserve">Gestión de residuos y economía circular</t>
  </si>
  <si>
    <t xml:space="preserve">Juicio de capacidad legal: Gestión de residuos y economía circular. Las funciones legales no acreditan por sí solas actividad, eficacia o dotación efectiva.</t>
  </si>
  <si>
    <t xml:space="preserve">Sin cifra propia 2026 verificada; no significa cero. La Ley 4/2026 de presupuestos de la Generalitat para 2026 (DOGV núm. 10425 de 10/08/2026) no incluye ninguna 'Agència Valenciana de Residus i Economia Circular' (ni 'Agencia Valenciana de Residuos y Economía Circular') entre los organismos autónomos (art. 2.2), las entidades públicas empresariales y de derecho público (art. 2.4), las sociedades mercantiles (art. 2.5) ni el resto de entidades (art. 2.8). No atribuir el presupuesto de la consejería ni de la EPSAR.</t>
  </si>
  <si>
    <t xml:space="preserve">Previsión legal en Ley 5/2022; sin dotación propia en la Ley 4/2026. Constitución efectiva no verificada. La Ley 5/2026 de medidas (DOGV 10425, 10/08/2026) modifica la Ley 5/2022 por reducción de cargas, sin mención localizada de la agencia.</t>
  </si>
  <si>
    <t xml:space="preserve">https://www.boe.es/eli/es-vc/l/2022/11/29/5/con
https://www.boe.es/ccaa/dogv/2026/10425/r00001-00351.pdf
https://derecholocal.es/novedad-legislativa/medidas-de-acompanamiento-a-la-ley-de-presupuestos-de-2026-de-la-generalitat-valenciana</t>
  </si>
  <si>
    <t xml:space="preserve">Sin presupuesto propio identificable en la Ley 4/2026; personal y salarios no verificados; vacío no significa cero</t>
  </si>
  <si>
    <t xml:space="preserve">Revisado: ResiduosValencia informes previos no vinculantes</t>
  </si>
  <si>
    <t xml:space="preserve">ConsejoParticipación integrado agencia informa previamente disposicionesgenerales residuos; sin carácter vinculante.</t>
  </si>
  <si>
    <t xml:space="preserve">Normativa: expresamente no vinculante. Art11.3 informe vinculante específico tratamientoindustrial en origen, no ley.</t>
  </si>
  <si>
    <t xml:space="preserve">No veto parlamentario. Mandato/efectivaconstitución separados; no atribuir operatividad sin verificar.</t>
  </si>
  <si>
    <t xml:space="preserve">Ley5/2022 arts11.3,12.1f,17.4c,17.5</t>
  </si>
  <si>
    <t xml:space="preserve">https://www.boe.es/eli/es-vc/l/2022/11/29/5/con</t>
  </si>
  <si>
    <t xml:space="preserve">Prevista en Ley 5/2022; sin presupuesto en 2026 ni constitución acreditada.</t>
  </si>
  <si>
    <t xml:space="preserve">Residuos</t>
  </si>
  <si>
    <t xml:space="preserve">Corporación Audiovisual de la Comunitat Valenciana, S.A.</t>
  </si>
  <si>
    <t xml:space="preserve">Creación nueva (sociedad pública audiovisual)</t>
  </si>
  <si>
    <t xml:space="preserve">2024-06-27</t>
  </si>
  <si>
    <t xml:space="preserve">Ley 2/2024, de 27 de junio</t>
  </si>
  <si>
    <t xml:space="preserve">Producción y gestión audiovisual pública</t>
  </si>
  <si>
    <t xml:space="preserve">Juicio de capacidad legal: Producción y gestión audiovisual pública. Las funciones legales no acreditan por sí solas actividad, eficacia o dotación efectiva.</t>
  </si>
  <si>
    <t xml:space="preserve">2026, estimación de gastos aprobada (Ley 4/2026, art. 2.5)</t>
  </si>
  <si>
    <t xml:space="preserve">Presupuesto propio aprobado 2026: 81.009,22 miles EUR (81,00922 M). Ley 4/2026, de 22 de julio, de presupuestos de la Generalitat para 2026 (DOGV núm. 10425 de 10/08/2026), art. 2.5: 'Se aprueban las estimaciones de gastos de las sociedades mercantiles de la Generalitat por un importe de 757.363,00 miles de euros', fila 'Corporació Audiovisual de la Comunitat Valenciana, SA 81.009,22' (p. 11). Estimación de gastos de la sociedad (explotación y capital), no ejecución; incluye producción y emisión de À Punt, no solo administración.</t>
  </si>
  <si>
    <t xml:space="preserve">2026 estimación de gastos aprobada (Ley 4/2026, DOGV 10/08/2026); revisión 11/10/2026</t>
  </si>
  <si>
    <t xml:space="preserve">Sociedad mercantil de la Generalitat con estimación de gastos 2026 aprobada en la Ley 4/2026 (art. 2.5); actividad no auditada en esta revisión.</t>
  </si>
  <si>
    <t xml:space="preserve">https://www.boe.es/eli/es-vc/l/2024/06/27/2
https://www.boe.es/ccaa/dogv/2026/10425/r00001-00351.pdf</t>
  </si>
  <si>
    <t xml:space="preserve">Presupuesto propio 2026 verificado; gastos de personal (PyG) y plantilla no verificados</t>
  </si>
  <si>
    <t xml:space="preserve">Revisado: CACVSA servicioaudiovisual</t>
  </si>
  <si>
    <t xml:space="preserve">Leyart11 funciones director e informes de consejos internos programación; no consulta normativa general.</t>
  </si>
  <si>
    <t xml:space="preserve">Ley2/2024 art11</t>
  </si>
  <si>
    <t xml:space="preserve">https://www.boe.es/eli/es-vc/l/2024/06/27/2</t>
  </si>
  <si>
    <t xml:space="preserve">Radiotelevisión pública valenciana (81 M); RTVE ya tiene centros territoriales.</t>
  </si>
  <si>
    <t xml:space="preserve">El P100 no trata las televisiones autonómicas</t>
  </si>
  <si>
    <t xml:space="preserve">Radiotelevisión pública</t>
  </si>
  <si>
    <t xml:space="preserve">Aukerak, Agencia Vasca de Reinserción Social</t>
  </si>
  <si>
    <t xml:space="preserve">2021-09-30</t>
  </si>
  <si>
    <t xml:space="preserve">Ley 3/2021, de 30 de septiembre</t>
  </si>
  <si>
    <t xml:space="preserve">Gestión de reinserción social (servicios GEA)</t>
  </si>
  <si>
    <t xml:space="preserve">Juicio de capacidad legal: Gestión de reinserción social (servicios GEA). Las funciones legales no acreditan por sí solas actividad, eficacia o dotación efectiva.</t>
  </si>
  <si>
    <t xml:space="preserve">2026, dotaciones aprobadas (Ley 7/2025, art. 4)</t>
  </si>
  <si>
    <t xml:space="preserve">Presupuesto propio aprobado 2026: 15.980.000 EUR (15,98 M). Ley 7/2025, de 23 de diciembre, de Presupuestos Generales de la CAE para 2026 (BOPV núm. 251 de 30/12/2025, p. 2), art. 4: 'En los presupuestos de los entes públicos de derecho privado se aprueban dotaciones' (recursos estimados por igual importe), fila 'Aukerak-Agencia Vasca de Reinserción Social 15.980.000 0' (columnas 'Presupuesto' y 'Compromisos futuros'). Dotación del ente público de derecho privado (explotación y capital), no ejecución. El presupuesto histórico 2024 (16.749.805 EUR comunicado en el lote) no se usa.</t>
  </si>
  <si>
    <t xml:space="preserve">2026 presupuesto aprobado; revisión 11/10/2026</t>
  </si>
  <si>
    <t xml:space="preserve">Ente público de derecho privado con dotación propia aprobada para 2026 (Ley 7/2025, art. 4) y plantilla presupuestaria 2026; actividad efectiva no auditada en esta revisión.</t>
  </si>
  <si>
    <t xml:space="preserve">https://www.boe.es/buscar/act.php?id=BOE-A-2021-17054
https://www.euskadi.eus/contenidos/informacion/cuentas_anuales_ee_sspp_2024/es_def/adjuntos/2024/3_6_19_AUKERAK.pdf
https://www.euskadi.eus/contenidos/entidad/soc_publica_245/es_def/adjuntos/2023425.pdf
https://www.euskadi.eus/bopv2/datos/2025/12/2505538a.pdf
https://www.euskadi.eus/contenidos/informacion/presupuestos_cae/es_def/adjuntos/pdfs/2026A/Pertsonalaren_eranskina_Anexo_de_personal.pdf</t>
  </si>
  <si>
    <t xml:space="preserve">Presupuesto propio 2026 y plantilla presupuestaria 2026 verificados; gasto de personal 2026 y personas ocupadas no verificados; gasto de personal PyG 2024 en notas</t>
  </si>
  <si>
    <t xml:space="preserve">Plantilla presupuestaria 2026 del sector público de la CAE (Anexo de personal, p. 5, código 425, total plazas; valores por categoría 1/51/22 sin asignación de columna segura) (budgeted, NO ocupación real)</t>
  </si>
  <si>
    <t xml:space="preserve">Plantilla presupuestaria 2026: 74 plazas (Anexo de personal), NO ocupación. Ficha 'Sector Público CAE y entidades participadas - 2023' (p. 3/3): 'Nº medio de empleados 24.00' (plantilla media, año de referencia de los datos no explícito en la ficha; no usar como plantilla actual ni como personas ocupadas).</t>
  </si>
  <si>
    <t xml:space="preserve">Revisado: Aukerak: reinserción y empleo</t>
  </si>
  <si>
    <t xml:space="preserve">Trabajo/ formación penitenciaria y reinserción; no informe legislativo general en leycreación.</t>
  </si>
  <si>
    <t xml:space="preserve">Ley3/2021 art1.3</t>
  </si>
  <si>
    <t xml:space="preserve">https://www.boe.es/buscar/pdf/2021/BOE-A-2021-17054-consolidado.pdf</t>
  </si>
  <si>
    <t xml:space="preserve">Ente público de derecho privado: gastos de personal 2026 del presupuesto de explotación no extraídos (sección 16 Justicia, p. 145, y Resúmenes pp. 227-233 de los Presupuestos 2026, PDF no extraíble más allá de ~p. 24). Último gasto de personal anual localizado: 2024, cuenta de pérdidas y ganancias 'Gastos de personal' = 5.312.119 EUR (5,312119 M; sueldos, salarios y asimilados 4.190.441; cargas sociales 1.121.678); 2023: 4.526.504 EUR (cuentas anuales 2024 de Aukerak, p. 5, en euros). Gasto devengado PyG, no capítulo 1 ni presupuesto 2026; no comparar con la dotación 2026. Cuentas 2025 no localizadas: no se rellenan columnas 2025.</t>
  </si>
  <si>
    <t xml:space="preserve">Gestiona la reinserción de presos en el País Vasco; el P100 quiere que el Estado recupere la gestión de las prisiones.</t>
  </si>
  <si>
    <t xml:space="preserve">Explícito en el P100: Organización del Estado 19</t>
  </si>
  <si>
    <t xml:space="preserve">Secretaría General de Instituciones Penitenciarias (Estado)</t>
  </si>
  <si>
    <t xml:space="preserve">Reinserción social</t>
  </si>
  <si>
    <t xml:space="preserve">Puestos (dotaciones) de las RPT vigentes de Aukerak: funcionarios (PDF '9071-Aukerak-Ag.-Vasca-Reins.-F-', 51) + laborales (PDF '9071-Aukerak-20260803-L', 18), de las páginas de RPT del Gobierno Vasco (última modificación 03/08/2026). RPT aprobada por el Consejo de Administración el 28/10/2024 (BOPV 217, 07/11/2024). No incluye 1 alto cargo. El Anexo de personal 2026 presupuesta 74 plazas (1 alto cargo + 51 funcionarios + 22 laborales): hay 4 laborales presupuestados más que puestos en la RPT laboral.</t>
  </si>
  <si>
    <t xml:space="preserve">Funcionarios: proxy por subgrupo, no por función. A1 (26) -&gt; núcleo; C1 (22) + C1/C2 (2) + B (1, Administrativo/a de Informática) -&gt; administración y apoyo. Parte de los A1 hacen gestión: 8 A1 están en Subdirección de Administración/Producción con funciones de gestión (2 subdirectores/as, 2 técnicos/as de gestión económica y presupuestaria, 2 asesores/as jurídicos/as, 1 técnico/a de PRL y 1 técnico/a de personal). Los A1 de función propia son 18: 3 técnicos/as de empleo y formación para el empleo, 3 responsables de activación laboral y 12 supervisores/as de área en centros penitenciarios. Los 15 'Agente de Servicios' y 7 'Gestor/a de Servicios' (C1) están en los centros penitenciarios y la RPT no detalla su función. Laborales (18 oficios en centros penitenciarios: 11 cocina y gastronomía, 1 cocina AKOR III, 2 dirección de cocina, 3 electricistas y 1 limpieza) -&gt; otro.</t>
  </si>
  <si>
    <t xml:space="preserve">https://www.euskadi.eus/contenidos/informacion/indice_descarga_rpts/es_def/adjuntos/9071-Aukerak-Ag.-Vasca-Reins.-F-.pdf</t>
  </si>
  <si>
    <t xml:space="preserve">RPT funcionarios (51 filas). Dirección (Vitoria): 520110 Administrativo/a Mantenimiento y Compras x2 (C1/C2). Subdir. Producción: 510200 Técnico/a Empleo y Formación para el Empleo x3 (A1); 512516 Subdirector/a x1 (A1, LD). Subdir. Administración: 510040 Técnico/a Gestión Económica y Presupuestaria x2, 510060 Asesor/a Jurídico/a x2, 510180 Técnico/a PRL x1, 510320 Técnico/a de Personal x1, 512516 Subdirector/a x1 (LD), todos A1; 520090 Administrativo/a de Informática x1 (B). C.P. Araba: 512480 Supervisor/a de Área x5 (A1), 512492 Responsable de Activación Laboral x1 (A1, LD), 520430 Agente de Servicios x7 (C1), 520470 Gestor/a de Servicios x3 (C1). C.P. Bizkaia: Supervisor/a x3, Responsable Activación x1 (LD), Agente x3, Gestor/a x1. C.P. Gipuzkoa: Supervisor/a x4, Responsable Activación x1 (LD), Agente x5, Gestor/a x3. A1 = 11+6+4+5 = 26; C1 = 10+4+8 = 22; C1/C2 = 2; B = 1; total 51. LD = 2 Subdirector/a + 3 Responsable de Activación Laboral = 5. RPT laborales (18 filas, todas LL/CT, 0 LD) en el PDF https://www.euskadi.eus/contenidos/informacion/indice_descarga_rpts_laboral/es_def/adjuntos/9071-Aukerak-20260803-L.pdf: 3737 Electricista x3, 3743 Actividades domésticas y limpieza x1, 3744 Cocina y gastronomía x11, 3745 Dirección cocina x2, 3746 Cocina AKOR III x1. 26+25+18 = 69. Altos cargos y eventuales: Anexo de personal 2026 p. 5, fila '425 AUKERAK ... 74 1 51 22' (los 51 coinciden con la RPT de funcionarios).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</si>
  <si>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Agencia Vasca de Ciberseguridad</t>
  </si>
  <si>
    <t xml:space="preserve">2023-06-29</t>
  </si>
  <si>
    <t xml:space="preserve">Ley 7/2023, de 29 de junio</t>
  </si>
  <si>
    <t xml:space="preserve">Ciberseguridad de las administraciones vascas</t>
  </si>
  <si>
    <t xml:space="preserve">Juicio de capacidad legal: Ciberseguridad de las administraciones vascas. Las funciones legales no acreditan por sí solas actividad, eficacia o dotación efectiva.</t>
  </si>
  <si>
    <t xml:space="preserve">Presupuesto propio aprobado 2026: 6.415.000 EUR (6,415 M). Ley 7/2025 de Presupuestos Generales de la CAE para 2026 (BOPV núm. 251 de 30/12/2025, p. 2), art. 4 (dotaciones de entes públicos de derecho privado), fila 'Agencia Vasca de Ciberseguridad 6.415.000 0' (Presupuesto / Compromisos futuros). Dotación del ente (explotación y capital), no ejecución ni solo administración.</t>
  </si>
  <si>
    <t xml:space="preserve">Ente público de derecho privado ('Euskal Zibersegurtasun Agentzia / Agencia Vasca de Ciberseguridad') con dotación propia 2026 (Ley 7/2025, art. 4) y plantilla presupuestaria 2026, adscrito a la sección 07 Seguridad; actividad no auditada.</t>
  </si>
  <si>
    <t xml:space="preserve">Mandato paralelo; jurisdicciones distintas</t>
  </si>
  <si>
    <t xml:space="preserve">110</t>
  </si>
  <si>
    <t xml:space="preserve">Agencias de ciberseguridad vasca y catalana: distintos ámbitos autonómicos. No se demuestra doble financiación ni duplicación operativa.</t>
  </si>
  <si>
    <t xml:space="preserve">https://www.boe.es/diario_boe/txt.php?id=BOE-A-2023-17645
https://www.sindicatura.cat/documents/36414/85841/2023_39_ca.pdf</t>
  </si>
  <si>
    <t xml:space="preserve">https://www.boe.es/diario_boe/txt.php?id=BOE-A-2023-17645
https://www.euskadi.eus/contenidos/entidad/soc_publica_422/eu_def/adjuntos/2024422.pdf
https://www.euskadi.eus/bopv2/datos/2025/12/2505538a.pdf
https://www.euskadi.eus/contenidos/informacion/presupuestos_cae/es_def/adjuntos/pdfs/2026A/Pertsonalaren_eranskina_Anexo_de_personal.pdf</t>
  </si>
  <si>
    <t xml:space="preserve">Presupuesto propio 2026 y plantilla presupuestaria 2026 verificados; gasto de personal y personas ocupadas no verificados</t>
  </si>
  <si>
    <t xml:space="preserve">Plantilla presupuestaria 2026 del sector público de la CAE (Anexo de personal, p. 5, código 422, total plazas; valores 1/2/9 sin asignación de columna segura) (budgeted, NO ocupación real)</t>
  </si>
  <si>
    <t xml:space="preserve">Plantilla presupuestaria 2026: 12 plazas (Anexo de personal), NO ocupación. Ficha 'Sector Público CAE y entidades participadas - 2024' (p. 4/4): 'Nº medio de empleados 6.48'; activo total 2.289.391 EUR; cifra de negocios 0 EUR (plantilla media; año de referencia de los datos no explícito; no usar como personas ocupadas).</t>
  </si>
  <si>
    <t xml:space="preserve">Revisado: AgenciaVascaCiberseguridad</t>
  </si>
  <si>
    <t xml:space="preserve">SÍ informe preceptivo en elaboración disposicionesnormativas GobiernoVasco materia ciberseguridad.</t>
  </si>
  <si>
    <t xml:space="preserve">Ley7/2023 art2c</t>
  </si>
  <si>
    <t xml:space="preserve">https://www.boe.es/diario_boe/txt.php?id=BOE-A-2023-17645</t>
  </si>
  <si>
    <t xml:space="preserve">Ente público de derecho privado: gastos de personal 2026 del presupuesto de explotación (sección 07 Seguridad, p. 141) no extraídos: el PDF solo es legible hasta ~p. 24. Cuentas anuales 2024 y 2025 de la Agencia no localizadas. Sin gasto de personal anual verificado.</t>
  </si>
  <si>
    <t xml:space="preserve">Duplica a INCIBE y CCN-CERT, que ya cubre este territorio o puede hacerlo. 9 organismos sobre este tema entre el Estado y las CCAA (verificados).</t>
  </si>
  <si>
    <t xml:space="preserve">Agencia autonómica de ciberseguridad; el CCN-CERT es por ley el centro de referencia de todas las administraciones.</t>
  </si>
  <si>
    <t xml:space="preserve">Centro Criptológico Nacional (CCN-CERT) e Instituto Nacional de Ciberseguridad (INCIBE)</t>
  </si>
  <si>
    <t xml:space="preserve">Plazas presupuestadas 2026 (Anexo de personal de los Presupuestos de la CAE 2026, p. 5): 12 = 1 alto cargo + 2 funcionarios + 9 laborales. Sin desglose por función ni por grupo.</t>
  </si>
  <si>
    <t xml:space="preserve">Anexo de personal 2026, p. 5, fila '422 Euskal Zibersegurtasun Agentzia / Agencia Vasca de Ciberseguridad 12 1 2 9'.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 Resultado: altos cargos 1, eventual 0, funcionarios 2, laborales 9 (1+2+9 = 12).</t>
  </si>
  <si>
    <t xml:space="preserve">Euskadiko Kirol Portuak (Puertos Deportivos de Euskadi)</t>
  </si>
  <si>
    <t xml:space="preserve">Transformación de sociedad Euskadiko Kirol Portua,S.A. en ente público</t>
  </si>
  <si>
    <t xml:space="preserve">2018-06-28</t>
  </si>
  <si>
    <t xml:space="preserve">Ley 2/2018, de 28 de junio, de Puertos y Transporte Marítimo del País Vasco</t>
  </si>
  <si>
    <t xml:space="preserve">Gestión de puertos deportivos</t>
  </si>
  <si>
    <t xml:space="preserve">Juicio de capacidad legal: Gestión de puertos deportivos. Las funciones legales no acreditan por sí solas actividad, eficacia o dotación efectiva.</t>
  </si>
  <si>
    <t xml:space="preserve">Presupuesto propio aprobado 2026: 9.975.000 EUR (9,975 M). Ley 7/2025 de Presupuestos Generales de la CAE para 2026 (BOPV núm. 251 de 30/12/2025, p. 3), art. 4 (dotaciones de entes públicos de derecho privado), fila 'Euskadiko Kirol Portuak 9.975.000 1.300.000' (Presupuesto / Compromisos futuros). Los 1.300.000 EUR son compromisos futuros, no presupuesto 2026. Dotación total del ente (explotación y capital), no ejecución ni gastos de personal.</t>
  </si>
  <si>
    <t xml:space="preserve">Figura en la Ley 7/2025 como ente público de derecho privado (art. 4), no como sociedad pública, con dotación y plantilla presupuestaria 2026; adscrito a la sección 15 Alimentación, Desarrollo Rural, Agricultura y Pesca; actividad no auditada.</t>
  </si>
  <si>
    <t xml:space="preserve">https://boe.es/buscar/act.php?id=BOE-A-2018-11064
https://ekp.euskadi.eus/contenidos/informacion/ekp_transparencia/eu_def/adjuntos/CCAA24-EKP_signed.pdf
https://www.euskadi.eus/contenidos/entidad/soc_publica_53/eu_def/adjuntos/2024495.pdf
https://www.euskadi.eus/bopv2/datos/2025/12/2505538a.pdf
https://www.euskadi.eus/contenidos/informacion/presupuestos_cae/es_def/adjuntos/pdfs/2026A/Pertsonalaren_eranskina_Anexo_de_personal.pdf</t>
  </si>
  <si>
    <t xml:space="preserve">Plantilla presupuestaria 2026 del sector público de la CAE (Anexo de personal, p. 5, código 495, total plazas; valores 1/2/16 sin asignación de columna segura) (budgeted, NO ocupación real)</t>
  </si>
  <si>
    <t xml:space="preserve">Plantilla presupuestaria 2026: 19 plazas (Anexo de personal), NO ocupación. Ficha 'Sector Público CAE y entidades participadas - 2024' (p. 4/4): 'Nº medio de empleados 16.08'; cifra de negocios 6.134.013 EUR; activo total 28.519.434 EUR (plantilla media; año de referencia de los datos no explícito; no usar como personas ocupadas).</t>
  </si>
  <si>
    <t xml:space="preserve">Revisado: EKP: cooperación técnica puertos</t>
  </si>
  <si>
    <t xml:space="preserve">Cooperación con administración en informesportuarios art5.2i; informeurbanístico de administración general no poder independiente EKP.</t>
  </si>
  <si>
    <t xml:space="preserve">Ley2/2018 arts5.2i,25a</t>
  </si>
  <si>
    <t xml:space="preserve">https://boe.es/buscar/act.php?id=BOE-A-2018-11064</t>
  </si>
  <si>
    <t xml:space="preserve">Ente público de derecho privado: gastos de personal 2026 del presupuesto de explotación (sección 15, p. 116) no extraídos (PDF legible solo hasta ~p. 24). Último gasto de personal anual localizado: 2024, cuenta de pérdidas y ganancias 'Gastos de personal' (nota 12.3) = 1.004.022 EUR (1,004022 M; sueldos, salarios y asimilados 751.654; cargas sociales 252.368); 2023: 859.138 EUR (cuentas anuales 2024 de EKP, p. 4, euros). Gasto devengado PyG, no capítulo 1 ni presupuesto 2026. Cuentas 2025 no localizadas: no se rellenan columnas 2025.</t>
  </si>
  <si>
    <t xml:space="preserve">Gestiona los puertos deportivos vascos con ingresos propios.</t>
  </si>
  <si>
    <t xml:space="preserve">Puertos deportivos</t>
  </si>
  <si>
    <t xml:space="preserve">Altos cargos/eventuales: plazas presupuestadas 2026 (Anexo de personal, p. 5): 19 = 1 alto cargo + 2 funcionarios + 16 laborales. Libre designación: solo RPT de funcionarios de EKP (2 puestos; página RPT Gobierno Vasco, últ. modificación 03/08/2026); los 16 laborales no tienen RPT publicada allí.</t>
  </si>
  <si>
    <t xml:space="preserve">https://www.euskadi.eus/contenidos/informacion/indice_descarga_rpts/es_def/adjuntos/9070-EKP.-Euskadiko-Kirol-Portua-F-.pdf</t>
  </si>
  <si>
    <t xml:space="preserve">RPT funcionarios EKP (Dirección, Servicios Centrales, Vitoria-Gasteiz), 2 filas: '510060 Asesor/a jurídico/a, forma LL (concurso), A1, CD 25, dot. 286, C.E. III-C, PL 3'; '520040 Administrativo/a general, LL, C1 (sec. C2), CD 18, dot. 902, VI-B, PL 2'. LD = 0 sobre esos 2 puestos. Anexo de personal 2026 p. 5, fila '495 Euskadiko Kirol Portuak 19 1 2 16' (los 2 coinciden con la RPT de funcionarios).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</si>
  <si>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Agència de Ciberseguretat de Catalunya</t>
  </si>
  <si>
    <t xml:space="preserve">Creación 2017</t>
  </si>
  <si>
    <t xml:space="preserve">2017-07-25</t>
  </si>
  <si>
    <t xml:space="preserve">Llei 15/2017, de 25 de juliol</t>
  </si>
  <si>
    <t xml:space="preserve">Ciberseguridad de la Generalitat</t>
  </si>
  <si>
    <t xml:space="preserve">Juicio de capacidad legal: Ciberseguridad de la Generalitat. Las funciones legales no acreditan por sí solas actividad, eficacia o dotación efectiva.</t>
  </si>
  <si>
    <t xml:space="preserve">Presupuesto propio aprobado 2026: 33.153.130,08 EUR, entitat de dret públic 9912 (Llei 10/2026, de 9 de juliol, DOGC 9706, art. 2.6, p. 9; estat de despeses pp. 421-423). Cap. 1 7.388.390,00; cap. 2 25.714.740,08; cap. 6 50.000 EUR. Financiado con 33.103.130,08 EUR de transferencias corrientes (Generalitat): no sumar con los créditos departamentales que la financian. Ley tardía: hasta julio de 2026 rigió la prórroga. No es gasto ejecutado.</t>
  </si>
  <si>
    <t xml:space="preserve">Presupuestada 2026 como entidad de derecho público (código 9912, Departament de la Presidència) en Llei 10/2026. Actividad no auditada.</t>
  </si>
  <si>
    <t xml:space="preserve">108</t>
  </si>
  <si>
    <t xml:space="preserve">https://www.sindicatura.cat/documents/36414/85841/2023_39_ca.pdf
https://www.boe.es/ccaa/dogc/2026/9706/f00001-00102.pdf
https://aplicacions.economia.gencat.cat/wpres/2026/pdf/VOL_L_RES.pdf
https://aplicacions.economia.gencat.cat/wpres/2026/pdf/ED_9912.pdf
https://aplicacions.economia.gencat.cat/wpres/2026/pdf/AP_9912.pdf</t>
  </si>
  <si>
    <t xml:space="preserve">Capítulo 1: crédito inicial 2026, entitat 9912 (Llei 10/2026, estat de despeses)</t>
  </si>
  <si>
    <t xml:space="preserve">https://aplicacions.economia.gencat.cat/wpres/2026/pdf/ED_9912.pdf</t>
  </si>
  <si>
    <t xml:space="preserve">dotacions pressupostades 2026, Annex de personal entitat 9912 (1 altre personal directiu + 88 laborals); budgeted, NO ocupación real</t>
  </si>
  <si>
    <t xml:space="preserve">https://aplicacions.economia.gencat.cat/wpres/2026/pdf/AP_9912.pdf</t>
  </si>
  <si>
    <t xml:space="preserve">Cap.1 2026 7,388 M (22,3% del total); 89 dotacions presupuestadas (86 del grupo A), todas en programa 532 Societat digital, NO ocupación. Cap.2 25,715 M (servicios). Sin cifra de efectivos reales verificada.</t>
  </si>
  <si>
    <t xml:space="preserve">Revisado: CiberseguridadCataluña informe PRECEPTIVO</t>
  </si>
  <si>
    <t xml:space="preserve">Sí: elaboración disposicionesnormativas Generalitat sobre ciberseguridad y gobernanzaTIC.</t>
  </si>
  <si>
    <t xml:space="preserve">Informe sin consentimiento favorable en cláusula. Normastécnicas seguridad internas sí cumplimientoobligatorio, función distinta.</t>
  </si>
  <si>
    <t xml:space="preserve">Ley15/2017 art2.5a,b</t>
  </si>
  <si>
    <t xml:space="preserve">https://www.boe.es/eli/es-ct/l/2017/07/25/15</t>
  </si>
  <si>
    <t xml:space="preserve">Llei 10/2026 aprobada en julio de 2026. Ejecución 2026 y cuentas 2025 de la Agència no localizadas en esta revisión. Capítulo 1 no equivale solo a sueldos.</t>
  </si>
  <si>
    <t xml:space="preserve">Dotaciones presupuestadas 2026 (Annex de personal, pressupostos Generalitat 2026, entitat 9912); plazas, no personas ocupadas</t>
  </si>
  <si>
    <t xml:space="preserve">Proxy por grupo profesional, no por función: A+B → núcleo (personal laboral titulado, en una agencia de ciberseguridad mayoritariamente técnico); C → administración y apoyo; 'Altres' (1 altre personal directiu) → otro. Parte de los A puede hacer gestión interna.</t>
  </si>
  <si>
    <t xml:space="preserve">AP_9912.pdf, p. 126, tabla de dotaciones 'Agència de Ciberseguretat de Catalunya (9912)': 'Altre personal directiu' Altres 1 = 1; 'Laboral 86 1 1 - - - 88'; 'Total (dotacions) 86 1 1 - - 1 = 89'. Núcleo A+B = 86+1 = 87; administración C = 1; otro = 1 (directivo); 87+1+1 = 89 (cuadra). La tabla no tiene filas de alts càrrecs, eventuales ni funcionarios.</t>
  </si>
  <si>
    <t xml:space="preserve">Agencia de Salud Pública de las Illes Balears (ASPIB)</t>
  </si>
  <si>
    <t xml:space="preserve">Creación legal 2010; alta registral 2023 (posible activación tardía: caso de ley sin despliegue inmediato)</t>
  </si>
  <si>
    <t xml:space="preserve">2010-12-28</t>
  </si>
  <si>
    <t xml:space="preserve">Ley 16/2010, de 28 de diciembre, de salud pública de las Illes Balears (Título VII la crea)</t>
  </si>
  <si>
    <t xml:space="preserve">Salud pública de les Illes Balears</t>
  </si>
  <si>
    <t xml:space="preserve">Juicio de capacidad legal: Salud pública de les Illes Balears. Las funciones legales no acreditan por sí solas actividad, eficacia o dotación efectiva.</t>
  </si>
  <si>
    <t xml:space="preserve">Presupuesto prorrogado 2026 (no hay ley 2026; Ordre 39/2025, BOIB núm. 173 de 30/12/2025). 'Estados numéricos generales' de la prórroga 2026: sección 74 'Agencia de Salud Pública de las Illes Balears', total de gastos 15.506.867 EUR (15,506867 M); fila literal 15.147.651 / 88.216 / 271.000 / 15.506.867. Según el cotejo visual anterior: cap.2 bienes y servicios 15,147651 M; cap.4 transferencias corrientes 0,088216 M; cap.6 inversiones reales 0,271 M. NO es personal: la sección no tiene capítulo 1. Ingresos p.12: 2,479415 M (tasas/otros 2,397330 M + transferencias corrientes 0,082085 M), que no son capital adicional ni se suman al gasto. Crédito prorrogado, no ejecución.</t>
  </si>
  <si>
    <t xml:space="preserve">Estados numéricos de la prórroga 2026 (PDF CAIB creado 19/12/2025); comprobado 11/10/2026</t>
  </si>
  <si>
    <t xml:space="preserve">Creación o transformación legal verificada. Estado operativo a 11/10/2026 no confirmado de forma independiente en esta revisión; inscripción registral comunicada por el lote no sustituye la comprobación de actividad.</t>
  </si>
  <si>
    <t xml:space="preserve">https://www.boe.es/buscar/act.php?id=BOE-A-2011-2108
https://www.caib.es/sites/pressuposts/f/540093
https://www.caib.es/sites/pressuposts/es/archivopub.do?ctrl=MCRST226ZI540093&amp;id=540093
https://www.caib.es/sites/pressuposts/ca/prorroga_del_pressupost_per_a_lany_2026/
https://www.caib.es/sites/pressuposts/es/archivopub.do?ctrl=MCRST226ZI540088&amp;id=540088</t>
  </si>
  <si>
    <t xml:space="preserve">https://www.caib.es/sites/pressuposts/f/540093</t>
  </si>
  <si>
    <t xml:space="preserve">Presupuesto propio 2026 (prórroga) verificado; sin capítulo 1 en la sección propia; personal ocupado y coste de apoyo no verificados</t>
  </si>
  <si>
    <t xml:space="preserve">La sección 74 no tiene capítulo 1 en el presupuesto prorrogado 2026, así que su personal no se paga desde la sección propia. No se ha verificado de qué sección o ente procede ni cuántas personas son; no inferir ni prorratear.</t>
  </si>
  <si>
    <t xml:space="preserve">Revisado: ASPIB competencias saludpública</t>
  </si>
  <si>
    <t xml:space="preserve">Art19: políticasactivas, directrices sanitarias, crisis, información y análisis; no informelegislativo general en estascompetencias.</t>
  </si>
  <si>
    <t xml:space="preserve">Ley16/2010 art19 consolidado(reintroducción2021)</t>
  </si>
  <si>
    <t xml:space="preserve">https://www.boe.es/buscar/act.php?id=BOE-A-2011-2108</t>
  </si>
  <si>
    <t xml:space="preserve">Agencia balear de salud pública sin capítulo de personal propio y con funcionamiento no confirmado.</t>
  </si>
  <si>
    <t xml:space="preserve">Agencia de Ciencia, Competitividad Empresarial e Innovación (SCEI) del Principado de Asturias</t>
  </si>
  <si>
    <t xml:space="preserve">Creación nueva (integra funciones del IDEPA y otros)</t>
  </si>
  <si>
    <t xml:space="preserve">2022-11-30</t>
  </si>
  <si>
    <t xml:space="preserve">Ley 9/2022, de 30 de noviembre</t>
  </si>
  <si>
    <t xml:space="preserve">Ciencia, competitividad empresarial e innovación</t>
  </si>
  <si>
    <t xml:space="preserve">Juicio de capacidad legal: Ciencia, competitividad empresarial e innovación. Las funciones legales no acreditan por sí solas actividad, eficacia o dotación efectiva.</t>
  </si>
  <si>
    <t xml:space="preserve">2026, presupuesto aprobado (estados financieros, Ley 5/2025)</t>
  </si>
  <si>
    <t xml:space="preserve">Estados financieros 2026 aprobados de la Agencia de Ciencia, Competitividad Empresarial e Innovación Asturiana (Sekuens): presupuesto de explotación 57.308.676 EUR + presupuesto de capital 8.965.000 EUR = total 66.273.676 EUR (66,273676 M), total consignado por la propia ley. Ley del Principado de Asturias 5/2025, art. 2.4 (entes del art. 1.e, presupuesto estimativo); BOE-A-2026-2888, p. 20132. Presupuesto estimativo de ente público, no crédito limitativo ni ejecución; incluye ayudas y programas de ciencia/innovación, no solo coste de administración. 'Crédito inicial' se rellena con el mismo total por coherencia con la hoja, pero no es crédito limitativo. Gastos de personal de la cuenta de explotación no verificados.</t>
  </si>
  <si>
    <t xml:space="preserve">2026, presupuesto aprobado (Ley 5/2025); revisión 11/10/2026</t>
  </si>
  <si>
    <t xml:space="preserve">Creación legal verificada; estados financieros propios aprobados para 2026 en la Ley 5/2025 (art. 1.e y art. 2.4). Actividad efectiva no auditada en esta revisión.</t>
  </si>
  <si>
    <t xml:space="preserve">Ámbito I+D+i próximo; funciones y territorios distintos</t>
  </si>
  <si>
    <t xml:space="preserve">4, 33, 89, 117</t>
  </si>
  <si>
    <t xml:space="preserve">Financiación, investigación o innovación en ámbitos estatales y autonómicos distintos; no equivalencia de programas ni doble financiación demostrada.</t>
  </si>
  <si>
    <t xml:space="preserve">https://boe.es/buscar/doc.php?id=BOE-A-2023-1605
https://www.boe.es/boe/dias/2026/02/09/pdfs/BOE-A-2026-2888.pdf
https://www.boe.es/eli/es-as/l/2025/12/31/5</t>
  </si>
  <si>
    <t xml:space="preserve">Presupuesto propio 2026 verificado (explotación + capital); gastos de personal, plantilla y ejecución no verificados; vacío no significa cero</t>
  </si>
  <si>
    <t xml:space="preserve">Ley 5/2025 art. 27.2: la Agencia necesita informe de la Dirección General de Empleo Público para convenios colectivos o contratos de alta dirección (régimen de ente del art. 1.e). Gastos de personal de su presupuesto de explotación no verificados (tomo de entes no accesible); no es capítulo 1 limitativo.</t>
  </si>
  <si>
    <t xml:space="preserve">Revisado: SEKUENS: planes y financiación</t>
  </si>
  <si>
    <t xml:space="preserve">Diseña y evalúa estrategias ciencia/economía; no consentimiento general leyes en art6.</t>
  </si>
  <si>
    <t xml:space="preserve">Ley9/2022 art6</t>
  </si>
  <si>
    <t xml:space="preserve">https://boe.es/buscar/doc.php?id=BOE-A-2023-1605</t>
  </si>
  <si>
    <t xml:space="preserve">Consejo de Transparencia y Buen Gobierno del Principado de Asturias</t>
  </si>
  <si>
    <t xml:space="preserve">Creación nueva (ente público/organismo de control)</t>
  </si>
  <si>
    <t xml:space="preserve">2018-09-14</t>
  </si>
  <si>
    <t xml:space="preserve">Ley 8/2018, de 14 de septiembre, de Transparencia, Buen Gobierno y Grupos de Interés</t>
  </si>
  <si>
    <t xml:space="preserve">Control de transparencia y buen gobierno; regulación de lobbies</t>
  </si>
  <si>
    <t xml:space="preserve">Juicio de capacidad legal: Control de transparencia y buen gobierno; regulación de lobbies. Las funciones legales no acreditan por sí solas actividad, eficacia o dotación efectiva.</t>
  </si>
  <si>
    <t xml:space="preserve">Crédito inicial propio 2026: 180.000 EUR (0,18 M). Ley del Principado de Asturias 5/2025, art. 2.2, fila 'Consejo de Transparencia y Buen Gobierno del Principado de Asturias' entre los organismos y entes del art. 1.d (presupuesto limitativo); BOE-A-2026-2888, p. 20131. En 2025: sección 88, 80.000 EUR (Ley de PG 2025, art. 2.2, BOPA núm. 252 de 31/12/2024). Dotación propia diferenciada: no aplica la regla de órgano sin presupuesto. Crédito inicial, no ejecución; desglose por capítulos (personal) no verificado.</t>
  </si>
  <si>
    <t xml:space="preserve">Creación legal verificada; dotación presupuestaria propia en 2025 (sección 88) y 2026 (Ley 5/2025 art. 2.2). Actividad efectiva no auditada en esta revisión.</t>
  </si>
  <si>
    <t xml:space="preserve">https://www.boe.es/eli/es-as/l/2018/09/14/8/con
https://www.boe.es/boe/dias/2026/02/09/pdfs/BOE-A-2026-2888.pdf
https://www.boe.es/eli/es-as/l/2025/12/31/5
https://www.jgpa.es/documents/11156/23154/Presupuestos+Generales+para+2025/0d75983e-243c-4dc0-9a14-24cf0664ac9c</t>
  </si>
  <si>
    <t xml:space="preserve">Presupuesto propio 2026 verificado; capítulo 1, ejecución y personal no verificados; vacío no significa cero</t>
  </si>
  <si>
    <t xml:space="preserve">Consulta preceptiva sobre proyectos normativos de transparencia y planes estratégicos</t>
  </si>
  <si>
    <t xml:space="preserve">SÍ: planes estratégicos de transparencia y proyectos normativos que desarrollen la Ley 8/2018 o relacionados con su objeto</t>
  </si>
  <si>
    <t xml:space="preserve">Art 68(d) exige informe, no consentimiento favorable o veto; efecto vinculante no declarado allí</t>
  </si>
  <si>
    <t xml:space="preserve">Trámite previo obligatorio en ámbito acotado. No se atribuye veto a leyes parlamentarias por estos artículos; la omisión/demora requiere revisar expediente y procedimiento específico.</t>
  </si>
  <si>
    <t xml:space="preserve">Ley Asturias 8/2018 arts 7.1,68(d)</t>
  </si>
  <si>
    <t xml:space="preserve">https://www.boe.es/eli/es-as/l/2018/09/14/8/con</t>
  </si>
  <si>
    <t xml:space="preserve">Consejo asturiano que no funciona: Asturias firmó en 2026 un nuevo convenio con el CTBG.</t>
  </si>
  <si>
    <t xml:space="preserve">Organismo Autónomo Servicio de Emergencias de Cantabria (SEMCA)</t>
  </si>
  <si>
    <t xml:space="preserve">Sucesión de 112 Cantabria,S.A.U.</t>
  </si>
  <si>
    <t xml:space="preserve">2018-11-22</t>
  </si>
  <si>
    <t xml:space="preserve">Ley 6/2018, de 22 de noviembre</t>
  </si>
  <si>
    <t xml:space="preserve">Gestión de emergencias 112 de Cantabria</t>
  </si>
  <si>
    <t xml:space="preserve">Juicio de capacidad legal: Gestión de emergencias 112 de Cantabria. Las funciones legales no acreditan por sí solas actividad, eficacia o dotación efectiva.</t>
  </si>
  <si>
    <t xml:space="preserve">Crédito inicial propio 2026: 18.273.639 EUR (18,273639 M). Ley de Cantabria 4/2026, de 28 de abril, art. 2.Dos, fila 'SERVICIO DE EMERGENCIAS DE CANTABRIA'; BOC Extraordinario núm. 12 de 30/04/2026 (CVE-2026-3601), p. 2209; BOE-A-2026-9962. Organismo autónomo con estado de gastos propio (art. 1, letras a-g). Crédito inicial de todos los capítulos, no ejecución; capítulo 1 no verificado.</t>
  </si>
  <si>
    <t xml:space="preserve">Organismo autónomo con presupuesto propio aprobado para 2026 (Ley 4/2026, arts. 1 y 2.Dos). Actividad no auditada exhaustivamente.</t>
  </si>
  <si>
    <t xml:space="preserve">https://www.boe.es/eli/es-cb/l/2018/11/22/6/con
https://www.boe.es/ccaa/boct/2026/012/c00001-01406.pdf</t>
  </si>
  <si>
    <t xml:space="preserve">Presupuesto propio 2026 verificado; capítulo 1, ejecución y plantilla no verificados; vacío no significa cero</t>
  </si>
  <si>
    <t xml:space="preserve">Revisado: SEMCA: propuestas reglamentarias</t>
  </si>
  <si>
    <t xml:space="preserve">ConsejoRector propone disposicionesgenerales e informa tasas/precios propios. No consentimiento legislativo general.</t>
  </si>
  <si>
    <t xml:space="preserve">Ley6/2018 art6.2d,i</t>
  </si>
  <si>
    <t xml:space="preserve">https://www.boe.es/eli/es-cb/l/2018/11/22/6/con</t>
  </si>
  <si>
    <t xml:space="preserve">Consejo de la Juventud de Cantabria</t>
  </si>
  <si>
    <t xml:space="preserve">Creación nueva (ente público participativo)</t>
  </si>
  <si>
    <t xml:space="preserve">2019-02-14</t>
  </si>
  <si>
    <t xml:space="preserve">Ley 1/2019, de 14 de febrero</t>
  </si>
  <si>
    <t xml:space="preserve">Representación de la juventud ante la administración</t>
  </si>
  <si>
    <t xml:space="preserve">Juicio de capacidad legal: Representación de la juventud ante la administración. Las funciones legales no acreditan por sí solas actividad, eficacia o dotación efectiva.</t>
  </si>
  <si>
    <t xml:space="preserve">Sin cifra propia 2026 verificada; no significa cero. La Ley de Cantabria 4/2026 (BOC Ext. 12 de 30/04/2026) no menciona al Consejo de la Juventud de Cantabria ni en el art. 1, que enumera los entes cuyos presupuestos integran los PG (Administración General con OOAA, OOAA, ACAT, fundaciones, ICAF, sociedades y fondos), ni en la tabla del art. 2.Dos (p. 2209). Su posible financiación (p. ej. subvención nominativa en la sección de la consejería de juventud) no se ha verificado en los anexos. No atribuir presupuesto del departamento.</t>
  </si>
  <si>
    <t xml:space="preserve">2026, Ley 4/2026 aprobada; revisión 11/10/2026</t>
  </si>
  <si>
    <t xml:space="preserve">https://www.boe.es/buscar/act.php?id=BOE-A-2019-3488
https://www.boe.es/ccaa/boct/2026/012/c00001-01406.pdf</t>
  </si>
  <si>
    <t xml:space="preserve">Sin importe individual verificado; vacío no significa cero</t>
  </si>
  <si>
    <t xml:space="preserve">Funciones consultivas revisadas: Estudios e informes por iniciativa propia o petición administrativa</t>
  </si>
  <si>
    <t xml:space="preserve">LeyCantabria 1/2019 arts 3(b),12.4(g)</t>
  </si>
  <si>
    <t xml:space="preserve">https://www.boe.es/buscar/doc.php?id=BOE-A-2019-3488</t>
  </si>
  <si>
    <t xml:space="preserve">Paralelo a Consejo de la Juventud de España: cada nivel actúa con sus propios fondos o competencias. 12 organismos sobre este tema entre el Estado y las CCAA (verificados).</t>
  </si>
  <si>
    <t xml:space="preserve">Órgano de representación juvenil: el P100 no financia entidades por existir.</t>
  </si>
  <si>
    <t xml:space="preserve">Aplicando el criterio del P100: Costes del Estado 2 y 3 (aplicados a las CCAA)</t>
  </si>
  <si>
    <t xml:space="preserve">Apoyo: Consejería competente en Juventud del Gobierno de Cantabria, que debe aportar medios «materiales, técnicos, económicos y humanos» (art. 19.2 Ley 1/2019) y apoyo técnico en contratación (art. 23).</t>
  </si>
  <si>
    <t xml:space="preserve">Instituto Cántabro de Administración Pública 'Rafael de la Sierra' (ICAP)</t>
  </si>
  <si>
    <t xml:space="preserve">Nueva forma jurídica sobre Centro de Estudios y funciones formativas previas</t>
  </si>
  <si>
    <t xml:space="preserve">2022-11-03</t>
  </si>
  <si>
    <t xml:space="preserve">Ley 7/2022, de 3 de noviembre</t>
  </si>
  <si>
    <t xml:space="preserve">Formación y estudios de la administración cántabra</t>
  </si>
  <si>
    <t xml:space="preserve">Juicio de capacidad legal: Formación y estudios de la administración cántabra. Las funciones legales no acreditan por sí solas actividad, eficacia o dotación efectiva.</t>
  </si>
  <si>
    <t xml:space="preserve">Crédito inicial propio 2026: 2.415.537 EUR (2,415537 M). Ley de Cantabria 4/2026, de 28 de abril, art. 2.Dos, fila 'INSTITUTO CÁNTABRO DE ADMINISTRACIÓN PÚBLICA "RAFAEL DE LA SIERRA"'; BOC Extraordinario núm. 12 de 30/04/2026 (CVE-2026-3601), p. 2209; BOE-A-2026-9962. Organismo autónomo con estado de gastos propio. Crédito inicial de todos los capítulos (incluye transferencias del INAP para formación), no ejecución.</t>
  </si>
  <si>
    <t xml:space="preserve">Organismo autónomo con presupuesto propio aprobado para 2026 (Ley 4/2026, art. 2.Dos). Actividad no auditada exhaustivamente.</t>
  </si>
  <si>
    <t xml:space="preserve">https://www.boe.es/buscar/act.php?id=BOE-A-2022-20715
https://www.boe.es/ccaa/boct/2026/012/c00001-01406.pdf</t>
  </si>
  <si>
    <t xml:space="preserve">Presupuesto propio 2026 verificado; capítulo 1 aprobado, ejecución y plantilla no verificados</t>
  </si>
  <si>
    <t xml:space="preserve">Revisado: ICAP: formación y estudios</t>
  </si>
  <si>
    <t xml:space="preserve">Investigación/formación/colaboración funciónpública, no consulta legislativa general en fines.</t>
  </si>
  <si>
    <t xml:space="preserve">Ley7/2022 art2</t>
  </si>
  <si>
    <t xml:space="preserve">https://www.boe.es/buscar/act.php?id=BOE-A-2022-20715</t>
  </si>
  <si>
    <t xml:space="preserve">Contexto, NO cifra verificada en la ley: según 'La Administración al Día' (INAP, 30/10/2025), el anteproyecto 2026 aprobado por el Consejo Rector del ICAP sumaba 2.415.537 EUR (igual que la Ley 4/2026), con gastos de personal 1.153.998 EUR, bienes y servicios 1.195.143 EUR y activos financieros 234.000 EUR. El capítulo 1 de la ley aprobada no se ha verificado: NO trasladar a 'Crédito de personal'.</t>
  </si>
  <si>
    <t xml:space="preserve">Competencia autonómica que el Estado no presta en ese territorio; la duplicidad es de forma (agencia propia o dirección general). 13 organismos sobre este tema entre el Estado y las CCAA (verificados).</t>
  </si>
  <si>
    <t xml:space="preserve">Formación de funcionarios autonómicos: servicio interno que no exige una entidad propia.</t>
  </si>
  <si>
    <t xml:space="preserve">Agencia de Investigación e Innovación de Castilla-La Mancha (OA)</t>
  </si>
  <si>
    <t xml:space="preserve">Creación legal 2020 (OA), despliegue/alta 2022</t>
  </si>
  <si>
    <t xml:space="preserve">2020-07-10</t>
  </si>
  <si>
    <t xml:space="preserve">Ley 4/2020, de 10 de julio, de Fomento y Coordinación del Sistema de I+D+i de CLM (crea la agencia); estatutos por decreto posterior</t>
  </si>
  <si>
    <t xml:space="preserve">Gestión de la I+D+i de CLM</t>
  </si>
  <si>
    <t xml:space="preserve">Juicio de capacidad legal: Gestión de la I+D+i de CLM. Las funciones legales no acreditan por sí solas actividad, eficacia o dotación efectiva.</t>
  </si>
  <si>
    <t xml:space="preserve">Organismo autónomo con presupuesto propio en la Ley 5/2025, de 19 de diciembre, de Presupuestos Generales JCCM 2026 (DOCM 29/12/2025), art. 1.1.c.5º; el articulado no da importe individual (solo agregados: 4.043.481.640,00 EUR de transferencias a todos los OOAA, art. 2.2.a). Importe propio 2026 no verificado en estado de gastos; no significa cero. No atribuir presupuesto del departamento.</t>
  </si>
  <si>
    <t xml:space="preserve">Presupuestado como organismo autónomo en Ley 5/2025 de Presupuestos 2026 (art. 1.1.c.5º). Actividad efectiva y plantilla no auditadas en esta revisión.</t>
  </si>
  <si>
    <t xml:space="preserve">4, 33, 89, 112</t>
  </si>
  <si>
    <t xml:space="preserve">https://www.boe.es/eli/es-cm/l/2020/07/10/4
https://intervencion.castillalamancha.es/sites/default/files/Ejecucion%20Presupuestaria%20Julio_2026.pdf
https://intervencion.castillalamancha.es/sites/default/files/Ejecuci%C3%B3n%20Mayo%202026.pdf
https://laadministracionaldia.inap.es/noticia.asp?id=1261775
https://transparencia.castillalamancha.es/sites/default/files/2026-05/13.Texto%20Proyecto%20de%20Ley.pdf</t>
  </si>
  <si>
    <t xml:space="preserve">Revisado: AgenciaI+ICLM: evaluación y gestión</t>
  </si>
  <si>
    <t xml:space="preserve">Art38: gestión/evaluación I+D+i, no trámite general leyes. Informe preceptivo PlanI+D art20 pertenece ConsejoAsesor, no agencia.</t>
  </si>
  <si>
    <t xml:space="preserve">Ley4/2020 arts20,38</t>
  </si>
  <si>
    <t xml:space="preserve">https://www.boe.es/eli/es-cm/l/2020/07/10/4</t>
  </si>
  <si>
    <t xml:space="preserve">Fuente de crédito y ejecución identificada pero NO extraída: la Intervención General de la JCCM publica la ejecución mensual por organismo (informe 'Ejecución presupuestaria' julio 2026, índice: 'Agencia de Investigación e Innovación', gastos por secciones y subconcepto p. 321, ingresos p. 327; informe de mayo 2026: pp. 316/322), con columnas C.Inicial, Definitivo, Autorizado, Comprometido, Obligado y Pagado, en euros. La extracción automática del PDF se corta en la sección 11 (Presidencia), antes de los organismos autónomos, por lo que no se rellena ninguna cifra. Para completar: abrir manualmente p. 321 del informe de julio 2026 (crédito inicial y obligaciones cap.1 a 31/07/2026).</t>
  </si>
  <si>
    <t xml:space="preserve">Agencia de Transformación Digital de Castilla-La Mancha</t>
  </si>
  <si>
    <t xml:space="preserve">2024-03-15</t>
  </si>
  <si>
    <t xml:space="preserve">Ley 1/2024, de 15 de marzo, de Medidas Administrativas y de Creación de la ATD-CLM; Estatutos Decreto 56/2024, de 24 de septiembre</t>
  </si>
  <si>
    <t xml:space="preserve">Transformación digital de la administración de CLM</t>
  </si>
  <si>
    <t xml:space="preserve">Juicio de capacidad legal: Transformación digital de la administración de CLM. Las funciones legales no acreditan por sí solas actividad, eficacia o dotación efectiva.</t>
  </si>
  <si>
    <t xml:space="preserve">Organismo autónomo con presupuesto propio (sección 77 'Agencia de Transformación Digital de Castilla-La Mancha') en la Ley 5/2025, de 19 de diciembre, de Presupuestos Generales JCCM 2026 (DOCM 29/12/2025), art. 1.1.c.6º; el art. 9.2.c.2º cita créditos de capítulo 1 de la sección 77. Importe aprobado individual no verificado: el articulado no lo da; no significa cero. Pista oficial NO utilizable como cifra aprobada: el resumen del Proyecto de Ley de Presupuestos 2026 publicado por la JCCM (castillalamancha.es, 21/10/2025, tabla 'Gasto por secciones', millones EUR) recoge 'Agencia Transformación Digital 142,3 [2025] 182,5 [2026] 40,2 28,2 [%]'; es proyecto (no estado de gastos de la Ley 5/2025) y cifra redondeada a 0,1 M, por lo que no se rellena el presupuesto propio. No atribuir presupuesto del departamento.</t>
  </si>
  <si>
    <t xml:space="preserve">Presupuestado como organismo autónomo, sección 77, en Ley 5/2025 de Presupuestos 2026; la ley prevé flexibilidad de gestión presupuestaria de la sección 77 (preámbulo) y créditos de capítulo 1 propios (art. 9.2.c.2º). Plantilla y actividad no auditadas.</t>
  </si>
  <si>
    <t xml:space="preserve">https://www.boe.es/eli/es-cm/l/2024/03/15/1
https://www.castillalamancha.es/sites/default/files/documentos/archivosnoticias/20251021/proyecto_ley_presupuestos_clm_2026.pdf
https://intervencion.castillalamancha.es/sites/default/files/Ejecucion%20Presupuestaria%20Julio_2026.pdf
https://laadministracionaldia.inap.es/noticia.asp?id=1261775
https://transparencia.castillalamancha.es/sites/default/files/2026-05/13.Texto%20Proyecto%20de%20Ley.pdf</t>
  </si>
  <si>
    <t xml:space="preserve">Revisado: ATDCLM: dirección digital</t>
  </si>
  <si>
    <t xml:space="preserve">Planificación/regulación serviciosdigitales; no dictamen legislativo general en art2. Informes víaspecuarias misma ley son otroactor.</t>
  </si>
  <si>
    <t xml:space="preserve">Ley1/2024 art2</t>
  </si>
  <si>
    <t xml:space="preserve">https://www.boe.es/eli/es-cm/l/2024/03/15/1</t>
  </si>
  <si>
    <t xml:space="preserve">Fuente de ejecución identificada pero NO extraída: los informes mensuales de ejecución de la Intervención General JCCM (mayo y julio 2026) incluyen en el índice 'Agencia de Transformación Digital' dentro de 'Organismos Autónomos y Entidades Públicas' (sin número de página en el texto extraído), con columnas C.Inicial/Definitivo/Autorizado/Comprometido/Obligado/Pagado en euros; la extracción del PDF se corta en la sección 11. Proyecto 2026 (no aprobado): 182,5 M frente a 142,3 M en 2025 (resumen de la Consejería). Sin cifra de cap.1 ni ejecución verificada.</t>
  </si>
  <si>
    <t xml:space="preserve">Agencia Riojana de Transición Energética y Cambio Climático (ARTE)</t>
  </si>
  <si>
    <t xml:space="preserve">2022-11-02</t>
  </si>
  <si>
    <t xml:space="preserve">Ley 13/2022, de 2 de noviembre</t>
  </si>
  <si>
    <t xml:space="preserve">Transición energética y cambio climático de La Rioja</t>
  </si>
  <si>
    <t xml:space="preserve">Juicio de capacidad legal: Transición energética y cambio climático de La Rioja. Las funciones legales no acreditan por sí solas actividad, eficacia o dotación efectiva.</t>
  </si>
  <si>
    <t xml:space="preserve">Sin presupuesto propio actual: norma creadora (Ley 13/2022) derogada con efectos 1/01/2024 por la Ley 13/2023 (BOE-A-2024-1778, ya citada en la hoja). Corroboración 2026: la Ley 8/2025 de Presupuestos Generales de La Rioja para 2026 (BOR núm. 252 de 30/12/2025) no incluye a ARTE entre los organismos autónomos (art. 1.a: SERIS e IER) ni entre las entidades con dotación propia del art. 2 (CES, ADER, Consorcio de Extinción de Incendios). No se cifra el coste de las funciones transferidas.</t>
  </si>
  <si>
    <t xml:space="preserve">Norma creadora derogada con efectos 1/01/2024 por Ley13/2023. No se presenta como agencia actual operativa.</t>
  </si>
  <si>
    <t xml:space="preserve">Capacidad legal y eficacia práctica son distintas. Estado 2026 y plantilla ocupada no auditados salvo evidencia expresamente señalada. Fecha registral distinta de creación legal. Constitución efectiva previa a la derogación no confirmada; no afirmar que nunca operó.</t>
  </si>
  <si>
    <t xml:space="preserve">https://www.boe.es/eli/es-ri/l/2022/11/02/13
https://www.boe.es/buscar/act.php?id=BOE-A-2022-18898
https://www.boe.es/buscar/act.php?id=BOE-A-2024-1778
https://www.parlamento-larioja.org/recursos-de-informacion/leyes-aprobadas/ley-8-2025-de-29-de-diciembre-de-presupuestos-generales-de-la-comunidad-autonoma-de-la-rioja-para-el-ano-2026
https://vlex.es/vid/ley-8-2025-29-1099406590</t>
  </si>
  <si>
    <t xml:space="preserve">Entidad suprimida (derogación con efectos 1/01/2024): sin presupuesto, personal ni salarios propios 2026; ausencia en la ley de presupuestos 2026 corroborada; constitución efectiva previa no verificada</t>
  </si>
  <si>
    <t xml:space="preserve">Revisado: ARTE: planes e informes técnicos</t>
  </si>
  <si>
    <t xml:space="preserve">Planesenergía/cambio climático e informes tecnológicos; no consentimiento general de leyes en art3.</t>
  </si>
  <si>
    <t xml:space="preserve">Ley13/2022 art3</t>
  </si>
  <si>
    <t xml:space="preserve">https://www.boe.es/eli/es-ri/l/2022/11/02/13</t>
  </si>
  <si>
    <t xml:space="preserve">11 organismos sobre este tema entre el Estado y las CCAA (verificados)</t>
  </si>
  <si>
    <t xml:space="preserve">Norma creadora derogada con efectos 1/01/2024.</t>
  </si>
  <si>
    <t xml:space="preserve">Agencia Digital de la Región de Murcia</t>
  </si>
  <si>
    <t xml:space="preserve">Creación nueva (OA)</t>
  </si>
  <si>
    <t xml:space="preserve">2022-10-20</t>
  </si>
  <si>
    <t xml:space="preserve">Decreto-ley 5/2022, de 20 de octubre, capítulo III (la crea como organismo autónomo)</t>
  </si>
  <si>
    <t xml:space="preserve">Digitalización de la administración y servicios de la Región de Murcia</t>
  </si>
  <si>
    <t xml:space="preserve">Juicio de capacidad legal: Digitalización de la administración y servicios de la Región de Murcia. Las funciones legales no acreditan por sí solas actividad, eficacia o dotación efectiva.</t>
  </si>
  <si>
    <t xml:space="preserve">Sin cifra propia 2026 verificada; no significa cero. El organismo autónomo creado por el Decreto-ley 5/2022 (art. 33) figura en sus Estatutos como 'Agencia de Transformación Digital de la Región de Murcia' (Decreto 46/2025, de 22 de mayo, BORM 27/05/2025), pero NO aparece entre los organismos autónomos con créditos del art. 3 de la Ley 3/2025 (BORM, IMAS, SEF, IMIDA y Agencia Tributaria; total 653.558.165 EUR; p. 12), presupuesto prorrogado a 2026. No atribuir créditos de la Consejería de Economía, Hacienda... y Transformación Digital.</t>
  </si>
  <si>
    <t xml:space="preserve">Creación legal verificada (Decreto-ley 5/2022) y Estatutos aprobados por Decreto 46/2025 (OA adscrito a la consejería de Hacienda; art. 2.2 alude al 'inicio efectivo de actividades' sin fecha). Sin sección/crédito propio en la Ley 3/2025 prorrogada para 2026; inicio efectivo de actividad no verificado.</t>
  </si>
  <si>
    <t xml:space="preserve">La denominación de la hoja ('Agencia Digital') difiere de la de los Estatutos ('Agencia de Transformación Digital'); no se ha verificado si existe un crédito habilitado en 2026 por modificación presupuestaria durante la prórroga.</t>
  </si>
  <si>
    <t xml:space="preserve">https://www.boe.es/buscar/act.php?id=BORM-s-2022-90316
https://laadministracionaldia.inap.es/noticia.asp?id=1255335
https://www.borm.es/services/anuncio/ano/2025/numero/3684/pdf?id=837745</t>
  </si>
  <si>
    <t xml:space="preserve">Sin presupuesto propio identificable en la Ley 3/2025 prorrogada; personal y salarios no verificados; vacío no significa cero</t>
  </si>
  <si>
    <t xml:space="preserve">Revisado: ATDRMurcia estatuto2025</t>
  </si>
  <si>
    <t xml:space="preserve">Art3: propone/desarrolla política digital, licencias audiovisuales e inspección/sanción. No trámite previo general para leyes.</t>
  </si>
  <si>
    <t xml:space="preserve">Decreto46/2025 estatutoart3</t>
  </si>
  <si>
    <t xml:space="preserve">https://www.borm.es/services/boletin/ano/2025/numero/120/pdf</t>
  </si>
  <si>
    <t xml:space="preserve">Agencia Gallega de la Calidad Alimentaria (AGACAL)</t>
  </si>
  <si>
    <t xml:space="preserve">Transformación de Instituto Gallego de Calidad Alimentaria (Ingacal)</t>
  </si>
  <si>
    <t xml:space="preserve">2018-04-05</t>
  </si>
  <si>
    <t xml:space="preserve">Decreto 52/2018, de 5 de abril (creación y estatutos)</t>
  </si>
  <si>
    <t xml:space="preserve">Calidad alimentaria gallega</t>
  </si>
  <si>
    <t xml:space="preserve">Juicio de capacidad legal: Calidad alimentaria gallega. Las funciones legales no acreditan por sí solas actividad, eficacia o dotación efectiva.</t>
  </si>
  <si>
    <t xml:space="preserve">Presupuesto propio aprobado 2026: 40.736.947 EUR (Lei 4/2025, do 23 de decembro, de orzamentos xerais da CA de Galicia para 2026, DOG núm. 252 de 31/12/2025, art. 2.Tres, p. 66841). Cap. I 15.596.939; II 3.065.689; III 3.000; IV 1.159.460; VI 14.260.250; VII 6.651.609 EUR. Incluye inversiones reales y transferencias de capital (20,9 M): no tratar el total como coste administrativo. No es ejecución.</t>
  </si>
  <si>
    <t xml:space="preserve">2026 crédito inicial Lei 4/2025; revisión 11/10/2026</t>
  </si>
  <si>
    <t xml:space="preserve">Axencia pública autonómica (Consellería do Medio Rural) presupuestada 2026 en Lei 4/2025. Actividad no auditada.</t>
  </si>
  <si>
    <t xml:space="preserve">https://www.xunta.gal/dog/Publicados/2018/20180530/AnuncioG0244-290518-0003_es.html
https://www.parlamentodegalicia.gal/sitios/web/BibliotecaLeisdeGalicia/Lei4_2025.pdf
https://www.lex.gal/normativa/detalle/10722/pdf/
https://www.es.parlamentodegalicia.es/sitios/web/DocsOrzamentos/LEI_I_2026.PDF</t>
  </si>
  <si>
    <t xml:space="preserve">Capítulo I gastos de persoal: crédito inicial 2026, Axencia Galega da Calidade Alimentaria (Lei 4/2025, art. 2.Tres)</t>
  </si>
  <si>
    <t xml:space="preserve">Cap.I 2026 15,597 M = 38,3% del presupuesto de 40,737 M. Sin cifra de plantilla ocupada ni prazas orzamentadas verificada en esta revisión.</t>
  </si>
  <si>
    <t xml:space="preserve">Revisado: AGACAL: calidad e innovación alimentaria</t>
  </si>
  <si>
    <t xml:space="preserve">Estatutos de calidad/formación/controles; no informe legislativo general. Informes presupuestarios favorables exigidos a agencia son de centrosdirectivos externos.</t>
  </si>
  <si>
    <t xml:space="preserve">Decreto52/2018 funcionesestatuto</t>
  </si>
  <si>
    <t xml:space="preserve">https://www.xunta.gal/dog/Publicados/2018/20180530/AnuncioG0244-290518-0003_es.html</t>
  </si>
  <si>
    <t xml:space="preserve">Controla la calidad alimentaria y las denominaciones de origen gallegas, en línea con la soberanía alimentaria del P100.</t>
  </si>
  <si>
    <t xml:space="preserve">Aplicando el criterio del P100: Función técnica</t>
  </si>
  <si>
    <t xml:space="preserve">Calidad alimentaria</t>
  </si>
  <si>
    <t xml:space="preserve">Agencia Extremeña de la Energía (AGENEX), entidad pública empresarial</t>
  </si>
  <si>
    <t xml:space="preserve">Transformación e integración del Consorcio AGENEX preexistente; no creación desde cero</t>
  </si>
  <si>
    <t xml:space="preserve">2026-07-02</t>
  </si>
  <si>
    <t xml:space="preserve">Ley 1/2026, de 2 de julio</t>
  </si>
  <si>
    <t xml:space="preserve">Política energética, eficiencia, renovables, asesoramiento y gestión del Bono Social Térmico.</t>
  </si>
  <si>
    <t xml:space="preserve">Capacidad legal de gestión y pago de ayudas; medio propio. No se ha verificado ejecución efectiva de la nueva entidad.</t>
  </si>
  <si>
    <t xml:space="preserve">Sin cifra propia 2026 verificada; no significa cero. Ley 1/2026, de 2 de julio (BOE-A-2026-15131, BOE 11/07/2026): art. 12.2, el presupuesto de AGENEX, de carácter estimativo, 'se integrará en los Presupuestos Generales de la Comunidad Autónoma de Extremadura' (p. 96709); recursos del art. 7 (dotaciones anuales de la Ley de Presupuestos, encargos/convenios, subvenciones, patrimonio; p. 96708); actividad en mercado libre limitada al 20 % (art. 5.5). A 18/02/2026 seguía operando como consorcio: Resolución de 18/02/2026 (DOE núm. 38, 25/02/2026) le encomienda trabajos técnicos de gestión de ayudas de la DG de Industria, Energía y Minas, sin obligaciones ni compromisos económicos para las partes. Presupuesto 2026 del consorcio o de la EPE no localizado. No atribuir presupuesto de la consejería.</t>
  </si>
  <si>
    <t xml:space="preserve">Revisión 11/10/2026</t>
  </si>
  <si>
    <t xml:space="preserve">EPE de la Junta de Extremadura (no de la Diputación), con personalidad jurídica, patrimonio y tesorería propios, adscrita a la Consejería competente en energía (Ley 1/2026, art. 1, p. 96704). Antecedente: Consorcio AGENEX constituido por convenio de 23/12/2021 entre la Junta y las Diputaciones de Cáceres y Badajoz; Cáceres se separó (pleno 31/10/2024); la Asamblea General de 13/12/2024 acordó la disolución con cesión global de activos y pasivos a la nueva entidad (exposición de motivos, pp. 96701-96702). DA 1ª: integración global y sucesión universal; DA 2ª: subrogación del personal; DF 2ª: efectos solo con la extinción efectiva del consorcio, previa aprobación del proyecto de cesión global (p. 96712). DT única: hasta aprobar estatutos rige la normativa del consorcio. Extinción efectiva no verificada (en febrero de 2026 seguía como consorcio).</t>
  </si>
  <si>
    <t xml:space="preserve">Capacidad legal distinta de eficacia práctica. No se ha verificado plantilla ocupada ni gasto ejecutado individual.</t>
  </si>
  <si>
    <t xml:space="preserve">https://www.boe.es/diario_boe/txt.php?id=BOE-A-2026-15131
https://www.boe.es/boe/dias/2026/07/11/pdfs/BOE-A-2026-15131.pdf
https://doe.juntaex.es/pdfs/doe/2026/380o/26060465.pdf</t>
  </si>
  <si>
    <t xml:space="preserve">Naturaleza y régimen verificados (EPE de la Junta, Ley 1/2026); presupuesto 2026, personal y gastos de personal no verificados; vacío no significa cero</t>
  </si>
  <si>
    <t xml:space="preserve">Personal laboral (Ley 1/2026, art. 8.1), selección por convocatoria pública (art. 8.2); posible incorporación de empleados públicos de la Junta (art. 8.3). DA 2ª: el personal del consorcio se incorpora a AGENEX con subrogación y reconocimiento de antigüedad, con efectos a la extinción efectiva del consorcio (DF 2ª). La ley no fija número de efectivos ni memoria económica.</t>
  </si>
  <si>
    <t xml:space="preserve">Revisado: AGENEX: apoyo energético</t>
  </si>
  <si>
    <t xml:space="preserve">Propone planes/programas, asesoramiento y ejecución energía; no consentimiento general a leyes.</t>
  </si>
  <si>
    <t xml:space="preserve">Ley1/2026 art3</t>
  </si>
  <si>
    <t xml:space="preserve">https://www.boe.es/diario_boe/txt.php?id=BOE-A-2026-15131</t>
  </si>
  <si>
    <t xml:space="preserve">Paralelo a IDAE: cada nivel actúa con sus propios fondos o competencias. 11 organismos sobre este tema entre el Estado y las CCAA (verificados).</t>
  </si>
  <si>
    <t xml:space="preserve">Agencia autonómica de energía; el IDAE ya actúa en todo el territorio.</t>
  </si>
  <si>
    <t xml:space="preserve">Instituto para la Diversificación y Ahorro de la Energía (IDAE) y la consejería</t>
  </si>
  <si>
    <t xml:space="preserve">Observatorio de Igualdad de Género de Cantabria</t>
  </si>
  <si>
    <t xml:space="preserve">Órgano colegiado adscrito a la consejería, sin participar en su estructura jerárquica</t>
  </si>
  <si>
    <t xml:space="preserve">2020-08-13</t>
  </si>
  <si>
    <t xml:space="preserve">Decreto 53/2020, de 13 de agosto (CVE-2020-6008)</t>
  </si>
  <si>
    <t xml:space="preserve">Recoger datos, informar, evaluar políticas y proponer medidas en igualdad y violencia contra las mujeres.</t>
  </si>
  <si>
    <t xml:space="preserve">Capacidad consultiva, de análisis y evaluación; la norma no le atribuye sanciones ni ejecución de políticas.</t>
  </si>
  <si>
    <t xml:space="preserve">Órgano colegiado adscrito sin dotación diferenciada. Decreto 53/2020, de 13 de agosto (BOC, CVE-2020-6008): art. 10, el apoyo administrativo y material lo presta la dirección general competente en igualdad; art. 8.6, asistir a las reuniones no genera remuneración ni indemnización. La Ley 4/2026 de Presupuestos de Cantabria (BOC Ext. 12 de 30/04/2026) no lo menciona en los arts. 1 y 2. No se ha identificado ningún importe específico con su nombre (convenio, encargo, subvención o línea). Esto NO equivale a coste total cero: el coste de apoyo está dentro de la dirección general y no se prorratea.</t>
  </si>
  <si>
    <t xml:space="preserve">Creación legal verificada; puesta en funcionamiento y actividad efectiva a 11/10/2026 no confirmadas en esta revisión.</t>
  </si>
  <si>
    <t xml:space="preserve">Ámbito temático compartido; jurisdicción y facultades distintas</t>
  </si>
  <si>
    <t xml:space="preserve">13, 14</t>
  </si>
  <si>
    <t xml:space="preserve">Violencia de género e igualdad: observatorio consultivo cántabro, observatorio estatal y delegación ejecutiva estatal. No se demuestra gasto duplicado.</t>
  </si>
  <si>
    <t xml:space="preserve">https://boc.cantabria.es/boces/verAnuncioAction.do?idAnuBlob=352798
https://laadministracionaldia.inap.es/noticia.asp?id=1201913
https://www.boe.es/ccaa/boct/2026/012/c00001-01406.pdf</t>
  </si>
  <si>
    <t xml:space="preserve">Sin plantilla propia: apoyo de la dirección general (art. 10 Decreto 53/2020); los miembros no son empleados</t>
  </si>
  <si>
    <t xml:space="preserve">Sin crédito de personal propio: órgano sin dotación diferenciada (art. 10 Decreto 53/2020)</t>
  </si>
  <si>
    <t xml:space="preserve">No aplica: sin presupuesto propio; no se prorratea el gasto de la dirección general</t>
  </si>
  <si>
    <t xml:space="preserve">Sin presupuesto propio (órgano colegiado sin dotación diferenciada, Decreto 53/2020 arts. 8.6 y 10); sin personal propio según la norma; coste de apoyo no cuantificado</t>
  </si>
  <si>
    <t xml:space="preserve">Art. 10 Decreto 53/2020: apoyo administrativo y material desde la dirección general. Art. 8.6: los miembros no perciben remuneración ni indemnización por asistir. Los vocales no son plantilla. No se han cuantificado los empleados de apoyo ni su coste; no prorratear el presupuesto de la dirección general.</t>
  </si>
  <si>
    <t xml:space="preserve">Funciones consultivas revisadas: Seguimiento, evaluación, recomendaciones e informes sobre asuntos sometidos a su criterio</t>
  </si>
  <si>
    <t xml:space="preserve">Decreto 53/2020 arts 3,4</t>
  </si>
  <si>
    <t xml:space="preserve">https://boc.cantabria.es/boces/verAnuncioAction.do?idAnuBlob=352798</t>
  </si>
  <si>
    <t xml:space="preserve">Paralelo a Observatorio Estatal de Violencia sobre la Mujer: cada nivel actúa con sus propios fondos o competencias. 11 organismos sobre este tema entre el Estado y las CCAA (verificados).</t>
  </si>
  <si>
    <t xml:space="preserve">Apoyo: La DG competente en igualdad y mujer presta el apoyo administrativo y material (art. 10 Decreto 53/2020); secretaría a cargo de un funcionario designado por esa DG. vocales: 20. miembros: no retribuidos (art. 8.6 Decreto 53/2020: la asistencia «no genera ningún derecho económico en concepto de remuneración o indemnización»).</t>
  </si>
  <si>
    <t xml:space="preserve">Agencia Balear de Digitalización, Ciberseguridad y Telecomunicaciones (ABDigital)</t>
  </si>
  <si>
    <t xml:space="preserve">Transformación EPE a organismoautónomo2026; integraciónparcial de IBIT yotrosentes, no creaciónfuncionalexnovo</t>
  </si>
  <si>
    <t xml:space="preserve">2025-07-23; efectos2026-01-01</t>
  </si>
  <si>
    <t xml:space="preserve">Ley6/2025 DF5 modifica art38Ley18/2016; Decreto63/2025 estatutos</t>
  </si>
  <si>
    <t xml:space="preserve">Sistemas/serviciosTIC, digitalizaciónadministrativa, ciberseguridad, telecomunicaciones y comunicacionesseguridad/emergencias.</t>
  </si>
  <si>
    <t xml:space="preserve">Potestadesadministrativas para ejecución/gestión y fomento, exceptuadaexpropiación; medio propio yserviciotécnico. LeyDF5/estatutoarts3-6.</t>
  </si>
  <si>
    <t xml:space="preserve">2026, prórroga del presupuesto 2025 (estados numéricos)</t>
  </si>
  <si>
    <t xml:space="preserve">Presupuesto prorrogado 2026 (no hay ley 2026; Ordre 39/2025, BOIB núm. 173 de 30/12/2025). 'Estados numéricos generales' de la prórroga 2026: sección 72 'Agencia Balear de Digitalización, Ciberseguridad y Telec.', total 50.694.693 EUR (50,694693 M); cap.1 personal 22,553642 M, cap.2 servicios 9,113680 M, cap.6 inversiones 19,027371 M (cotejo visual anterior, p. 2). Sin cap.7. El total de la EPE en 2025 (14,545724 M) no es comparable por cambio de perímetro (organismo autónomo desde 01/01/2026); no sumar presupuestos del IBIT. Crédito prorrogado, no ejecución.</t>
  </si>
  <si>
    <t xml:space="preserve">Prórroga 2026, estados numéricos CAIB; comprobado 11/10/2026</t>
  </si>
  <si>
    <t xml:space="preserve">ReformaOA vigente desde01/01/2026; secciónpresupuestariapropia2026. Actividadindividual no auditadaexhaustivamente.</t>
  </si>
  <si>
    <t xml:space="preserve">OrigenEPE2016/2017, cambio nombre2024 y transformaciónOA2026. IBIT integra personal/funciones seleccionados, no fundaciónconvertida íntegramente.</t>
  </si>
  <si>
    <t xml:space="preserve">Sucesión y concentración de funciones</t>
  </si>
  <si>
    <t xml:space="preserve">SucesoraEPEABDigital; absorciónparcialTIC deIBIT yotrosentes. Coincidencia funcional no prueba desperdicio ni doblefinanciación.</t>
  </si>
  <si>
    <t xml:space="preserve">https://www.caib.es/eboibfront/eli/es-ib/d/2025/12/19/63/dof/spa/pdf</t>
  </si>
  <si>
    <t xml:space="preserve">https://www.boe.es/diario_boe/txt.php?id=BOE-A-2025-22028
https://www.caib.es/eboibfront/eli/es-ib/d/2025/12/19/63/dof/spa/pdf
https://www.caib.es/sites/pressuposts/f/540093
https://www.caib.es/sites/pressuposts/es/archivopub.do?ctrl=MCRST226ZI540093&amp;id=540093
https://www.caib.es/sites/pressuposts/ca/prorroga_del_pressupost_per_a_lany_2026/
https://www.caib.es/sites/transparencia/ca/1131_ens_del_sector_pablic_instrumental_autonamic/archivopub.do?ctrl=MCRST9345ZI302709&amp;id=302709</t>
  </si>
  <si>
    <t xml:space="preserve">Cap.1: crédito inicial 2026 del presupuesto prorrogado, sección 72; no es nómina pagada</t>
  </si>
  <si>
    <t xml:space="preserve">Verificado en PDFoficial, página2</t>
  </si>
  <si>
    <t xml:space="preserve">Presupuesto y capítulo 1 2026 (prórroga) verificados; ocupación y ejecución no verificadas</t>
  </si>
  <si>
    <t xml:space="preserve">DAsegundaDecreto63/2025: subrogación personalEPE ypersonalIBIT/otrosentes ligado funciones; no cifraocupados inferida.</t>
  </si>
  <si>
    <t xml:space="preserve">Revisado: asistencia técnica ygestión digital</t>
  </si>
  <si>
    <t xml:space="preserve">No informe preceptivo general deleyes identificado en funcionesestatutoart4. Excluye simplificaciónnormativa(4.1b).</t>
  </si>
  <si>
    <t xml:space="preserve">No consentimiento favorable ni veto normativo general establecido en cláusulasrevisadas.</t>
  </si>
  <si>
    <t xml:space="preserve">Asesoramiento/serviciostécnicos no vetoparlamentario. Revisiónacotadaestatuto, no auditoríatodareglasectorial.</t>
  </si>
  <si>
    <t xml:space="preserve">Decreto63/2025 estatutoarts3,4,6</t>
  </si>
  <si>
    <t xml:space="preserve">Instituto Balear de la Energía (IBE)</t>
  </si>
  <si>
    <t xml:space="preserve">Creación legal2019 como entidadpúblicaempresarial</t>
  </si>
  <si>
    <t xml:space="preserve">Ley10/2019 art8; Decreto83/2019 estatutos</t>
  </si>
  <si>
    <t xml:space="preserve">Eficiencia/ahorro/renovables, iniciativaenergéticapública, comercializaciónenergía, estudiosclimáticos y apoyoenergético municipios.</t>
  </si>
  <si>
    <t xml:space="preserve">Promueve/gestiona proyectosenergía, participa sociedades yayudas; colaboración/datos obligatorios art8.6. PotestadesEPE salvoexpropiación; no reguladorgeneral energético.</t>
  </si>
  <si>
    <t xml:space="preserve">2026, prórroga del presupuesto 2025 (estados numéricos declarados por Resolución de 29/01/2026)</t>
  </si>
  <si>
    <t xml:space="preserve">Presupuesto prorrogado 2026 del IBE (código 19.E24): Resolució del conseller d'Economia, Hisenda i Innovació que declara los estados numéricos del presupuesto prorrogado 2026 de los entes del sector público empresarial y fundacional (firmada 29/01/2026), anexo estado de gastos p. 5/8, euros: cap.1 1.221.805; cap.2 2.068.125; cap.3 495; cap.6 22.051.192; cap.7 3.000.000; total 28.341.617 (28,341617 M). Ingresos p. 6/8, total 28.341.617, de los que activos financieros (cap.8) 22.156.260, transferencias de capital 4.336.274, transferencias corrientes 1.249.083 y tasas/otros 600.000. Presupuesto estimativo de EPE, no ejecución; sobre todo inversión. Referencia 2025 (Ley 6/2025 anexo 8): 25,8955 M; diferencia no conciliada.</t>
  </si>
  <si>
    <t xml:space="preserve">Prórroga 2026, Resolución de 29/01/2026; comprobado 11/10/2026</t>
  </si>
  <si>
    <t xml:space="preserve">EPE con presupuesto prorrogado propio 2026 (Resolución de 29/01/2026); ficha de transparencia actualizada 13/03/2026. Operación 2026 no auditada individualmente.</t>
  </si>
  <si>
    <t xml:space="preserve">Base 2026: prórroga declarada por resolución, no ley aprobada. Alcance parcial del control del estado actual.</t>
  </si>
  <si>
    <t xml:space="preserve">Competencias compartidas / complementariedad posible</t>
  </si>
  <si>
    <t xml:space="preserve">119;122</t>
  </si>
  <si>
    <t xml:space="preserve">Mandatoenergético comparable a otros entesregionales, en territoriosdistintos. Paralelismono prueba financiaciónduplicada.</t>
  </si>
  <si>
    <t xml:space="preserve">https://www.boe.es/buscar/pdf/2019/BOE-A-2019-5579-consolidado.pdf</t>
  </si>
  <si>
    <t xml:space="preserve">https://www.boe.es/buscar/pdf/2019/BOE-A-2019-5579-consolidado.pdf
http://www.caib.es/eboibfront/pdf/ca/2019/139/1044876
https://www.caib.es/eboibfront/ConsultaAnnexe?idAnnexe=289609
https://www.caib.es/sites/pressuposts/f/544562
https://www.caib.es/sites/transparencia/ca/1131_ens_del_sector_pablic_instrumental_autonamic/archivopub.do?ctrl=MCRST9345ZI310026&amp;id=310026</t>
  </si>
  <si>
    <t xml:space="preserve">https://www.caib.es/eboibfront/ConsultaAnnexe?idAnnexe=289609</t>
  </si>
  <si>
    <t xml:space="preserve">Cap.1 gastos de personal del presupuesto prorrogado 2026 (estado de gastos de la EPE por capítulos, Resolución de 29/01/2026, p. 5/8); presupuesto estimativo</t>
  </si>
  <si>
    <t xml:space="preserve">Previsión presupuestaria de EPE (estimativa), no gasto realizado ni solo salarios</t>
  </si>
  <si>
    <t xml:space="preserve">https://www.caib.es/sites/pressuposts/f/544562</t>
  </si>
  <si>
    <t xml:space="preserve">Presupuesto y capítulo 1 2026 (prórroga) verificados; ocupación y ejecución pendientes</t>
  </si>
  <si>
    <t xml:space="preserve">Revisado: asesoramiento e informes técnicosenergéticos</t>
  </si>
  <si>
    <t xml:space="preserve">Leyart8.4g,j,k,l yestatutoart4: informes/asesoramientotécnico. No informe preceptivo generaldeleyes identificado allí.</t>
  </si>
  <si>
    <t xml:space="preserve">No consentimientofavorable ni vetolegalgeneral en cláusulasrevisadas.</t>
  </si>
  <si>
    <t xml:space="preserve">InformesConsejoBalearClima/ComitéExpertos misma ley no poderIBA. Pasadacitada no descarta todareglasectorial.</t>
  </si>
  <si>
    <t xml:space="preserve">Ley10/2019 art8; Decreto83/2019 estatutoart4</t>
  </si>
  <si>
    <t xml:space="preserve">https://www.boe.es/buscar/pdf/2019/BOE-A-2019-5579-consolidado.pdf
http://www.caib.es/eboibfront/pdf/ca/2019/139/1044876</t>
  </si>
  <si>
    <t xml:space="preserve">Cap.1 2025 inicial (Ley 6/2025 anexo 8, p. 15; dato previo de la ficha): 1,085125 M. Cap.1 2026 prorrogado: 1,221805 M. No se concilia la diferencia. Las cuentas anuales 2025 de la EPE están en el Compte General 2025 (apartado EPE), pero no son legibles (web en marcos).</t>
  </si>
  <si>
    <t xml:space="preserve">Observatorio Nacional de Seguridad Vial (ONSV)</t>
  </si>
  <si>
    <t xml:space="preserve">Unidad nueva de la Dirección General de Tráfico (OA Jefatura Central de Tráfico) creada por real decreto de estructura; vigente según la DGT</t>
  </si>
  <si>
    <t xml:space="preserve">2004-07-02</t>
  </si>
  <si>
    <t xml:space="preserve">RD 1599/2004, art. 10.3 (derogado por RD 991/2006); regulación vigente en el RD 207/2024, modificado por RD 328/2026 (artículo no verificado)</t>
  </si>
  <si>
    <t xml:space="preserve">Estadísticas e indicadores de siniestralidad, Registro Nacional de Víctimas de Accidentes de Tráfico, planes y estrategias de seguridad vial, consulta y participación a través del Consejo Superior de Tráfico, Seguridad Vial y Movilidad Sostenible, atención a víctimas, estudios e investigación, relaciones internacionales y datos abiertos.</t>
  </si>
  <si>
    <t xml:space="preserve">Juicio: unidad técnica con funciones reales (estadística de siniestralidad, registro de víctimas, preparación de las estrategias de seguridad vial), sin potestad sancionadora ni reguladora propia; su peso deriva de la DGT.</t>
  </si>
  <si>
    <t xml:space="preserve">Sin presupuesto propio (verificado en norma de creación). RD 1599/2004, de 2 de julio (BOE 03/07/2004), art. 10.3: las funciones del párrafo 1.b (impulso de políticas de seguridad vial, investigación y análisis de datos y estadísticas) «serán ejercidas a través del Observatorio Nacional de Seguridad Vial, que se crea por este real decreto», «cuya estructura se determinará en la correspondiente relación de puestos de trabajo». DA 3.ª: el real decreto «no supondrá incremento de gasto público». Es una unidad del OA Jefatura Central de Tráfico, cuyo presupuesto absorbe su coste; no se prorratea y no equivale a cero. No se ha identificado partida, convenio ni contrato a su nombre.</t>
  </si>
  <si>
    <t xml:space="preserve">Consulta 14/10/2026 para normas y actividad</t>
  </si>
  <si>
    <t xml:space="preserve">Creado en 2004 y en funcionamiento: la DGT lo incluye en su estructura vigente (RD 207/2024, modificado por RD 328/2026).</t>
  </si>
  <si>
    <t xml:space="preserve">No se ha leído el artículo vigente del RD 207/2024 que lo regula (el texto consolidado del BOE no se pudo leer hasta el artículo de la DGT); funciones actuales tomadas de la web oficial de la DGT. Puestos RPT y efectivos no verificados.</t>
  </si>
  <si>
    <t xml:space="preserve">Revisión cualitativa del mandato frente a las fichas del inventario; no auditoría exhaustiva. No se ha contrastado con observatorios autonómicos o locales de seguridad vial.</t>
  </si>
  <si>
    <t xml:space="preserve">https://www.boe.es/buscar/doc.php?id=BOE-A-2004-12473
https://www.dgt.es/conoce-la-dgt/quienes-somos/estructura/index.html
https://revista.dgt.es/Galerias/hemeroteca/revista/N-270-SUP.pdf
https://www.boe.es/buscar/act.php?id=BOE-A-2024-3793
https://www.boe.es/buscar/doc.php?id=BOE-A-2026-9079
https://www.boe.es/eli/es/rd/2004/07/02/1599</t>
  </si>
  <si>
    <t xml:space="preserve">14/10/2026</t>
  </si>
  <si>
    <t xml:space="preserve">Sin plantilla propia diferenciada publicada: su estructura se fija en la RPT de la Jefatura Central de Tráfico (art. 10.3 RD 1599/2004); efectivos no localizados</t>
  </si>
  <si>
    <t xml:space="preserve">Sin crédito de personal propio: el coste lo absorbe el OA Jefatura Central de Tráfico (DA 3.ª RD 1599/2004: sin incremento de gasto); no se prorratea</t>
  </si>
  <si>
    <t xml:space="preserve">Sin ejecución de personal propia: el gasto está incluido en la Jefatura Central de Tráfico; no se prorratea</t>
  </si>
  <si>
    <t xml:space="preserve">No tiene presupuesto ni capítulo 1 propios (RD 1599/2004, art. 10.3 y DA 3.ª, verificado). Tiene puestos en la RPT de la Jefatura Central de Tráfico, sin cifra publicada localizada. No se ha identificado importe contextual.</t>
  </si>
  <si>
    <t xml:space="preserve">Es una unidad administrativa, no un órgano colegiado: no tiene vocales. Tiene un director (la DGT publica la biografía de su director actual, Álvaro Gómez). Sus puestos están en la RPT de la Jefatura Central de Tráfico (art. 10.3 RD 1599/2004); número no localizado. No repartir el gasto de la DGT.</t>
  </si>
  <si>
    <t xml:space="preserve">Estadística, planificación y gestión de procesos de consulta y participación a través del Consejo Superior de Tráfico, Seguridad Vial y Movilidad Sostenible</t>
  </si>
  <si>
    <t xml:space="preserve">No se ha identificado informe preceptivo atribuido al Observatorio en las funciones revisadas</t>
  </si>
  <si>
    <t xml:space="preserve">No poder de veto atribuido en funciones revisadas. Preparar estrategias o gestionar consultas no equivale a aprobar normas; no certifica ausencia de reglas sectoriales posteriores.</t>
  </si>
  <si>
    <t xml:space="preserve">RD 1599/2004 art. 10.3 (origen); funciones vigentes según web DGT</t>
  </si>
  <si>
    <t xml:space="preserve">https://www.boe.es/buscar/doc.php?id=BOE-A-2004-12473</t>
  </si>
  <si>
    <t xml:space="preserve">No es un órgano consultivo, sino la unidad de la DGT que produce la estadística de siniestralidad, lleva el Registro Nacional de Víctimas y prepara los planes de seguridad vial. Lo que sobra es el nombre de observatorio, no la función. Se creó sin aumento de gasto (DA 3.ª RD 1599/2004).</t>
  </si>
  <si>
    <t xml:space="preserve">Aplicando el criterio del P100: Costes del Estado 2 y 9 (función técnica que nadie más presta)</t>
  </si>
  <si>
    <t xml:space="preserve">Seguridad vial (estadística y registro de víctimas)</t>
  </si>
  <si>
    <t xml:space="preserve">Apoyo: Es en sí una unidad de la DGT (OA Jefatura Central de Tráfico). puestos asignados según fuente oficial: Puestos en la RPT de la Jefatura Central de Tráfico (art. 10.3 RD 1599/2004); número no localizado. gasto con nombre propio: No; DA 3.ª RD 1599/2004: sin incremento de gasto público.</t>
  </si>
  <si>
    <t xml:space="preserve">Observatorio Militar para la Igualdad entre Mujeres y Hombres en las Fuerzas Armadas</t>
  </si>
  <si>
    <t xml:space="preserve">Órgano nuevo en 2005 (Observatorio de la Mujer en las Fuerzas Armadas); cambio de nombre y regulación por OM 51/2011 (Zapatero); nueva regulación como órgano colegiado del art. 22.3 Ley 40/2015 por Orden DEF/111/2019 (Sánchez)</t>
  </si>
  <si>
    <t xml:space="preserve">2005-03-04</t>
  </si>
  <si>
    <t xml:space="preserve">Acuerdo del Consejo de Ministros de 04/03/2005, publicado por Orden DEF/524/2005, de 7 de marzo (BOE-A-2005-3769), anexo I.1: «Se crea el Centro de estudio sobre la situación de la mujer en las Fuerzas Armadas (Observatorio de la Mujer en las FAS)»; también Orden PRE/525/2005, de 7 de marzo (apartado 1.6.a: «Se crea el Observatorio de la Mujer en las Fuerzas Armadas»); OM 51/2011, de 28 de julio (nombre actual); Orden DEF/111/2019, de 8 de febrero (BOE núm. 35, de 09/02/2019)</t>
  </si>
  <si>
    <t xml:space="preserve">Analizar cómo la carrera militar afecta a la igualdad real y a la conciliación y proponer mejoras; seguir el Comité de Perspectivas de Género de la OTAN y la agenda mujeres, paz y seguridad; analizar estadísticas de mujeres en las FAS; difundir información para la integración de la mujer; tratar cuestiones de igualdad y conciliación; conocer, cuando proceda, las MAIN de Defensa (art. 2 Orden DEF/111/2019).</t>
  </si>
  <si>
    <t xml:space="preserve">Juicio: órgano asesor interno de la Subsecretaría de Defensa, sin potestades decisorias; sus conclusiones pueden convertirse en propuestas para los órganos directivos (preámbulo). Su Secretaría Permanente de Igualdad sí tiene funciones de gestión: consultoría (unas 650 consultas al año según la RED, enero de 2020) e informe preceptivo de recursos de alzada sobre conciliación.</t>
  </si>
  <si>
    <t xml:space="preserve">Sin presupuesto propio (verificado en norma). Orden DEF/111/2019, art. 1.1: «órgano colegiado de los previstos en el artículo 22.3» de la Ley 40/2015, integrado en la Subsecretaría de Defensa. Art. 3.2: su funcionamiento se atiende con los medios materiales y recursos humanos existentes en el Ministerio de Defensa. Disposición adicional única: composición y funcionamiento del Observatorio y de la Secretaría Permanente de Igualdad con medios del Ministerio, «sin que la aprobación de esta norma suponga incremento de gasto público». Art. 4.2: la Secretaría Permanente de Igualdad (División de Igualdad y Apoyo al Personal, DG de Personal) «dispondrá de los medios personales que se determinen en la correspondiente relación de puestos de trabajo y relación de puestos militares». La orden no regula retribución ni indemnizaciones de los vocales. El coste lo absorbe el Ministerio de Defensa. No se prorratea y tampoco equivale a cero.</t>
  </si>
  <si>
    <t xml:space="preserve">31/08/2026, salvo indicación distinta; consulta 14/10/2026 para norma</t>
  </si>
  <si>
    <t xml:space="preserve">Creado 2005, renombrado 2011, regulado de nuevo en 2019; en funcionamiento (Pleno citado en la Revista Española de Defensa, enero de 2020).</t>
  </si>
  <si>
    <t xml:space="preserve">La OM 51/2011 (BOD) no se ha leído. Plantilla de la Secretaría Permanente de Igualdad no publicada. La identidad entre el «Centro de estudio» citado en el preámbulo de 2019 y el Observatorio de 2005 la confirma la Orden DEF/524/2005 (anexo I.1).</t>
  </si>
  <si>
    <t xml:space="preserve">Relación funcional parcial identificada (juicio): conciliación en las Fuerzas Armadas</t>
  </si>
  <si>
    <t xml:space="preserve">9</t>
  </si>
  <si>
    <t xml:space="preserve">Solapamiento parcial con el Observatorio de la Vida Militar (ID9), al que el art. 54.c) de la LO 9/2011 encarga proponer medidas de conciliación de los militares; la Orden DEF/111/2019 (art. 2.a y 2.e) atribuye al Observatorio Militar la conciliación junto con la igualdad. El de la Vida Militar está adscrito a las Cortes y el Militar para la Igualdad es interno de Defensa. Revisión cualitativa, no auditoría de funciones.</t>
  </si>
  <si>
    <t xml:space="preserve">https://www.boe.es/diario_boe/txt.php?id=BOE-A-2011-12961
https://www.boe.es/buscar/doc.php?id=BOE-A-2019-1785</t>
  </si>
  <si>
    <t xml:space="preserve">https://www.boe.es/buscar/doc.php?id=BOE-A-2019-1785
https://www.mites.gob.es/ficheros/ministerio/igualdad/Orden_PRE525_2005.pdf
https://working.mde.es/Galerias/gabinete/red/2020/01/p-18-19-21-red-368-aramendia.pdf
https://www.boe.es/diario_boe/txt.php?id=BOE-A-2011-12961
https://www.boe.es/boe/dias/2005/03/08/pdfs/A08109-08110.pdf</t>
  </si>
  <si>
    <t xml:space="preserve">Sin plantilla propia del Observatorio (verificado en norma: art. 3.2 y disposición adicional única de la Orden DEF/111/2019). La Secretaría Permanente de Igualdad tiene medios fijados en RPT/RPM (art. 4.2), sin cifra publicada; los vocales no son plantilla</t>
  </si>
  <si>
    <t xml:space="preserve">Sin crédito de personal propio: el coste lo absorbe el Ministerio de Defensa (disposición adicional única de la Orden DEF/111/2019); no se prorratea</t>
  </si>
  <si>
    <t xml:space="preserve">No tiene presupuesto, plantilla ni capítulo 1 propios (Orden DEF/111/2019, art. 3.2 y disposición adicional única, verificado). Defensa aporta medios y la Secretaría Permanente de Igualdad, sin prorrateo. No se ha identificado importe contextual</t>
  </si>
  <si>
    <t xml:space="preserve">Sin plantilla propia publicada. Presidencia: titular de la Subsecretaría de Defensa; vicepresidencia: DG de Personal; además, el titular de la División de Igualdad y Apoyo al Personal. 17 vocales titulares con suplente (EMAD, 9 de unidades de la Fuerza por escalas y Ejércitos, 2 de Cuerpos Comunes, SEGENPOL, DIGEREM, 2 de DIGENPER, uno de ellos secretario, y Gabinete Técnico de la Subsecretaría), con al menos diez años de servicio (art. 1.3-1.4). Apoyo administrativo y técnico: Secretaría Permanente de Igualdad, con puestos en RPT/RPM no publicados (art. 4). La orden no regula retribución ni indemnizaciones. No repartir el gasto de Defensa.</t>
  </si>
  <si>
    <t xml:space="preserve">Conoce, cuando se considere necesario, las MAIN de anteproyectos y proyectos de Defensa (art. 2.f); la Secretaría Permanente asesora en los informes de impacto de género (art. 4.3)</t>
  </si>
  <si>
    <t xml:space="preserve">Solo administrativo: la Secretaría Permanente de Igualdad informa preceptivamente los recursos de alzada en materia de conciliación (art. 4.3.n). No informe preceptivo sobre proyectos normativos (el art. 2.f solo prevé «conocer» las MAIN)</t>
  </si>
  <si>
    <t xml:space="preserve">No poder de veto. El informe preceptivo sobre recursos de alzada es un trámite del procedimiento de recurso, no de aprobación de normas; omitirlo podría generar un vicio procedimental en ese recurso.</t>
  </si>
  <si>
    <t xml:space="preserve">Orden DEF/111/2019 arts. 2.f y 4.3</t>
  </si>
  <si>
    <t xml:space="preserve">https://www.boe.es/buscar/doc.php?id=BOE-A-2019-1785</t>
  </si>
  <si>
    <t xml:space="preserve">Observatorio o consejo asesor: el P100 los cierra salvo que su ministerio demuestre que su trabajo cambia decisiones o mejora un servicio; publicar informes no cuenta.</t>
  </si>
  <si>
    <t xml:space="preserve">Apoyo: Secretaría Permanente de Igualdad (División de Igualdad y Apoyo al Personal, DG de Personal), con medios personales fijados en RPT/RPM (art. 4.2 Orden DEF/111/2019). vocales: 17 vocales titulares con suplente más presidencia (Subsecretario), vicepresidencia (DG de Personal) y titular de la División de Igualdad (art. 1.2-1.3). gasto con nombre propio: No: medios existentes de Defensa, «sin que la aprobación de esta norma suponga incremento de gasto público» (disposición adicional única; art. 3.2).</t>
  </si>
  <si>
    <t xml:space="preserve">Observatorio Permanente del Mercado de los Servicios Portuarios</t>
  </si>
  <si>
    <t xml:space="preserve">Constitución efectiva el 29/06/2012 (Rajoy) de un observatorio creado por la Ley 48/2003, de 26 de noviembre, anterior al corte de 2004; regulación vigente en el art. 123 del TRLPEMM (RDLeg 2/2011, texto refundido). La recreación por la Ley 33/2010 no se ha podido verificar</t>
  </si>
  <si>
    <t xml:space="preserve">2012-06-29 (constitución efectiva; creación legal 2003-11-26)</t>
  </si>
  <si>
    <t xml:space="preserve">Ley 48/2003, de 26 de noviembre (creación; BOE-A-2003-21615); art. 123 TRLPEMM, RDLeg 2/2011 (refundición; procedencia de la Ley 33/2010 pendiente de verificar); acuerdo del Consejo Rector de Puertos del Estado de 29/06/2012 (composición y constitución)</t>
  </si>
  <si>
    <t xml:space="preserve">Analizar las condiciones de competitividad en precios y calidad de los servicios portuarios y acordar las variables de competitividad sobre las que hacer recomendaciones; base del informe anual de competitividad que Puertos del Estado eleva al Ministerio.</t>
  </si>
  <si>
    <t xml:space="preserve">Juicio: órgano consultivo con actividad acreditada (plenos, Documento de Análisis e Informe de Competitividad anuales) pero sin potestad regulatoria, tarifaria ni sancionadora; sus recomendaciones no son vinculantes. Su peso deriva de Puertos del Estado, que lo preside y le da soporte.</t>
  </si>
  <si>
    <t xml:space="preserve">Sin presupuesto propio: órgano sin dotación diferenciada (adscrito a Puertos del Estado; la norma no fija dotación ni cláusula de gasto)</t>
  </si>
  <si>
    <t xml:space="preserve">Sin presupuesto propio. Art. 123.1 TRLPEMM (RDLeg 2/2011), según la transcripción de la Memoria anual 2022 del Observatorio (p. 6): «Se crea un Observatorio Permanente del Mercado de los Servicios Portuarios, adscrito a Puertos del Estado»; «Por acuerdo del Consejo Rector de Puertos del Estado se establecerá la composición y funcionamiento» del Observatorio. Art. 123.2: «Puertos del Estado elaborará un informe anual de competitividad a partir de los análisis y conclusiones» del Observatorio, que se eleva al Ministerio. La norma no asigna dotación ni contiene cláusula de gasto. El coste lo absorbe Puertos del Estado (organismo público con presupuesto propio): presidencia y secretaría las ejercen cargos de Puertos del Estado y, según la Memoria 2022 (p. 20), «Puertos del Estado ha constituido una Oficina Técnica de apoyo» que «presta apoyo y asesoramiento al Observatorio y a Puertos del Estado»; su contrato terminó en junio de 2022 y se licitó uno nuevo en octubre de 2022 (importes no localizados). También encarga estudios (Estrada Port Consulting, KPMG; Memoria 2022, pp. 21-22, sin importes). No se prorratea el presupuesto de Puertos del Estado y no equivale a cero.</t>
  </si>
  <si>
    <t xml:space="preserve">Consulta 14/10/2026 para normas y actividad; última memoria anual localizada: 2022</t>
  </si>
  <si>
    <t xml:space="preserve">Creado (art. 123 TRLPEMM), constituido por el Consejo Rector de Puertos del Estado el 29/06/2012; primer pleno 11/12/2012; 19.º pleno 13/12/2022. Actividad posterior a 2022 no verificada.</t>
  </si>
  <si>
    <t xml:space="preserve">Entra en el inventario por su constitución efectiva en 2012: la creación legal (Ley 48/2003) es anterior al 17/04/2004. No se ha verificado en texto oficial que el observatorio de 2003 no llegara a constituirse ni que la Ley 33/2010 lo recreara. Art. 123 leído en la transcripción de las memorias, no en la página del BOE. Importes de la Oficina Técnica y de los estudios no localizados. Recuento de miembros propio a partir de la tabla de vocales.</t>
  </si>
  <si>
    <t xml:space="preserve">Revisión cualitativa del mandato frente a las fichas del inventario; no auditoría exhaustiva de funciones ni proyectos. No se ha contrastado con las funciones generales de defensa de la competencia de la CNMC (ID24) en servicios portuarios.</t>
  </si>
  <si>
    <t xml:space="preserve">https://www.boe.es/eli/es/rdlg/2011/09/05/2/con
https://observatorio.puertos.es/DOC_PUBLICOS/MEMORIA%20ANUAL%20OBSERVATORIO%202022.pdf
https://observatorio.puertos.es/DOC_PUBLICOS/MEMORIA%20ANUAL%20OBSERVATORIO%202014.pdf
https://www.boe.es/eli/es/l/2003/11/26/48</t>
  </si>
  <si>
    <t xml:space="preserve">Sin plantilla propia: órgano colegiado adscrito a Puertos del Estado; los vocales no son plantilla. Apoyo de una Oficina Técnica contratada por Puertos del Estado (Memoria 2022, p. 20), sin efectivos publicados</t>
  </si>
  <si>
    <t xml:space="preserve">Sin crédito de personal propio: el coste de presidencia, secretaría y Oficina Técnica lo absorbe Puertos del Estado; no se prorratea</t>
  </si>
  <si>
    <t xml:space="preserve">Sin ejecución de personal propia: el gasto está incluido en Puertos del Estado; no se prorratea</t>
  </si>
  <si>
    <t xml:space="preserve">No tiene presupuesto, plantilla ni capítulo 1 propios (art. 123 TRLPEMM: adscrito a Puertos del Estado, verificado en la transcripción oficial de las memorias). Puertos del Estado aporta presidencia, secretaría y una Oficina Técnica contratada, sin importe localizado. No significa 0 EUR.</t>
  </si>
  <si>
    <t xml:space="preserve">Pleno de 42 puestos en 2022 (presidente + 41 vocales, recuento propio de la tabla de la Memoria 2022, pp. 7-9): Puertos del Estado 5 (incluido el secretario), Autoridades Portuarias 4 permanentes y 6 rotatorias, DG de la Marina Mercante 1, prestadores de servicios 6, sindicatos 3 (UGT, CCOO, CEEP), usuarios y cargadores 16. Lo preside el presidente de Puertos del Estado; mandato de los vocales de 2 años renovable (Memoria 2022, p. 7). Grupos de trabajo. Reglamento interno aprobado en el pleno de 11/12/2012. No consta retribución ni dietas de los miembros. Apoyo: Oficina Técnica contratada por Puertos del Estado. No repartir el gasto de Puertos del Estado.</t>
  </si>
  <si>
    <t xml:space="preserve">Análisis de competitividad y recomendaciones no vinculantes a Autoridades Portuarias y prestadores; base del informe anual de competitividad de Puertos del Estado al Ministerio</t>
  </si>
  <si>
    <t xml:space="preserve">No poder de veto legislativo atribuido en funciones revisadas. Recomendar o analizar precios y calidad no equivale a fijar tarifas ni aprobar normas; no certifica ausencia de reglas sectoriales posteriores.</t>
  </si>
  <si>
    <t xml:space="preserve">TRLPEMM (RDLeg 2/2011) art. 123</t>
  </si>
  <si>
    <t xml:space="preserve">https://www.boe.es/eli/es/rdlg/2011/09/05/2/con</t>
  </si>
  <si>
    <t xml:space="preserve">Observatorio de 42 miembros que hace recomendaciones no vinculantes sobre precios y calidad de los servicios portuarios; el informe anual de competitividad lo elabora Puertos del Estado por ley y puede seguir haciéndolo sin el observatorio.</t>
  </si>
  <si>
    <t xml:space="preserve">Explícito en el P100: Costes del Estado 2 (creado por ley: se suprime en la ley de la medida 4)</t>
  </si>
  <si>
    <t xml:space="preserve">Puertos del Estado, que ya elabora el informe anual de competitividad</t>
  </si>
  <si>
    <t xml:space="preserve">Servicios portuarios</t>
  </si>
  <si>
    <t xml:space="preserve">Apoyo: Puertos del Estado: presidencia (presidente de Puertos del Estado), secretaría (cargo de Puertos del Estado) y Oficina Técnica de apoyo contratada (Memoria 2022, p. 20). vocales: 41 vocales + presidente en 2022 (recuento propio, Memoria 2022 pp. 7-9); 36 vocales titulares en 2014 (recuento propio, Memoria 2014). gasto con nombre propio: No: contrato de Oficina Técnica y estudios citados sin importe.</t>
  </si>
  <si>
    <t xml:space="preserve">Observatorio de Igualdad de la Corporación RTVE</t>
  </si>
  <si>
    <t xml:space="preserve">Órgano interno nuevo de la Corporación RTVE (sociedad mercantil estatal, Ley 17/2006)</t>
  </si>
  <si>
    <t xml:space="preserve">2018-02 (según intervención parlamentaria)</t>
  </si>
  <si>
    <t xml:space="preserve">Acuerdo interno de la Corporación RTVE (texto no localizado). Creación en febrero de 2018 acreditada en el Diario de Sesiones de la Comisión Mixta de Control de RTVE (DSCG-14-CM-108, 14/02/2022, p. 4); el catálogo observatoriospublicos.es da el 31/01/2018 (no verificado en fuente oficial)</t>
  </si>
  <si>
    <t xml:space="preserve">Asesoramiento, evaluación, informes, estudios y propuestas en materia de igualdad en RTVE; velar por el cumplimiento de los compromisos legales de igualdad y por la aplicación de los códigos éticos de promoción de la igualdad.</t>
  </si>
  <si>
    <t xml:space="preserve">Juicio: órgano interno consultivo y de seguimiento, sin potestad disciplinaria propia; puede investigar de oficio y derivar casos con recomendaciones a los órganos competentes de la Corporación (Resolución 2/2021 del propio Observatorio). En 2022 seguía pendiente la comparecencia de su presidenta en la Comisión Mixta.</t>
  </si>
  <si>
    <t xml:space="preserve">Sin presupuesto propio identificado: acuerdo de creación no localizado (no verificado en norma)</t>
  </si>
  <si>
    <t xml:space="preserve">Sin presupuesto propio identificado. No se ha localizado el acuerdo de creación ni su «norma de funcionamiento» (citada en la Resolución 2/2021 del Observatorio), por lo que no se ha podido verificar ninguna cláusula de gasto, medios o retribución. En la sesión de la Comisión Mixta de Control de RTVE de 14/02/2022 (DSCG-14-CM-108, pp. 3-8) se describe su creación en febrero de 2018, en el marco del Pacto de Estado contra la Violencia de Género, y sus funciones; no se menciona presupuesto ni medios. Su coste, si lo hay, lo absorbe la Corporación RTVE. No se prorratea y tampoco equivale a cero.</t>
  </si>
  <si>
    <t xml:space="preserve">Consulta 14/10/2026 para actividad y fuentes</t>
  </si>
  <si>
    <t xml:space="preserve">Creado en febrero de 2018 según el Diario de Sesiones; empezó a funcionar «bastante tiempo más tarde» (DSCG-14-CM-108, p. 4); activo en 2021: en mayo se pidió la comparecencia de su presidenta sobre las memorias de 2018-2020 (DSCG-14-CM-108, p. 3).</t>
  </si>
  <si>
    <t xml:space="preserve">Condición 3 acreditada solo de forma indirecta: el acto de creación (acuerdo de la Corporación) no se ha leído y no está publicado en boletín; la fecha procede de una intervención parlamentaria. Composición (representantes de trabajadores, dirección y sindicatos) tomada de prensa. Actividad posterior a 2022 no verificada. Es un órgano interno de una sociedad mercantil estatal, no de la Administración.</t>
  </si>
  <si>
    <t xml:space="preserve">Revisión cualitativa del mandato y estado de las fichas; no auditoría exhaustiva de funciones ni proyectos. Posible relación con la comisión de igualdad del plan de igualdad de la Corporación (no verificada).</t>
  </si>
  <si>
    <t xml:space="preserve">https://www.congreso.es/public_oficiales/L14/CORT/DS/CM/DSCG-14-CM-108.PDF
https://observatorioviolencia.org/wp-content/uploads/2021/03/Comunicado-Observatorio-Igualdad-RTVE.pdf</t>
  </si>
  <si>
    <t xml:space="preserve">Pendiente: sin norma de creación localizada ni cifra de personal publicada; sus miembros (trabajadores, dirección y sindicatos, según prensa) no son plantilla propia</t>
  </si>
  <si>
    <t xml:space="preserve">Pendiente: sin coste de personal individual verificado; en su caso lo absorbe la Corporación RTVE; no se prorratea</t>
  </si>
  <si>
    <t xml:space="preserve">Pendiente: no se ha verificado gasto ejecutado individual</t>
  </si>
  <si>
    <t xml:space="preserve">Sin presupuesto propio identificado; acuerdo de creación no localizado. Personal y salarios: sin cifra individual publicada. No significa 0 EUR. No se ha identificado importe contextual</t>
  </si>
  <si>
    <t xml:space="preserve">Órgano interno de la Corporación RTVE (sociedad mercantil estatal), no del Ministerio. Composición no verificada en fuente oficial (según prensa, representantes de los trabajadores, de la dirección y de los sindicatos). Sus resoluciones llevan cabecera de la Secretaría General. Sin plantilla propia publicada; régimen de retribución o dietas no verificado. No repartir el gasto de la Corporación.</t>
  </si>
  <si>
    <t xml:space="preserve">Ninguno sobre leyes o reglamentos: asesoramiento y seguimiento interno de igualdad en RTVE</t>
  </si>
  <si>
    <t xml:space="preserve">No informe preceptivo identificado en las funciones descritas</t>
  </si>
  <si>
    <t xml:space="preserve">No consentimiento favorable o vinculación normativa identificado</t>
  </si>
  <si>
    <t xml:space="preserve">No poder de veto. Recomendar o derivar casos no equivale a decidir; norma de funcionamiento no leída.</t>
  </si>
  <si>
    <t xml:space="preserve">No localizada (acuerdo interno de la Corporación RTVE)</t>
  </si>
  <si>
    <t xml:space="preserve">https://www.congreso.es/public_oficiales/L14/CORT/DS/CM/DSCG-14-CM-108.PDF</t>
  </si>
  <si>
    <t xml:space="preserve">Observatorio interno de RTVE: su producto son informes y propuestas, que el P100 no cuenta como resultado. Su acuerdo de creación no está publicado.</t>
  </si>
  <si>
    <t xml:space="preserve">Aplicando el criterio del P100: Costes del Estado 2 (aplicado a una sociedad mercantil estatal)</t>
  </si>
  <si>
    <t xml:space="preserve">Dirección de RTVE, si alguna función es imprescindible</t>
  </si>
  <si>
    <t xml:space="preserve">Apoyo: No verificada (sus resoluciones llevan cabecera de la Secretaría General).</t>
  </si>
  <si>
    <t xml:space="preserve">Observatorio de Salud de las Mujeres (OSM)</t>
  </si>
  <si>
    <t xml:space="preserve">Recreación con nueva regulación y nuevo nombre: el Observatorio de Salud de la Mujer (Acuerdo del CM de 05/03/2004, anterior al 17/04/2004) quedó integrado funcionalmente en el Observatorio de la Salud por la Ley 15/2014; el RD 1047/2018 previó su recuperación y el Acuerdo del CM de 01/03/2019 lo crea de nuevo como órgano colegiado</t>
  </si>
  <si>
    <t xml:space="preserve">2019-03-01</t>
  </si>
  <si>
    <t xml:space="preserve">Acuerdo del Consejo de Ministros de 01/03/2019, publicado por Orden PCI/462/2019, de 17 de abril (BOE núm. 97, de 23/04/2019, BOE-A-2019-6060); habilitación previa: RD 1047/2018, disposición final tercera</t>
  </si>
  <si>
    <t xml:space="preserve">Promover la integración del principio de igualdad en las políticas de salud y en el SNS (art. 27 LO 3/2007); obtener y difundir información sobre desigualdades de género en salud; apoyar al Consejo Interterritorial en indicadores y metodología de análisis de género; colaborar en el informe anual de violencia de género del CISNS; seguimiento de actuaciones sobre género y salud (apartado Cuarto).</t>
  </si>
  <si>
    <t xml:space="preserve">Juicio: órgano consultivo y de análisis sin potestades decisorias ni sancionadoras; produce información, indicadores y un programa de acción bienal. Actividad posterior a 2019 no auditada en esta revisión.</t>
  </si>
  <si>
    <t xml:space="preserve">Sin presupuesto propio (verificado en norma). Acuerdo del CM de 01/03/2019 (Orden PCI/462/2019, BOE-A-2019-6060), apartado Tercero: «órgano colegiado» del art. 22.3 de la Ley 40/2015, adscrito al «Ministerio de Sanidad, Consumo y Bienestar Social» (hoy Ministerio de Sanidad) a través de la Dirección General de Salud Pública, Calidad e Innovación. Apartado Séptimo: su funcionamiento «no supondrá incremento del gasto público» y «se atenderá con los medios personales, técnicos y presupuestarios existentes» en el Ministerio. El acuerdo no regula retribución ni dietas de los miembros. La nota de La Moncloa (01/03/2019) no cita presupuesto y recuerda que tras 2014 el órgano quedó «vaciado de recursos». El coste lo absorbe el Ministerio de Sanidad. No se prorratea y tampoco equivale a cero.</t>
  </si>
  <si>
    <t xml:space="preserve">Recreado 01/03/2019 (La Moncloa anuncia su «regulación y constitución»); según una respuesta parlamentaria del Gobierno de 08/10/2024, «sigue siendo parte de la estructura del Ministerio de Sanidad». Fechas de reunión del Pleno no verificadas.</t>
  </si>
  <si>
    <t xml:space="preserve">No se ha verificado si el Pleno se reúne dos veces al año ni si aprobó el programa de acción bienal; la adscripción puede haber cambiado con reestructuraciones posteriores del Ministerio de Sanidad (no revisadas). El antecedente de 2004 es anterior al 17/04/2004: la ficha cuenta solo la recreación de 2019.</t>
  </si>
  <si>
    <t xml:space="preserve">Revisión cualitativa del mandato y estado de las fichas; no auditoría exhaustiva de funciones ni proyectos. Entre 2014 y 2019 sus funciones estuvieron integradas en el Observatorio de Salud del SNS (Ley 15/2014); posible relación temática con los órganos de igualdad y violencia de género, no cotejada con las fichas.</t>
  </si>
  <si>
    <t xml:space="preserve">https://boe.es/boe/dias/2019/04/23/pdfs/BOE-A-2019-6060.pdf
https://www.lamoncloa.gob.es/consejodeministros/Paginas/enlaces/010319-enlaceobservatorio.aspx
https://www.congreso.es/entradap/l15p/e4/e_0043016_n_000.pdf</t>
  </si>
  <si>
    <t xml:space="preserve">Sin plantilla propia (verificado en norma: apartado Séptimo del Acuerdo del CM de 01/03/2019). El Equipo Técnico Permanente lo forman vocales de las subdirecciones del Ministerio; los miembros no son plantilla</t>
  </si>
  <si>
    <t xml:space="preserve">Sin crédito de personal propio: el coste lo absorbe el Ministerio de Sanidad (apartado Séptimo); no se prorratea</t>
  </si>
  <si>
    <t xml:space="preserve">Sin ejecución de personal propia: el gasto está incluido en el Ministerio de Sanidad; no se prorratea</t>
  </si>
  <si>
    <t xml:space="preserve">No tiene presupuesto, plantilla ni capítulo 1 propios (Acuerdo del CM de 01/03/2019, apartado Séptimo, verificado en BOE). Sanidad aporta los medios, sin prorrateo. No se ha identificado importe contextual</t>
  </si>
  <si>
    <t xml:space="preserve">Sin plantilla propia. Presidencia: titular de la Secretaría General de Sanidad y Consumo; dos vicepresidencias (DG de Salud Pública, Calidad e Innovación y SG de Calidad e Innovación); 21 vocalías según La Moncloa (unidades del Ministerio, Escuela Nacional de Sanidad, INGESA, Instituto de la Mujer, Delegación del Gobierno para la Violencia de Género, servicios de salud autonómicos rotatorios, FEMP y organizaciones de mujeres) (apartado Quinto). Secretaría: funcionario de la DG, con voz y sin voto. Equipo Técnico Permanente coordinado por la DG, formado por vocales del Ministerio (apartado Sexto). El acuerdo no regula retribución ni dietas. No repartir el gasto de Sanidad.</t>
  </si>
  <si>
    <t xml:space="preserve">Promoción de la igualdad en políticas de salud; apoyo al CISNS en indicadores; sin función sobre proyectos normativos</t>
  </si>
  <si>
    <t xml:space="preserve">No informe preceptivo general sobre aprobación de leyes identificado en las funciones revisadas (apartado Cuarto)</t>
  </si>
  <si>
    <t xml:space="preserve">No poder de veto atribuido en funciones revisadas. Promover o difundir información no equivale a aprobar normas; no certifica ausencia de reglas sectoriales posteriores.</t>
  </si>
  <si>
    <t xml:space="preserve">Acuerdo CM 01/03/2019 (Orden PCI/462/2019), apartados Tercero, Cuarto y Séptimo</t>
  </si>
  <si>
    <t xml:space="preserve">https://boe.es/boe/dias/2019/04/23/pdfs/BOE-A-2019-6060.pdf</t>
  </si>
  <si>
    <t xml:space="preserve">Apoyo: Equipo Técnico Permanente coordinado por la DG de Salud Pública, Calidad e Innovación, formado por vocales del Ministerio; secretaría: funcionario de la DG, con voz y sin voto (apartados Quinto y Sexto). vocales: Presidencia, dos vicepresidencias y 21 vocalías según La Moncloa (Ministerio, ENS, INGESA, Instituto de la Mujer, DGVG, servicios de salud autonómicos, FEMP y organizaciones de mujeres). gasto con nombre propio: No: «no supondrá incremento del gasto público»; medios existentes del Ministerio (apartado Séptimo).</t>
  </si>
  <si>
    <t xml:space="preserve">Observatorio de Buenas Prácticas Regulatorias</t>
  </si>
  <si>
    <t xml:space="preserve">Órgano nuevo creado por ley en el marco de la Conferencia Sectorial para la Mejora Regulatoria y el Clima de Negocios; gestión atribuida a la Secretaría para la Unidad de Mercado</t>
  </si>
  <si>
    <t xml:space="preserve">Ley 18/2022, art. 6.Veintiuno, que añade la DA 9.ª a la Ley 20/2013; art. 11.b Ley 20/2013 (redacción Ley 18/2022)</t>
  </si>
  <si>
    <t xml:space="preserve">Identificar y seguir las buenas prácticas regulatorias de las Administraciones; elaborar y actualizar un Catálogo de buenas prácticas que aprueba la Conferencia Sectorial; impulsar formación, comunicación y difusión; seguir y difundir las directrices de la UE.</t>
  </si>
  <si>
    <t xml:space="preserve">Juicio: instrumento de seguimiento y difusión sin potestad normativa, sancionadora ni de informe vinculante; su producto (el catálogo) lo aprueba la Conferencia Sectorial. No se ha acreditado funcionamiento diferenciado de la propia Secretaría para la Unidad de Mercado.</t>
  </si>
  <si>
    <t xml:space="preserve">Sin presupuesto propio: órgano sin dotación diferenciada (gestión atribuida por ley a la Secretaría para la Unidad de Mercado; la ley no contiene cláusula de gasto)</t>
  </si>
  <si>
    <t xml:space="preserve">Sin presupuesto propio. DA 9.ª de la Ley 20/2013, añadida por el art. 6.Veintiuno de la Ley 18/2022, de 28 de septiembre (BOE 29/09/2022, en vigor 19/10/2022): «Se crea el Observatorio de Buenas Prácticas Regulatorias en el marco de la Conferencia Sectorial»; «Este órgano estará gestionado por la Secretaría para la Unidad de Mercado». El art. 11.b de la Ley 20/2013 (art. 6.Seis de la Ley 18/2022) atribuye a esa Secretaría la «Gestión del Observatorio de Buenas Prácticas Regulatorias». La DA 9.ª no menciona composición, gasto, medios ni retribución, y en la Ley 18/2022 no se ha localizado cláusula de no incremento de gasto. El coste lo absorbe la Secretaría para la Unidad de Mercado (Ministerio de Economía); no se prorratea y no equivale a cero. Antecedente: la Conferencia Sectorial aprobó el 18/07/2022, antes de la ley, un «Catálogo de Buenas Prácticas Regulatorias y de Clima de Negocios» con más de 90 iniciativas (nota de La Moncloa). No se ha identificado partida, convenio ni contrato a su nombre.</t>
  </si>
  <si>
    <t xml:space="preserve">Creación legal acreditada (2022); funcionamiento como órgano diferenciado no confirmado: sus funciones las gestiona la Secretaría para la Unidad de Mercado en la Conferencia Sectorial.</t>
  </si>
  <si>
    <t xml:space="preserve">Texto literal de la DA 9.ª verificado en el BOE consolidado de la Ley 20/2013 (encargo 31). No se ha podido leer en el texto oficial si la Ley 18/2022 tiene una cláusula general de no incremento de gasto. No se ha verificado actividad posterior a 2022 (actualizaciones del catálogo, reuniones).</t>
  </si>
  <si>
    <t xml:space="preserve">Revisión cualitativa del mandato frente a las fichas del inventario; no auditoría exhaustiva. Comparte ley de origen con el Observatorio Estatal de la Morosidad Privada (ID54), sin solapamiento funcional.</t>
  </si>
  <si>
    <t xml:space="preserve">https://www.boe.es/buscar/act.php?id=BOE-A-2022-15818
https://www.hacienda.gob.es/DocLeyes/REPOSITORIO%20NORMATIVA/79811.htm
https://www.lamoncloa.gob.es/serviciosdeprensa/notasprensa/asuntos-economicos/Paginas/2022/180722-sectorial-regulatoria-negocios.aspx
https://www.boe.es/eli/es/l/2013/12/09/20/con</t>
  </si>
  <si>
    <t xml:space="preserve">Sin plantilla propia: lo gestiona la Secretaría para la Unidad de Mercado (DA 9.ª y art. 11.b Ley 20/2013); sin efectivos asignados publicados</t>
  </si>
  <si>
    <t xml:space="preserve">Sin crédito de personal propio: el coste lo absorbe la Secretaría para la Unidad de Mercado; no se prorratea</t>
  </si>
  <si>
    <t xml:space="preserve">Sin ejecución de personal propia: el gasto está incluido en el Ministerio de Economía; no se prorratea</t>
  </si>
  <si>
    <t xml:space="preserve">No tiene presupuesto, plantilla ni capítulo 1 propios (DA 9.ª y art. 11.b Ley 20/2013, redacción Ley 18/2022). La Secretaría para la Unidad de Mercado lo gestiona, sin prorrateo. No se ha identificado importe contextual.</t>
  </si>
  <si>
    <t xml:space="preserve">La ley no fija composición, vocales ni retribución: es un órgano gestionado por la Secretaría para la Unidad de Mercado dentro de la Conferencia Sectorial para la Mejora Regulatoria y el Clima de Negocios, que preside el titular del Ministerio de Economía e integran los consejeros autonómicos del ramo y un representante de la Administración local (art. 10 Ley 20/2013). No repartir el gasto del Ministerio.</t>
  </si>
  <si>
    <t xml:space="preserve">Identificación, catálogo y difusión de buenas prácticas regulatorias; catálogo aprobado por la Conferencia Sectorial</t>
  </si>
  <si>
    <t xml:space="preserve">No poder de veto legislativo atribuido en funciones revisadas. Catalogar o difundir buenas prácticas no equivale a aprobar normas; no certifica ausencia de reglas sectoriales posteriores.</t>
  </si>
  <si>
    <t xml:space="preserve">Ley 20/2013 DA 9.ª y art. 11.b (redacción Ley 18/2022, art. 6)</t>
  </si>
  <si>
    <t xml:space="preserve">https://www.boe.es/eli/es/l/2013/12/09/20/con</t>
  </si>
  <si>
    <t xml:space="preserve">Creado por ley en 2022 para hacer un catálogo de buenas prácticas regulatorias; no funciona como órgano diferenciado: lo gestiona la Secretaría para la Unidad de Mercado.</t>
  </si>
  <si>
    <t xml:space="preserve">Secretaría para la Unidad de Mercado, que ya lo gestiona</t>
  </si>
  <si>
    <t xml:space="preserve">Mejora regulatoria</t>
  </si>
  <si>
    <t xml:space="preserve">Apoyo: Secretaría para la Unidad de Mercado (Ministerio de Economía), por mandato legal (DA 9.ª y art. 11.b Ley 20/2013). vocales: La ley no prevé vocales propios; actúa en el marco de la Conferencia Sectorial.</t>
  </si>
  <si>
    <t xml:space="preserve">Observatorio de Salud y Cambio Climático (OSCC)</t>
  </si>
  <si>
    <t xml:space="preserve">Órgano colegiado nuevo (art. 22.3 Ley 40/2015), creado por Acuerdo del Consejo de Ministros</t>
  </si>
  <si>
    <t xml:space="preserve">Acuerdo del Consejo de Ministros de 18/07/2023 por el que se crea el Observatorio de Salud y Cambio Climático (texto y certificación de aprobación en sanidad.gob.es; no se ha localizado publicación en BOE)</t>
  </si>
  <si>
    <t xml:space="preserve">Apoyar el análisis, diagnóstico, evaluación y seguimiento de los efectos del cambio climático en la salud: informes de evaluación de riesgos y recomendaciones, sistema de indicadores y de avisos, fomento de la investigación, formación y sensibilización, y apoyo al PESMA, al PNACC y a otros planes (apartado Tercero, funciones a-m).</t>
  </si>
  <si>
    <t xml:space="preserve">Juicio: órgano técnico-consultivo interministerial sin potestades decisorias; el apartado Tercero excluye expresamente las competencias del art. 22.1 Ley 40/2015 (decisión, informe preceptivo o control). Actividad acreditada: segunda reunión el 12/02/2024 para crear grupos de trabajo temáticos.</t>
  </si>
  <si>
    <t xml:space="preserve">Sin presupuesto propio (verificado en norma). Acuerdo del Consejo de Ministros de 18/07/2023, apartado Segundo: «órgano colegiado, de los previstos en el artículo 22.3 de la Ley 40/2015», adscrito al Ministerio de Sanidad a través de la Dirección General de Salud Pública. Apartado Séptimo.1: «La creación del Observatorio no supondrá incremento alguno del gasto público» y funcionará «con los medios personales y materiales de los Ministerios y organismos que participan en su composición». Apartado Séptimo.2: «Los miembros del Observatorio no percibirán remuneración ni dieta alguna por su pertenencia al grupo». La secretaría la desempeña el Ministerio de Sanidad (apartado Cuarto.6). El coste lo absorben Sanidad y los departamentos y organismos representados (MITECO, AEMET, ISCIII, CSIC, CIEMAT, AESAN, Protección Civil). No se prorratea y tampoco equivale a cero. Las notas oficiales de creación (18/07/2023) y de la segunda reunión (13/02/2024) no citan presupuesto ni financiación.</t>
  </si>
  <si>
    <t xml:space="preserve">31/08/2026, salvo indicación distinta; consulta 14/10/2026 para norma y actividad</t>
  </si>
  <si>
    <t xml:space="preserve">Creado 18/07/2023; en funcionamiento: segunda reunión el 12/02/2024 (nota MITECO 13/02/2024). Fecha de la reunión constitutiva no verificada.</t>
  </si>
  <si>
    <t xml:space="preserve">El documento leído es el texto del acuerdo elevado al Consejo de Ministros (sin fecha) con la certificación de su aprobación el 18/07/2023; no se ha localizado su publicación en BOE. Actividad posterior a febrero de 2024 y grupos de trabajo no auditados. Sin cifra de personal de secretaría.</t>
  </si>
  <si>
    <t xml:space="preserve">Revisión cualitativa del mandato y estado de las fichas; no auditoría exhaustiva de funciones ni proyectos. Posible relación temática con órganos de cambio climático del MITECO y con la vigilancia en salud pública (CCAES), no cotejada con las fichas.</t>
  </si>
  <si>
    <t xml:space="preserve">https://www.sanidad.gob.es/areas/sanidadAmbiental/observatorioSaludCambioClimatico/docs/acuerdo_OSCC.pdf
https://miteco.gob.es/content/dam/miteco/es/prensa/23.07.18%20El%20Gobierno%20aprueba%20la%20creación%20del%20Observatorio%20de%20Salud%20y%20Cambio%20Climático.pdf
https://www.miteco.gob.es/es/prensa/ultimas-noticias/2024/febrero/convocado-el-observatorio-de-salud-y-cambio-climatico.html</t>
  </si>
  <si>
    <t xml:space="preserve">Sin plantilla propia (verificado en norma: apartados Cuarto.6 y Séptimo del Acuerdo del CM de 18/07/2023). Secretaría a cargo de un funcionario de la DG de Salud Pública; los miembros no son plantilla</t>
  </si>
  <si>
    <t xml:space="preserve">Sin crédito de personal propio: el coste lo absorben el Ministerio de Sanidad y los departamentos participantes (apartado Séptimo.1); no se prorratea</t>
  </si>
  <si>
    <t xml:space="preserve">Sin ejecución de personal propia: el gasto está incluido en los departamentos participantes; no se prorratea</t>
  </si>
  <si>
    <t xml:space="preserve">No tiene presupuesto, plantilla ni capítulo 1 propios (Acuerdo del CM de 18/07/2023, apartado Séptimo, verificado). Medios de Sanidad y de los departamentos participantes, sin prorrateo. No se ha identificado importe contextual</t>
  </si>
  <si>
    <t xml:space="preserve">Sin plantilla propia. Presidencia: titular de la DG de Salud Pública; vicepresidencia: titular de la DG de la Oficina Española de Cambio Climático; 10 vocalías con rango mínimo de subdirector general (SG de Salud Ambiental y Salud Laboral, ISCIII, SG de Coordinación de Acciones frente al Cambio Climático, AEMET, AESAN, DG de Protección Civil y Emergencias, CSIC, CCAES, CIEMAT y SG de Salud Digital) (apartado Cuarto.1-2). Secretaría: persona de la DG de Salud Pública designada por la presidencia (Cuarto.6). Miembros sin remuneración ni dietas (Séptimo.2). Puede crear grupos de trabajo, coordinables por el ISCIII u otros organismos (Quinto). Mínimo dos reuniones al año (Cuarto.7). No repartir el gasto de Sanidad.</t>
  </si>
  <si>
    <t xml:space="preserve">Apoyo técnico al PESMA y al PNACC y contribución a otros planes (PNIEC, Estrategia de Transición Justa, Estrategia Nacional de Protección Civil); sin función sobre proyectos normativos</t>
  </si>
  <si>
    <t xml:space="preserve">No: el apartado Tercero excluye las competencias del art. 22.1 Ley 40/2015, que incluyen la emisión de informes preceptivos</t>
  </si>
  <si>
    <t xml:space="preserve">No poder de veto ni trámite obligatorio atribuido. Recomendar políticas o apoyar planes no equivale a aprobarlos; no certifica ausencia de reglas sectoriales posteriores.</t>
  </si>
  <si>
    <t xml:space="preserve">Acuerdo CM 18/07/2023, apartados Segundo, Tercero y Séptimo</t>
  </si>
  <si>
    <t xml:space="preserve">https://www.sanidad.gob.es/areas/sanidadAmbiental/observatorioSaludCambioClimatico/docs/acuerdo_OSCC.pdf</t>
  </si>
  <si>
    <t xml:space="preserve">Salud y cambio climático</t>
  </si>
  <si>
    <t xml:space="preserve">Apoyo: Secretaría a cargo del Ministerio de Sanidad: una persona de la DG de Salud Pública designada por la presidencia (apartado Cuarto.6); grupos de trabajo coordinables por el ISCIII (Quinto). vocales: Presidencia (DG Salud Pública), vicepresidencia (DG Oficina Española de Cambio Climático) y 10 vocalías con rango mínimo de subdirector general (apartado Cuarto.1). miembros: No: «no percibirán remuneración ni dieta alguna» (apartado Séptimo.2). gasto con nombre propio: No: «no supondrá incremento alguno del gasto público»; medios de los ministerios y organismos participantes (apartado Séptimo.1).</t>
  </si>
  <si>
    <t xml:space="preserve">Estatal: creación anunciada o en tramitación, no constituida</t>
  </si>
  <si>
    <t xml:space="preserve">Observatorio de la Vivienda Turística</t>
  </si>
  <si>
    <t xml:space="preserve">Creación anunciada por el Gobierno junto a la Estrategia España Turismo 2030; unidad prevista en la Secretaría de Estado de Turismo</t>
  </si>
  <si>
    <t xml:space="preserve">2025-10-21 (aprobación anunciada; instrumento no identificado)</t>
  </si>
  <si>
    <t xml:space="preserve">Aprobación anunciada por el Gobierno el 21/10/2025, junto a la Estrategia España Turismo 2030 (nota de prensa del Ministerio de Industria y Turismo; instrumento jurídico no identificado); anuncio presidencial 08/10/2025</t>
  </si>
  <si>
    <t xml:space="preserve">Elaborar un atlas de intensidad turística por barrios para dar transparencia y conciliar turismo y convivencia con los residentes.</t>
  </si>
  <si>
    <t xml:space="preserve">Juicio: herramienta de información y transparencia sin potestades normativas, de autorización ni sancionadoras; no consta norma de desarrollo, composición ni constitución.</t>
  </si>
  <si>
    <t xml:space="preserve">Sin presupuesto propio: creación aprobada, no constituida; sin dotación ni norma de desarrollo publicadas</t>
  </si>
  <si>
    <t xml:space="preserve">Sin presupuesto propio identificado. La nota del Ministerio de Industria y Turismo de 21/10/2025 («El Gobierno aprueba la Estrategia España Turismo 2030») dice: «El Gobierno aprueba la creación de un Observatorio de la Vivienda Turística», para «elaborar un atlas de intensidad turística». La Moncloa (08/10/2025) lo sitúa «en la Secretaría de Estado de Turismo». Ninguna de las dos fuentes menciona presupuesto, composición, gestor ni plazos. Si se pone en marcha, su coste lo absorbería la Secretaría de Estado de Turismo; no se prorratea y no equivale a cero.</t>
  </si>
  <si>
    <t xml:space="preserve">Creación anunciada o en tramitación, no constituido: aprobación anunciada por el Gobierno el 21/10/2025; sin instrumento de creación, constitución ni atlas localizados a 14/10/2026. La nota de Mintur de 05/05/2026 sobre la Interministerial de Turismo no lo menciona y dice que «se está trabajando en el desarrollo de un Atlas de Intensidad Turística».</t>
  </si>
  <si>
    <t xml:space="preserve">No se ha leído la referencia oficial del Consejo de Ministros de 21/10/2025 ni el texto de la Estrategia, por lo que la forma jurídica (acuerdo, medida de la Estrategia) no está verificada. Puede acabar siendo una herramienta (atlas) más que un órgano.</t>
  </si>
  <si>
    <t xml:space="preserve">Revisión cualitativa del mandato frente a las fichas del inventario; no auditoría exhaustiva. Posible solapamiento, no verificado, con estadísticas oficiales y registros existentes sobre vivienda de uso turístico.</t>
  </si>
  <si>
    <t xml:space="preserve">https://www.mintur.gob.es/es-es/gabineteprensa/notasprensa/2025/documents/20251021%20estrategia%20turismo%20sostenible.pdf
https://www.lamoncloa.gob.es/presidente/actividades/paginas/2025/081025-sanchez-convencion-turespana-caceres.aspx
https://www.mintur.gob.es/es-es/gabineteprensa/notasprensa/2026/documents/20260505%20ndp%20interministerial%20de%20turismo%20y%20estrategia%202030.pdf</t>
  </si>
  <si>
    <t xml:space="preserve">Sin plantilla propia: no constituido; sin composición ni efectivos publicados</t>
  </si>
  <si>
    <t xml:space="preserve">Sin crédito de personal propio: no constituido; no se prorratea el gasto de la Secretaría de Estado de Turismo</t>
  </si>
  <si>
    <t xml:space="preserve">Sin ejecución de personal propia: no constituido; no se prorratea</t>
  </si>
  <si>
    <t xml:space="preserve">Sin presupuesto, plantilla ni capítulo 1 propios: creación aprobada por el Consejo de Ministros y no constituida. No se ha identificado importe contextual. No significa 0 EUR.</t>
  </si>
  <si>
    <t xml:space="preserve">Las fuentes oficiales solo lo sitúan en la Secretaría de Estado de Turismo (Ministerio de Industria y Turismo). No consta composición, vocales, unidad de apoyo ni retribución. No repartir el gasto de la Secretaría de Estado.</t>
  </si>
  <si>
    <t xml:space="preserve">Información y transparencia (atlas de intensidad turística); sin funciones normativas</t>
  </si>
  <si>
    <t xml:space="preserve">No informe preceptivo identificado: no hay norma que le atribuya funciones</t>
  </si>
  <si>
    <t xml:space="preserve">No consentimiento favorable o vinculación normativa establecido</t>
  </si>
  <si>
    <t xml:space="preserve">No poder de veto atribuido. Publicar un atlas no equivale a limitar licencias, que dependen de comunidades autónomas y ayuntamientos; no certifica ausencia de reglas posteriores.</t>
  </si>
  <si>
    <t xml:space="preserve">Sin norma publicada; nota Mintur 21/10/2025</t>
  </si>
  <si>
    <t xml:space="preserve">https://www.mintur.gob.es/es-es/gabineteprensa/notasprensa/2025/documents/20251021%20estrategia%20turismo%20sostenible.pdf</t>
  </si>
  <si>
    <t xml:space="preserve">Observatorio anunciado y no constituido: con el criterio del P100, que cierra los observatorios que no demuestren resultados, lo coherente es no crearlo.</t>
  </si>
  <si>
    <t xml:space="preserve">Vivienda turística</t>
  </si>
  <si>
    <t xml:space="preserve">Apoyo: Secretaría de Estado de Turismo (según La Moncloa, 08/10/2025).</t>
  </si>
  <si>
    <t xml:space="preserve">Observatorio Estatal de la Incapacidad Temporal</t>
  </si>
  <si>
    <t xml:space="preserve">Órgano nuevo anunciado; orden ministerial en tramitación, no publicada ni constituido</t>
  </si>
  <si>
    <t xml:space="preserve">2026-02-09 (anuncio; orden no publicada a 14/10/2026)</t>
  </si>
  <si>
    <t xml:space="preserve">Ninguna publicada: orden ministerial anunciada en la nota de La Moncloa/MISSM de 09/02/2026; no localizada en BOE a 14/10/2026</t>
  </si>
  <si>
    <t xml:space="preserve">Analizar de forma sistemática la incapacidad temporal en España; mejorar su eficacia, equidad y calidad de gestión; detectar tendencias, riesgos y buenas prácticas; apoyar el diseño de políticas públicas basadas en evidencia (según el anuncio, no según una norma).</t>
  </si>
  <si>
    <t xml:space="preserve">Juicio: poder real no acreditado, porque no hay norma publicada ni constitución. El anuncio lo define como «órgano técnico estratégico de análisis», permanente, y le atribuye en abstracto competencias decisorias «que se le asignen», propuestas, informes preceptivos y seguimiento de otros órganos de la AGE, sin concretarlas. La gestión y el control de las bajas siguen en el INSS y las mutuas.</t>
  </si>
  <si>
    <t xml:space="preserve">Pendiente: norma de creación no publicada; dotación no verificable (no equivale a 0)</t>
  </si>
  <si>
    <t xml:space="preserve">Sin cuantificación posible. No hay orden de creación publicada en el BOE a 14/10/2026, así que no se puede comprobar si dirá «sin incremento de gasto» ni si tendrá medios propios. La nota de La Moncloa de 09/02/2026, que anuncia su puesta en marcha «de manera inminente» y su regulación por orden ministerial previa consulta pública, no menciona financiación, coste, medios ni retribución de los miembros. Adscripción anunciada: Secretaría de Estado de la Seguridad Social y Pensiones (MISSM). No se prorratea el presupuesto del MISSM ni del INSS, y eso no equivale a cero. No se ha identificado ningún convenio, contrato ni encargo a su nombre.</t>
  </si>
  <si>
    <t xml:space="preserve">Consulta 14/10/2026 para normas y anuncios (BOE y La Moncloa)</t>
  </si>
  <si>
    <t xml:space="preserve">Creación anunciada o en tramitación, no constituido. Orden ministerial anunciada el 09/02/2026 y no localizada en el BOE a 14/10/2026. La Resolución SESSP de 28/05/2026 (BOE-A-2026-12603) no es su creación.</t>
  </si>
  <si>
    <t xml:space="preserve">Se basa en un anuncio, no en una norma: la composición, las funciones y el carácter preceptivo de los informes pueden cambiar en la orden. No se han localizado el documento de consulta pública previa ni el proyecto de orden. La búsqueda en el BOE por título no es exhaustiva; revisar cuando se publique la orden.</t>
  </si>
  <si>
    <t xml:space="preserve">Revisión cualitativa del mandato frente a las fichas de la hoja; no es una auditoría exhaustiva de funciones ni de proyectos. Proximidad funcional, no orgánica, con la gestión y el control de la IT que ya ejercen el INSS y la Dirección General de Ordenación de la Seguridad Social, que estarán representados en el Observatorio.</t>
  </si>
  <si>
    <t xml:space="preserve">https://www.lamoncloa.gob.es/serviciosdeprensa/notasprensa/inclusion/Paginas/2026/090226-observatorio-incapacidad-temporal.aspx
https://revista.seg-social.es/-/el-gobierno-pone-en-marcha-el-observatorio-de-la-incapacidad-temporal-para-estudiar-como-mejorar-la-salud-y-la-recuperacion-de-los-trabajadores%C2%A0
https://www.boe.es/eli/es/res/2026/05/28/(3)</t>
  </si>
  <si>
    <t xml:space="preserve">Pendiente: órgano no constituido y sin norma publicada; no hay plantilla, unidad de apoyo ni secretaría verificadas; los miembros anunciados no son plantilla</t>
  </si>
  <si>
    <t xml:space="preserve">Pendiente: sin norma ni crédito identificable; no se prorratea el gasto del MISSM ni del INSS</t>
  </si>
  <si>
    <t xml:space="preserve">Pendiente: órgano no constituido; sin gasto ejecutado identificable; no se prorratea</t>
  </si>
  <si>
    <t xml:space="preserve">Sin presupuesto, plantilla ni capítulo 1 verificables: la orden de creación no está publicada a 14/10/2026. Adscripción anunciada a la SESSP (MISSM). No se ha identificado importe contextual. No significa 0 EUR.</t>
  </si>
  <si>
    <t xml:space="preserve">Composición anunciada, no regulada (nota de La Moncloa de 09/02/2026): MISSM (SESSP, DG de Ordenación de la Seguridad Social, INSS); Ministerio de Sanidad (SE de Sanidad, DG de Salud Pública y Equidad en Salud, Comisionado de Salud Mental); CEOE y CEPYME; CCOO y UGT. Se pretende involucrar a las CCAA, que no figuran como miembros. Los vocales no son plantilla. No constan unidad de apoyo, secretaría, dietas ni régimen de retribución de los miembros: dependerán de la orden. No repartir el gasto del MISSM ni del INSS.</t>
  </si>
  <si>
    <t xml:space="preserve">Anunciado, sin norma: análisis, propuestas e informes sobre IT para políticas basadas en evidencia y evaluación de medidas</t>
  </si>
  <si>
    <t xml:space="preserve">Anunciado, no regulado: la nota de 09/02/2026 le atribuye «emitir informes preceptivos que sirvan de base a decisiones de otros órganos». Sin orden publicada no se sabe sobre qué materias; no verificado en norma.</t>
  </si>
  <si>
    <t xml:space="preserve">No establecido: sin norma publicada; el anuncio no atribuye carácter vinculante ni exige consentimiento favorable</t>
  </si>
  <si>
    <t xml:space="preserve">No se le atribuye poder de veto y, sin norma publicada, no hay trámite exigible. Proponer o informar no equivale a aprobar. Si la orden fija informes preceptivos, omitirlos podría plantear una cuestión procedimental; revisar cuando se publique.</t>
  </si>
  <si>
    <t xml:space="preserve">Nota La Moncloa/MISSM 09/02/2026; orden ministerial no publicada</t>
  </si>
  <si>
    <t xml:space="preserve">https://www.lamoncloa.gob.es/serviciosdeprensa/notasprensa/inclusion/Paginas/2026/090226-observatorio-incapacidad-temporal.aspx</t>
  </si>
  <si>
    <t xml:space="preserve">Incapacidad temporal</t>
  </si>
  <si>
    <t xml:space="preserve">Apoyo: No consta (orden no publicada); adscripción anunciada a la Secretaría de Estado de la Seguridad Social y Pensiones. vocales: Anunciados: MISSM (SESSP, DGOSS, INSS), Sanidad (SE de Sanidad, DG de Salud Pública y Equidad en Salud, Comisionado de Salud Mental), CEOE, CEPYME, CCOO, UGT; número de vocales no fijado. gasto con nombre propio: No: sin norma, convenio, contrato ni encargo localizados.</t>
  </si>
  <si>
    <t xml:space="preserve">Observatorio para la Prevención del Tabaquismo</t>
  </si>
  <si>
    <t xml:space="preserve">Recreación en tramitación de un órgano suprimido: creado por la Ley 28/2005 (art. 16, etapa Zapatero), suprimido por la Ley 15/2014 (etapa Rajoy); el proyecto de ley de 2026 lo crea de nuevo como órgano colegiado interadministrativo con otra composición</t>
  </si>
  <si>
    <t xml:space="preserve">2026-07-21</t>
  </si>
  <si>
    <t xml:space="preserve">Proyecto de Ley por la que se modifica la Ley 28/2005 (expte. 121/000110), artículo único, apartado Once (nuevo art. 16); BOCG Congreso, serie A, núm. 111-1, 11/09/2026. Antecedente: Ley 28/2005, de 26 de diciembre, art. 16 (derogado por Ley 15/2014)</t>
  </si>
  <si>
    <t xml:space="preserve">Proponer iniciativas, programas y actividades para cumplir los objetivos de la Ley 28/2005; fijar objetivos de reducción de la prevalencia del tabaquismo y del consumo de productos relacionados; elaborar un informe bienal sobre la situación, aplicación, resultados y cumplimiento de la ley; coordinación entre autoridades en registros sanitarios, comercialización y consumo (nuevo art. 16 del proyecto).</t>
  </si>
  <si>
    <t xml:space="preserve">Juicio: sin poder real actual (no existe desde 2014). Si se aprueba, sería un órgano de coordinación y propuesta sin potestad sancionadora ni normativa; su producto previsto es un informe bienal y unos objetivos de reducción.</t>
  </si>
  <si>
    <t xml:space="preserve">Sin presupuesto propio: órgano no constituido; el proyecto de ley no prevé dotación ni cláusula de gasto (verificado en BOCG)</t>
  </si>
  <si>
    <t xml:space="preserve">Sin presupuesto propio: órgano no constituido. El texto del proyecto (BOCG-15-A-111-1, artículo único, apartado Once, págs. 11-12) lo define como «órgano colegiado interadministrativo», pero no fija adscripción, secretaría ni unidad de apoyo, y no contiene cláusula de «no incremento del gasto», de medios del Ministerio ni de retribución o dietas de sus miembros. La única referencia financiera del proyecto es el art. 17 (destino de la recaudación por sanciones a programas de prevención y control), que no se vincula al Observatorio. El art. 16 original de la Ley 28/2005 lo creaba «en el seno del Ministerio de Sanidad y Consumo» en colaboración con CCAA, sociedades científicas, asociaciones de consumidores y ONG, también sin dotación propia; la Ley 15/2014 lo suprimió e integró sus funciones en el Observatorio de Salud (preámbulo de la Ley 15/2014). Memoria del análisis de impacto normativo no consultada. No se prorratea el gasto de Sanidad y no equivale a cero.</t>
  </si>
  <si>
    <t xml:space="preserve">Consulta 14/10/2026 para normas y tramitación (BOCG de 11/09/2026; plazo de enmiendas hasta 29/09/2026)</t>
  </si>
  <si>
    <t xml:space="preserve">Creación en tramitación, no constituido: anteproyecto en primera vuelta el 09/09/2025 y proyecto de ley aprobado por el Consejo de Ministros el 21/07/2026; publicado en BOCG el 11/09/2026, con competencia legislativa plena de la Comisión de Sanidad (Mesa del Congreso de 08/09/2026) y plazo de enmiendas hasta el 29/09/2026. El órgano anterior (Ley 28/2005, art. 16) fue suprimido por la Ley 15/2014.</t>
  </si>
  <si>
    <t xml:space="preserve">Periodo asignado por el acto de recreación (proyecto de ley de 2026); el órgano original es de la etapa Zapatero (Ley 28/2005) y su actividad entre 2006 y 2014 no se ha verificado. La fecha del Consejo de Ministros de 21/07/2026 consta en el resumen oficial de La Moncloa; la del anteproyecto (09/09/2025) procede de prensa jurídica (la nota de Sanidad no se pudo abrir); el BOCG sí se ha leído. La disposición concreta de la Ley 15/2014 que lo suprime no se ha leído literalmente (la versión consolidada de la Ley 28/2005 en el BOE indica el art. 16 derogado por la Ley 15/2014). El texto puede cambiar en la tramitación parlamentaria.</t>
  </si>
  <si>
    <t xml:space="preserve">Revisión cualitativa del mandato y estado de las fichas; no auditoría exhaustiva de funciones ni proyectos. Sus funciones estuvieron integradas de 2014 a 2026 en el Observatorio de Salud (Ley 15/2014); la coordinación con las CCAA ya existe en el Consejo Interterritorial (art. 15 Ley 28/2005). No cotejado con las fichas.</t>
  </si>
  <si>
    <t xml:space="preserve">https://www.congreso.es/public_oficiales/L15/CONG/BOCG/A/BOCG-15-A-111-1.PDF
https://www.boe.es/eli/es/l/2005/12/26/28
https://www.boe.es/buscar/act.php?id=BOE-A-2014-9467
https://www.lamoncloa.gob.es/consejodeministros/resumenes/paginas/2026/210726-rueda-prensa-ministros.aspx</t>
  </si>
  <si>
    <t xml:space="preserve">Sin plantilla: órgano no constituido; el proyecto no prevé unidad de apoyo ni secretaría (verificado en BOCG-15-A-111-1)</t>
  </si>
  <si>
    <t xml:space="preserve">Sin crédito de personal propio: órgano no constituido; no se prorratea el gasto del Ministerio de Sanidad</t>
  </si>
  <si>
    <t xml:space="preserve">Sin ejecución de personal propia: órgano no constituido</t>
  </si>
  <si>
    <t xml:space="preserve">No tiene presupuesto, plantilla ni capítulo 1 propios: órgano en tramitación, no constituido; el proyecto no contiene cláusula de gasto ni de medios (verificado en BOCG). No se ha identificado importe contextual. No significa 0 EUR una vez constituido</t>
  </si>
  <si>
    <t xml:space="preserve">No constituido; sin plantilla. Composición prevista en el proyecto: DG de Salud Pública y Equidad en Salud (Sanidad), Comisionado para el Mercado de Tabacos (Hacienda), Ministerio de Agricultura, Pesca y Alimentación, Centro de Investigación y Control de la Calidad (Derechos Sociales, Consumo y Agenda 2030), ISCIII, CCAA, sociedades científicas, asociaciones de consumidores y ONG, con presencia equilibrada de mujeres y hombres. El proyecto no fija adscripción, secretaría, unidad de apoyo ni régimen de retribución o dietas. No repartir el gasto de Sanidad.</t>
  </si>
  <si>
    <t xml:space="preserve">Propuesta de iniciativas y objetivos de reducción; informe bienal sobre la aplicación y cumplimiento de la Ley 28/2005 (proyecto en tramitación)</t>
  </si>
  <si>
    <t xml:space="preserve">No informe preceptivo sobre proyectos normativos en el texto del proyecto; el informe bienal es de seguimiento, no un trámite previo a normas</t>
  </si>
  <si>
    <t xml:space="preserve">No consentimiento favorable o vinculación normativa establecido en el texto del proyecto</t>
  </si>
  <si>
    <t xml:space="preserve">No poder de veto atribuido. Proponer iniciativas o fijar objetivos no equivale a aprobar normas; el texto puede cambiar en la tramitación parlamentaria.</t>
  </si>
  <si>
    <t xml:space="preserve">Proyecto de ley 121/000110, artículo único, apartado Once (nuevo art. 16 Ley 28/2005)</t>
  </si>
  <si>
    <t xml:space="preserve">https://www.congreso.es/public_oficiales/L15/CONG/BOCG/A/BOCG-15-A-111-1.PDF</t>
  </si>
  <si>
    <t xml:space="preserve">Observatorio que el proyecto de ley del tabaco vuelve a crear, tras su supresión en 2014: con el criterio del P100 lo coherente es retirarlo del proyecto.</t>
  </si>
  <si>
    <t xml:space="preserve">Explícito en el P100: Costes del Estado 2 (los creados por ley se suprimen en la ley de la medida 4)</t>
  </si>
  <si>
    <t xml:space="preserve">Tabaquismo</t>
  </si>
  <si>
    <t xml:space="preserve">Apoyo: No prevista en el proyecto (sin adscripción ni secretaría fijadas). puestos asignados según fuente oficial: Ninguno (órgano no constituido). vocales: Sanidad (DG de Salud Pública y Equidad en Salud), Comisionado para el Mercado de Tabacos, MAPA, CICC, ISCIII, CCAA, sociedades científicas, asociaciones de consumidores y ONG (nuevo art. 16). gasto con nombre propio: No: el proyecto no contiene cláusula de gasto ni de medios; MAIN no consultada.</t>
  </si>
  <si>
    <t xml:space="preserve">Columna</t>
  </si>
  <si>
    <t xml:space="preserve">Letra</t>
  </si>
  <si>
    <t xml:space="preserve">Valor anterior</t>
  </si>
  <si>
    <t xml:space="preserve">Valor nuevo</t>
  </si>
  <si>
    <t xml:space="preserve">Fila nueva (alta del 14/10/2026)</t>
  </si>
  <si>
    <t xml:space="preserve">Ficha completa añadida al inventario (fondo verde en Hoja 1). Fuentes y verificación en «Verificación y pendientes».</t>
  </si>
  <si>
    <t xml:space="preserve">BV</t>
  </si>
  <si>
    <t xml:space="preserve">BW</t>
  </si>
  <si>
    <t xml:space="preserve">BX</t>
  </si>
  <si>
    <t xml:space="preserve">BY</t>
  </si>
  <si>
    <t xml:space="preserve">BZ</t>
  </si>
  <si>
    <t xml:space="preserve">CA</t>
  </si>
  <si>
    <t xml:space="preserve">CB</t>
  </si>
  <si>
    <t xml:space="preserve">CE</t>
  </si>
  <si>
    <t xml:space="preserve">CF</t>
  </si>
  <si>
    <t xml:space="preserve">U</t>
  </si>
  <si>
    <t xml:space="preserve">Z</t>
  </si>
  <si>
    <t xml:space="preserve">https://www.boe.es/eli/es/rd/2008/02/08/184/con
https://www.igae.pap.hacienda.gob.es/sitios/igae/es-ES/Contabilidad/ContabilidadPublica/CPE/EjecucionPresupuestaria/Documents/ORGANISMOS%2008.%202026.pdf</t>
  </si>
  <si>
    <t xml:space="preserve">AG</t>
  </si>
  <si>
    <t xml:space="preserve">AH</t>
  </si>
  <si>
    <t xml:space="preserve">AI</t>
  </si>
  <si>
    <t xml:space="preserve">AJ</t>
  </si>
  <si>
    <t xml:space="preserve">AK</t>
  </si>
  <si>
    <t xml:space="preserve">AW</t>
  </si>
  <si>
    <t xml:space="preserve">CC</t>
  </si>
  <si>
    <t xml:space="preserve">https://www.boe.es/eli/es/rd/2008/02/08/185
https://www.igae.pap.hacienda.gob.es/sitios/igae/es-ES/Contabilidad/ContabilidadPublica/CPE/EjecucionPresupuestaria/Documents/ORGANISMOS%2008.%202026.pdf
https://www.boe.es/diario_boe/txt.php?id=BOE-A-2013-6732</t>
  </si>
  <si>
    <t xml:space="preserve">https://www.boe.es/eli/es/rd/2015/11/27/1067
https://www.igae.pap.hacienda.gob.es/sitios/igae/es-ES/Contabilidad/ContabilidadPublica/CPE/EjecucionPresupuestaria/Documents/ORGANISMOS%2008.%202026.pdf
https://www.aei.gob.es/en/about-aei/plans-aei/Budget</t>
  </si>
  <si>
    <t xml:space="preserve">BB</t>
  </si>
  <si>
    <t xml:space="preserve">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t>
  </si>
  <si>
    <t xml:space="preserve">AX</t>
  </si>
  <si>
    <t xml:space="preserve">AY</t>
  </si>
  <si>
    <t xml:space="preserve">AZ</t>
  </si>
  <si>
    <t xml:space="preserve">BA</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</si>
  <si>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</si>
  <si>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</si>
  <si>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</si>
  <si>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</si>
  <si>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</si>
  <si>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</si>
  <si>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</si>
  <si>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</si>
  <si>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</si>
  <si>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</si>
  <si>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CS</t>
  </si>
  <si>
    <t xml:space="preserve">https://www.boe.es/eli/es/rd/2014/12/19/1072
https://www.igae.pap.hacienda.gob.es/sitios/igae/es-ES/Contabilidad/ContabilidadPublica/CPE/EjecucionPresupuestaria/Documents/ORGANISMOS%2008.%202026.pdf</t>
  </si>
  <si>
    <t xml:space="preserve">O</t>
  </si>
  <si>
    <t xml:space="preserve">R</t>
  </si>
  <si>
    <t xml:space="preserve">No se ha identificado una línea propia en los cuadros generales consultados. Medios del ministerio, no cero EUR; dotación administrativa individual no cuantificada.</t>
  </si>
  <si>
    <t xml:space="preserve">https://www.boe.es/eli/es/rd/2007/02/23/275
https://www.educacionfpydeportes.gob.es/mc/sgctie/convivencia-escolar/observatorio.html
https://boe.es/boe/dias/2025/11/15/pdfs/BOE-A-2025-23138.pdf</t>
  </si>
  <si>
    <t xml:space="preserve">AO</t>
  </si>
  <si>
    <t xml:space="preserve">AV</t>
  </si>
  <si>
    <t xml:space="preserve">Apoyo ministerial/departamental indicado en el lote y norma de la ficha; gasto individual no desglosado verificado. No repartir gasto total del ministerio. Secretaría y medios del Ministerio de Educación (SG Convivencia); órgano colegiado sin plantilla propia publicada</t>
  </si>
  <si>
    <t xml:space="preserve">CD</t>
  </si>
  <si>
    <t xml:space="preserve">CG</t>
  </si>
  <si>
    <t xml:space="preserve">No se ha obtenido dotación individual actual. Apoyo material y administrativo desde Defensa; no atribuirle todo el programa ministerial.</t>
  </si>
  <si>
    <t xml:space="preserve">https://www.boe.es/diario_boe/txt.php?id=BOE-A-2011-12961
https://www.defensa.gob.es/gabinete/notasPrensa/2014/01/DGC-140114-constitucion-observatorio-01.html</t>
  </si>
  <si>
    <t xml:space="preserve">Apoyo ministerial/departamental indicado en el lote y norma de la ficha; gasto individual no desglosado verificado. No repartir gasto total del ministerio. Apoyo material y administrativo del Ministerio de Defensa</t>
  </si>
  <si>
    <t xml:space="preserve">Sin línea individual identificada en las fuentes consultadas; medios ministeriales. El importe de las becas nacionales NO es su presupuesto.</t>
  </si>
  <si>
    <t xml:space="preserve">https://www.boe.es/buscar/act.php?id=BOE-A-2010-15786
https://www.ull.es/portal/normativa/normativa/real-decreto-1220-2010-de-1-de-octubre-por-el-que-se-crea-el-observatorio-universitario-de-becas-ayudas-al-estudio-y-rendimiento-academico/</t>
  </si>
  <si>
    <t xml:space="preserve">Apoyo ministerial/departamental indicado en el lote y norma de la ficha; gasto individual no desglosado verificado. No repartir gasto total del ministerio. Medios del Ministerio de Universidades</t>
  </si>
  <si>
    <t xml:space="preserve">No se ha identificado línea individual; no equivale a presupuesto cero. Medios del departamento competente.</t>
  </si>
  <si>
    <t xml:space="preserve">Apoyo ministerial/departamental indicado en el lote y norma de la ficha; gasto individual no desglosado verificado. No repartir gasto total del ministerio. Medios del Ministerio para la Transformación Digital y de la Función Pública</t>
  </si>
  <si>
    <t xml:space="preserve">Norma de creación: funcionamiento sin incremento de gasto, incluso asistencias. No se ha identificado línea autónoma actual; personal y secretaría ministeriales. </t>
  </si>
  <si>
    <t xml:space="preserve">Apoyo ministerial/departamental indicado en el lote y norma de la ficha; gasto individual no desglosado verificado. No repartir gasto total del ministerio. Personal y secretaría ministeriales (RD 430/2009: funcionamiento sin incremento de gasto)</t>
  </si>
  <si>
    <t xml:space="preserve">https://www.boe.es/eli/es/lo/2004/12/28/1
https://violenciagenero.igualdad.gob.es/violenciaencifras/observatorio/informesanuales/xviii-informe-anual-del-observatorio-estatal-de-violencia-sobre-la-mujer-2024/</t>
  </si>
  <si>
    <t xml:space="preserve">Apoyo ministerial/departamental indicado en el lote y norma de la ficha; gasto individual no desglosado verificado. No repartir gasto total del ministerio. Financiación con medios del órgano matriz (Delegación del Gobierno contra la Violencia de Género, Ministerio de Igualdad)</t>
  </si>
  <si>
    <t xml:space="preserve">No cuantificado en este lote. El programa de políticas contra violencia de género comprende transferencias y actuaciones más amplias: no equivale a coste de la Delegación. </t>
  </si>
  <si>
    <t xml:space="preserve">Falta extraer la distribución actual del programa y las modificaciones 2026 por aplicación.</t>
  </si>
  <si>
    <t xml:space="preserve">AA</t>
  </si>
  <si>
    <t xml:space="preserve">AB</t>
  </si>
  <si>
    <t xml:space="preserve">AC</t>
  </si>
  <si>
    <t xml:space="preserve">AD</t>
  </si>
  <si>
    <t xml:space="preserve">AL</t>
  </si>
  <si>
    <t xml:space="preserve">AM</t>
  </si>
  <si>
    <t xml:space="preserve">AN</t>
  </si>
  <si>
    <t xml:space="preserve">AP</t>
  </si>
  <si>
    <t xml:space="preserve">BN</t>
  </si>
  <si>
    <t xml:space="preserve">Apoyo ministerial/departamental indicado en el lote y norma de la ficha; gasto individual no desglosado verificado. No repartir gasto total del ministerio. Medios del órgano matriz (M. Derechos Sociales)</t>
  </si>
  <si>
    <t xml:space="preserve">No extraída financiación individual vigente. Convenios/subvenciones para su actividad deben separarse del presupuesto íntegro del Real Patronato.</t>
  </si>
  <si>
    <t xml:space="preserve">https://www.boe.es/diario_boe/txt.php?id=BOE-A-2006-22673
https://observatoriodeladiscapacidad.info/olivenza/2025/informe</t>
  </si>
  <si>
    <t xml:space="preserve">Apoyo ministerial/departamental indicado en el lote y norma de la ficha; gasto individual no desglosado verificado. No repartir gasto total del ministerio. Gestión canalizada por subvención nominativa al CERMI vía Real Patronato sobre Discapacidad (BOE-A-2023-11877): el personal lo emplea el CERMI con la subvención, NO es plantilla pública de la entidad</t>
  </si>
  <si>
    <t xml:space="preserve">No identificada línea individual. El RD dispone personal mediante modificación RPT de Cultura sin incremento del gasto público.</t>
  </si>
  <si>
    <t xml:space="preserve">Apoyo ministerial/departamental indicado en el lote y norma de la ficha; gasto individual no desglosado verificado. No repartir gasto total del ministerio. RD 1574/2007: personal mediante modificación de la RPT de Cultura sin incremento del gasto público - personal ministerial</t>
  </si>
  <si>
    <t xml:space="preserve">https://www.boe.es/diario_boe/txt.php?id=BOE-A-2013-2074
https://www.aesan.gob.es/nutricion/datos-sobrepeso-obesidad</t>
  </si>
  <si>
    <t xml:space="preserve">Apoyo ministerial/departamental indicado en el lote y norma de la ficha; gasto individual no desglosado verificado. No repartir gasto total del ministerio. Medios de AESAN (secretaría)</t>
  </si>
  <si>
    <t xml:space="preserve">https://www.boe.es/diario_boe/txt.php?id=BOE-A-2008-3868
https://rse.mites.gob.es/organismos-y-redes/consejo-estatal-de-rse</t>
  </si>
  <si>
    <t xml:space="preserve">Apoyo ministerial/departamental indicado en el lote y norma de la ficha; gasto individual no desglosado verificado. No repartir gasto total del ministerio. Secretaría y medios del Ministerio de Trabajo y Economía Social</t>
  </si>
  <si>
    <t xml:space="preserve">Apoyo ministerial/departamental indicado en el lote y norma de la ficha; gasto individual no desglosado verificado. No repartir gasto total del ministerio. Secretaría técnica del M. Derechos Sociales</t>
  </si>
  <si>
    <t xml:space="preserve">Apoyo ministerial/departamental indicado en el lote y norma de la ficha; gasto individual no desglosado verificado. No repartir gasto total del ministerio. Medios del Ministerio de Igualdad</t>
  </si>
  <si>
    <t xml:space="preserve">K</t>
  </si>
  <si>
    <t xml:space="preserve">L</t>
  </si>
  <si>
    <t xml:space="preserve">M</t>
  </si>
  <si>
    <t xml:space="preserve">N</t>
  </si>
  <si>
    <t xml:space="preserve">No verificado presupuesto global actual. Convocatoria concreta 2026 para convivencia: 130.000 EUR. Es una línea de ayudas, NO presupuesto total ni transferencia PGE agregada.</t>
  </si>
  <si>
    <t xml:space="preserve">https://www.pluralismoyconvivencia.es/wp-content/uploads/2021/02/Estatutos-FPyC-2021-1.pdf
https://www.boe.es/diario_boe/txt.php?id=BOE-B-2026-29248</t>
  </si>
  <si>
    <t xml:space="preserve">AQ</t>
  </si>
  <si>
    <t xml:space="preserve">AR</t>
  </si>
  <si>
    <t xml:space="preserve">AS</t>
  </si>
  <si>
    <t xml:space="preserve">AT</t>
  </si>
  <si>
    <t xml:space="preserve">AU</t>
  </si>
  <si>
    <t xml:space="preserve">BP</t>
  </si>
  <si>
    <t xml:space="preserve">BR</t>
  </si>
  <si>
    <t xml:space="preserve">BS</t>
  </si>
  <si>
    <t xml:space="preserve">BT</t>
  </si>
  <si>
    <t xml:space="preserve">BU</t>
  </si>
  <si>
    <t xml:space="preserve">https://www.boe.es/eli/es/l/2017/11/08/9
https://www.boe.es/eli/es/rd/2023/05/09/342/con</t>
  </si>
  <si>
    <t xml:space="preserve">https://www.boe.es/eli/es/rd/2014/01/17/19/con
https://www.igae.pap.hacienda.gob.es/sitios/igae/es-ES/Contabilidad/ContabilidadPublica/CPE/EjecucionPresupuestaria/Documents/ORGANISMOS%2008.%202026.pdf</t>
  </si>
  <si>
    <t xml:space="preserve">https://www.boe.es/diario_boe/txt.php?id=BOE-A-2013-8554
https://www.igae.pap.hacienda.gob.es/sitios/igae/es-ES/Contabilidad/ContabilidadPublica/CPE/EjecucionPresupuestaria/Documents/ORGANISMOS%2008.%202026.pdf</t>
  </si>
  <si>
    <t xml:space="preserve">https://www.boe.es/diario_boe/txt.php?id=BOE-A-2013-8554
https://www.mapa.gob.es/es/alimentacion/temas/observatorio-cadena/funcion-estructura-normativa</t>
  </si>
  <si>
    <t xml:space="preserve">Apoyo ministerial/departamental indicado en el lote y norma de la ficha; gasto individual no desglosado verificado. No repartir gasto total del ministerio. Medios del MAPA / AICA</t>
  </si>
  <si>
    <t xml:space="preserve">https://www.boe.es/eli/es/l/2015/07/21/23/con
https://www.igae.pap.hacienda.gob.es/sitios/igae/es-ES/Contabilidad/ContabilidadPublica/CPE/EjecucionPresupuestaria/Documents/ORGANISMOS%2008.%202026.pdf
https://www.boe.es/eli/es/rd/2018/04/06/192/con</t>
  </si>
  <si>
    <t xml:space="preserve">https://www.boe.es/eli/es/rd/2007/11/12/1495
https://www.igae.pap.hacienda.gob.es/sitios/igae/es-ES/Contabilidad/ContabilidadPublica/CPE/EjecucionPresupuestaria/Documents/ORGANISMOS%2008.%202026.pdf</t>
  </si>
  <si>
    <t xml:space="preserve">https://www.boe.es/eli/es/rd/2007/12/21/1730/con
https://www.igae.pap.hacienda.gob.es/sitios/igae/es-ES/Contabilidad/ContabilidadPublica/CPE/EjecucionPresupuestaria/Documents/ORGANISMOS%2008.%202026.pdf</t>
  </si>
  <si>
    <t xml:space="preserve">https://www.boe.es/eli/es/rd/2008/02/08/186/con
https://www.igae.pap.hacienda.gob.es/sitios/igae/es-ES/Contabilidad/ContabilidadPublica/CPE/EjecucionPresupuestaria/Documents/ORGANISMOS%2008.%202026.pdf</t>
  </si>
  <si>
    <t xml:space="preserve">RPT laboral transparencia.gob.es parcialmente contada (62, PDF posiblemente truncado); RPT funcionario no contada</t>
  </si>
  <si>
    <t xml:space="preserve">https://www.boe.es/eli/es/rd/2011/09/16/1275
https://www.igae.pap.hacienda.gob.es/sitios/igae/es-ES/Contabilidad/ContabilidadPublica/CPE/EjecucionPresupuestaria/Documents/ORGANISMOS%2008.%202026.pdf</t>
  </si>
  <si>
    <t xml:space="preserve">https://www.boe.es/eli/es/rd/2008/02/22/266/con
https://www.igae.pap.hacienda.gob.es/sitios/igae/es-ES/Contabilidad/ContabilidadPublica/CPE/EjecucionPresupuestaria/Documents/ORGANISMOS%2008.%202026.pdf</t>
  </si>
  <si>
    <t xml:space="preserve">https://www.boe.es/buscar/act.php?id=BOE-A-2007-13179
https://www.igae.pap.hacienda.gob.es/sitios/igae/es-ES/Contabilidad/ContabilidadPublica/CPE/EjecucionPresupuestaria/Documents/ORGANISMOS%2008.%202026.pdf
https://www.boe.es/eli/es/l/2006/12/28/42</t>
  </si>
  <si>
    <t xml:space="preserve">https://www.boe.es/eli/es/rd/2023/03/07/158
https://www.igae.pap.hacienda.gob.es/sitios/igae/es-ES/Contabilidad/ContabilidadPublica/CPE/EjecucionPresupuestaria/Documents/ORGANISMOS%2008.%202026.pdf
https://www.aee.gob.es/Noticias/2026/marzo/inversion-625-millones-euros.html</t>
  </si>
  <si>
    <t xml:space="preserve">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</si>
  <si>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t>
  </si>
  <si>
    <t xml:space="preserve">https://www.boe.es/buscar/doc.php?id=BOE-A-2024-22929
https://www.igae.pap.hacienda.gob.es/sitios/igae/es-ES/Contabilidad/ContabilidadPublica/CPE/EjecucionPresupuestaria/Documents/ORGANISMOS%2008.%202026.pdf</t>
  </si>
  <si>
    <t xml:space="preserve">Sin cifra anual 2025 verificada: la IGAE edición 12.2025 (págs. 99-119) no se ha cotejado en esta pasada, porque el texto accesible se corta en la p.27. La AEAD existía desde algún momento entre enero y abril de 2025, así que es posible que haya ejecución 2025 propia: pendiente de cotejo directo en ORGANISMOS 12. 2025 o en las cuentas anuales 2025 publicadas en BOE. Nulo, NO cero.</t>
  </si>
  <si>
    <t xml:space="preserve">Saldo neto 0 no descarta movimientos compensados entre partidas. No se ha cuantificado plantilla ocupada ni sanciones efectivas.</t>
  </si>
  <si>
    <t xml:space="preserve">https://www.boe.es/eli/es/l/2023/02/20/2/con
https://boe.es/buscar/doc.php?id=BOE-A-2024-22298
https://www.igae.pap.hacienda.gob.es/sitios/igae/es-ES/Contabilidad/ContabilidadPublica/CPE/EjecucionPresupuestaria/Documents/ORGANISMOS%2008.%202026.pdf</t>
  </si>
  <si>
    <t xml:space="preserve">No se ha identificado un crédito propio separado en los cuadros iniciales ni en IGAE agosto consultados. El estatuto dispone financiación provisional con créditos de Igualdad, sin afectar al Instituto de las Mujeres. Importe individual no verificado.</t>
  </si>
  <si>
    <t xml:space="preserve">https://www.boe.es/diario_boe/txt.php?id=BOE-A-2026-16172
https://boe.es/diario_boe/txt.php?id=BOE-A-2026-19049</t>
  </si>
  <si>
    <t xml:space="preserve">Apoyo ministerial/departamental indicado en el lote y norma de la ficha; gasto individual no desglosado verificado. No repartir gasto total del ministerio. Financiación provisional con créditos del Ministerio de Igualdad (estatuto)</t>
  </si>
  <si>
    <t xml:space="preserve">No se ha localizado crédito propio separado en los cuadros consultados. Régimen transitorio: gastos con cargo a la Secretaría de Estado de la que dependía el Instituto precedente. No cuantificado.</t>
  </si>
  <si>
    <t xml:space="preserve">https://www.boe.es/diario_boe/txt.php?id=BOE-A-2026-2553
https://www.boe.es/boe/dias/2026/05/12/pdfs/BOE-A-2026-10246.pdf</t>
  </si>
  <si>
    <t xml:space="preserve">Apoyo ministerial/departamental indicado en el lote y norma de la ficha; gasto individual no desglosado verificado. No repartir gasto total del ministerio. Régimen transitorio: gastos con cargo a la Secretaría de Estado precedente</t>
  </si>
  <si>
    <t xml:space="preserve">Sin presupuesto propio individual identificado en los cuadros consultados. No se atribuye a la agencia toda la inversión de vigilancia sanitaria ni todo el presupuesto de Sanidad.</t>
  </si>
  <si>
    <t xml:space="preserve">https://www.boe.es/eli/es/l/2025/07/28/7
https://www.boe.es/diario_boe/txt.php?id=BOE-A-2026-16527</t>
  </si>
  <si>
    <t xml:space="preserve">Apoyo ministerial/departamental indicado en el lote y norma de la ficha; gasto individual no desglosado verificado. No repartir gasto total del ministerio. Medios del Ministerio de Sanidad en fase de constitución</t>
  </si>
  <si>
    <t xml:space="preserve">Sin línea presupuestaria individual identificada en los tomos oficiales de prórroga consultados. La norma dispone medios del departamento; coste individual no cuantificado. No significa 0 EUR.</t>
  </si>
  <si>
    <t xml:space="preserve">Apoyo ministerial/departamental indicado en el lote y norma de la ficha; gasto individual no desglosado verificado. No repartir gasto total del ministerio. Medios del Ministerio de Industria y Turismo (norma: sin incremento de gasto)</t>
  </si>
  <si>
    <t xml:space="preserve">https://www.boe.es/boe/dias/2018/12/11/pdfs/BOE-A-2018-16905.pdf
https://www.boe.es/buscar/act.php?id=BOE-A-2020-13026</t>
  </si>
  <si>
    <t xml:space="preserve">Apoyo ministerial/departamental indicado en el lote y norma de la ficha; gasto individual no desglosado verificado. No repartir gasto total del ministerio. Medios del Ministerio de Ciencia (RD 938/2020)</t>
  </si>
  <si>
    <t xml:space="preserve">https://www.boe.es/diario_boe/txt.php?id=BOE-A-2019-9215
https://www.seg-social.es/wps/portal/wss/internet/Trabajadores/CotizacionRecaudacionTrabajadores/9896/lfraude2</t>
  </si>
  <si>
    <t xml:space="preserve">Apoyo ministerial/departamental indicado en el lote y norma de la ficha; gasto individual no desglosado verificado. No repartir gasto total del ministerio. Medios del Ministerio de Inclusión, Seguridad Social y Migraciones (Orden TMS/667/2019)</t>
  </si>
  <si>
    <t xml:space="preserve">Sin línea individual identificada. No cuantificado; no equivale al presupuesto de igualdad cultural.</t>
  </si>
  <si>
    <t xml:space="preserve">https://www.cultura.gob.es/dam/jcr:85ee66d9-d300-4e8a-9903-07653ae01b27/report-orden-reguladora-observatorio-igualdad.pdf
https://www.cultura.gob.es/cultura/mc/espacio-igualdad/observatorio.html</t>
  </si>
  <si>
    <t xml:space="preserve">Apoyo ministerial/departamental indicado en el lote y norma de la ficha; gasto individual no desglosado verificado. No repartir gasto total del ministerio. Medios del Ministerio de Cultura</t>
  </si>
  <si>
    <t xml:space="preserve">Sin línea propia identificada. La norma permite puestos de plantilla del Instituto Cervantes. No asignar los 1.100 M EUR del PERTE de lengua al observatorio.</t>
  </si>
  <si>
    <t xml:space="preserve">https://www.boe.es/diario_boe/txt.php?id=BOE-A-2022-9382
https://observatoriodelespanol.cervantes.org/catalogo-publicaciones/
https://observatoriodelespanol.cervantes.org/noticia/clabe-inteligencia-idioma/</t>
  </si>
  <si>
    <t xml:space="preserve">Apoyo ministerial/departamental indicado en el lote y norma de la ficha; gasto individual no desglosado verificado. No repartir gasto total del ministerio. RD 431/2022 permite puestos de plantilla del Instituto Cervantes (personal del Cervantes, no del observatorio)</t>
  </si>
  <si>
    <t xml:space="preserve">Apoyo ministerial/departamental indicado en el lote y norma de la ficha; gasto individual no desglosado verificado. No repartir gasto total del ministerio. Medios del MAPA (RD 854/2022)</t>
  </si>
  <si>
    <t xml:space="preserve">https://www.boe.es/eli/es/rd/2024/04/30/439
https://www.mintur.gob.es/es-es/gabineteprensa/notasprensa/2025/paginas/observatorio-estatal-morisidad-privada.aspx</t>
  </si>
  <si>
    <t xml:space="preserve">Apoyo ministerial/departamental indicado en el lote y norma de la ficha; gasto individual no desglosado verificado. No repartir gasto total del ministerio. Medios del departamento (Ley 18/2022; RD 439/2024)</t>
  </si>
  <si>
    <t xml:space="preserve">Sin línea individual identificada ni personalidad presupuestaria acreditada. Coste en organismos participantes no separado.</t>
  </si>
  <si>
    <t xml:space="preserve">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t>
  </si>
  <si>
    <t xml:space="preserve">Apoyo ministerial/departamental indicado en el lote y norma de la ficha; gasto individual no desglosado verificado. No repartir gasto total del ministerio. Proyecto conjunto Economía/Hacienda; coste en organismos participantes no separado</t>
  </si>
  <si>
    <t xml:space="preserve">Apoyo ministerial/departamental indicado en el lote y norma de la ficha; gasto individual no desglosado verificado. No repartir gasto total del ministerio. Medios del Ministerio de Sanidad (Orden 26/04/2024)</t>
  </si>
  <si>
    <t xml:space="preserve">Apoyo ministerial/departamental indicado en el lote y norma de la ficha; gasto individual no desglosado verificado. No repartir gasto total del ministerio. Medios del Ministerio del Interior (Orden PJC/849/2024)</t>
  </si>
  <si>
    <t xml:space="preserve">Apoyo ministerial/departamental indicado en el lote y norma de la ficha; gasto individual no desglosado verificado. No repartir gasto total del ministerio. Medios del departamento (RD 371/2026, art.19)</t>
  </si>
  <si>
    <t xml:space="preserve">H</t>
  </si>
  <si>
    <t xml:space="preserve">Convenio MAPA-Cajamar 10/10/2021; adenda 2023</t>
  </si>
  <si>
    <t xml:space="preserve">Convenio histórico: 1,370 M EUR 2021-2025 tras +0,370 M de adenda; 185.000 EUR en 2024 y 185.000 en 2025. No es presupuesto anual 2026; continuidad/cifra actual pendientes.</t>
  </si>
  <si>
    <t xml:space="preserve">T</t>
  </si>
  <si>
    <t xml:space="preserve">Financiación acotada, no total presupuesto MAPA. Convenio leído termina 31/12/2025; falta confirmar extensión posterior.</t>
  </si>
  <si>
    <t xml:space="preserve">https://www.boe.es/boe/dias/2021/10/19/pdfs/BOE-A-2021-17025.pdf
https://www.boe.es/diario_boe/txt.php?id=BOE-A-2024-323</t>
  </si>
  <si>
    <t xml:space="preserve">2021-2025</t>
  </si>
  <si>
    <t xml:space="preserve">Convenio histórico plurianual; 185.000 EUR en 2024 y 2025</t>
  </si>
  <si>
    <t xml:space="preserve">Apoyo ministerial/departamental indicado en el lote y norma de la ficha; gasto individual no desglosado verificado. No repartir gasto total del ministerio. Convenio MAPA-Fundación Cajamar: personal del convenio, no plantilla pública</t>
  </si>
  <si>
    <t xml:space="preserve">No se ha verificado línea individual actual. Los 10,83 M EUR citados por Red.es son del Programa Derechos Digitales completo, no presupuesto del observatorio.</t>
  </si>
  <si>
    <t xml:space="preserve">Convenio oficial publicado consultado no permitió extraer íntegra su cláusula económica. No asignar todo el programa a este proyecto.</t>
  </si>
  <si>
    <t xml:space="preserve">https://boe.es/boe/dias/2024/07/10/pdfs/BOE-A-2024-14138.pdf
https://www.red.es/es/area-prensa/notas-prensa/el-observatorio-de-derechos-digitales-realiza-mas-de-20-acciones-para</t>
  </si>
  <si>
    <t xml:space="preserve">No verificado en ficha</t>
  </si>
  <si>
    <t xml:space="preserve">Programa completo, NO presupuesto del Observatorio</t>
  </si>
  <si>
    <t xml:space="preserve">Programa Derechos Digitales (Red.es)</t>
  </si>
  <si>
    <t xml:space="preserve">Apoyo ministerial/departamental indicado en el lote y norma de la ficha; gasto individual no desglosado verificado. No repartir gasto total del ministerio. Convenio Red.es con grupo de entidades</t>
  </si>
  <si>
    <t xml:space="preserve">https://boe.es/diario_boe/txt.php?id=BOE-A-2019-2554
https://www.boe.es/eli/es/o/2020/09/03/dsa819</t>
  </si>
  <si>
    <t xml:space="preserve">Apoyo ministerial/departamental indicado en el lote y norma de la ficha; gasto individual no desglosado verificado. No repartir gasto total del ministerio. Medios del MITERD (Orden PCI/169/2019)</t>
  </si>
  <si>
    <t xml:space="preserve">Apoyo ministerial/departamental indicado en el lote y norma de la ficha; gasto individual no desglosado verificado. No repartir gasto total del ministerio. Medios del Ministerio de Igualdad (Orden IGD/577/2020)</t>
  </si>
  <si>
    <t xml:space="preserve">https://www.boe.es/buscar/doc.php?id=BOE-A-2021-15582
https://www.boe.es/eli/es/o/2026/01/29/jui80</t>
  </si>
  <si>
    <t xml:space="preserve">Apoyo ministerial/departamental indicado en el lote y norma de la ficha; gasto individual no desglosado verificado. No repartir gasto total del ministerio. Medios del M. Juventud e Infancia (Orden DSA/1009/2021)</t>
  </si>
  <si>
    <t xml:space="preserve">https://boe.es/buscar/doc.php?id=BOE-A-2020-3638</t>
  </si>
  <si>
    <t xml:space="preserve">Apoyo ministerial/departamental indicado en el lote y norma de la ficha; gasto individual no desglosado verificado. No repartir gasto total del ministerio. Medios de Presidencia/Transportes/Defensa (órgano interministerial)</t>
  </si>
  <si>
    <t xml:space="preserve">No se ha identificado cifra individual corriente completa. La norma prevé anteproyecto a través de la Subdirección de Museos Estatales; gasto no separado en esta revisión.</t>
  </si>
  <si>
    <t xml:space="preserve">https://www.boe.es/diario_boe/txt.php?id=BOE-A-2023-16819
https://www.cultura.gob.es/actualidad/2026/10/261002-constelaciones-cnf.html</t>
  </si>
  <si>
    <t xml:space="preserve">Apoyo ministerial/departamental indicado en el lote y norma de la ficha; gasto individual no desglosado verificado. No repartir gasto total del ministerio. Anteproyecto vía Subdirección de Museos Estatales (Cultura)</t>
  </si>
  <si>
    <t xml:space="preserve">Presupuesto propio de explotación/capital 2026 no obtenido. El RD identifica envolventes de instrumentos: Chip 10.750 M, Next Tech 4.000 M y Audiovisual 1.712 M; son dotaciones de fondos, no gasto anual de SETT.</t>
  </si>
  <si>
    <t xml:space="preserve">Apoyo ministerial/departamental indicado en el lote y norma de la ficha; gasto individual no desglosado verificado. No repartir gasto total del ministerio. Medios del MITERD (Orden TED/873/2025)</t>
  </si>
  <si>
    <t xml:space="preserve">Apoyo ministerial/departamental indicado en el lote y norma de la ficha; gasto individual no desglosado verificado. No repartir gasto total del ministerio. Órgano interministerial; medios de los departamentos (RD 686/2025)</t>
  </si>
  <si>
    <t xml:space="preserve">Apoyo ministerial/departamental indicado en el lote y norma de la ficha; gasto individual no desglosado verificado. No repartir gasto total del ministerio. Medios del departamento (Acuerdo CM 21/04/2026)</t>
  </si>
  <si>
    <t xml:space="preserve">Presupuesto propio 2026: 20.513.203 EUR. Estado de ingresos y gastos; incluye ayudas y programas, no solo administración.</t>
  </si>
  <si>
    <t xml:space="preserve">https://www.juntadeandalucia.es/boja/2006/98/d2.pdf
https://www.juntadeandalucia.es/export/presup2026/estado/programas/estadoIII-d-9.pdf</t>
  </si>
  <si>
    <t xml:space="preserve">Presupuesto propio verificado; personal y salarios ejecutados pendientes</t>
  </si>
  <si>
    <t xml:space="preserve">IGJA, resumen mensual marzo 2026 (Enero-Marzo, extracción 06/04/2026), sección 1852: cap.1 crédito inicial 3.844.250,00; modificaciones 0,00; definitivo 3.844.250,00; obligaciones 750.765,61; pagos 750.765,61 EUR. Total sección: obligaciones 829.125,10. Hay cortes posteriores publicados (resúmenes mensuales hasta julio 2026 y trimestral 2T/2026, documento AACID-5) que no se pudieron abrir en esta sesión: actualizar. No comparar 3 meses con año completo; cap.1 no equivale solo a sueldos.</t>
  </si>
  <si>
    <t xml:space="preserve">BO</t>
  </si>
  <si>
    <t xml:space="preserve">BQ</t>
  </si>
  <si>
    <t xml:space="preserve">P</t>
  </si>
  <si>
    <t xml:space="preserve">La ejecución 2025/2026 de la sección 08.00 figura en los resúmenes IGJA de 'Junta de Andalucía' (2_JUNTA-3, todas las secciones en un solo PDF); el documento no pudo leerse completo en esta sesión. Pendiente.</t>
  </si>
  <si>
    <t xml:space="preserve">https://www.boe.es/buscar/act.php?id=BOE-A-2008-3180
https://www.boe.es/buscar/pdf/2026/BOE-A-2026-945-consolidado.pdf</t>
  </si>
  <si>
    <t xml:space="preserve">Presupuesto propio y cap.1 crédito 2026 verificados; cap.1 ejecutado a 31/03/2026 y cap.1 2025 anual (IGJA dic-2025) verificados; plazas presupuestadas verificadas; plantilla ocupada pendiente</t>
  </si>
  <si>
    <t xml:space="preserve">Programa6.1.L:sección ATA832 personas presupuestadas, cap1 44.800303M; otras secciones20 personas/1.599294M. Total sección74.120154M; total OTRAS SEC76.557503M (no suma ambas columnas). NO ocupación.</t>
  </si>
  <si>
    <t xml:space="preserve">BL</t>
  </si>
  <si>
    <t xml:space="preserve">BM</t>
  </si>
  <si>
    <t xml:space="preserve">IGJA marzo 2026 (Enero-Marzo, extracción 06/04/2026), sección 1039: cap.1 servicio 103901 inicial 8.559.935,00, modif. 225,00, oblig. 1.216.744,46; servicio 103903 inicial 36.240.368,00, modif. 55.396,69, oblig. 7.608.691,38. Total cap.1: inicial 44.800.303 (= presupuesto), modificaciones 55.621,69 (cuadra con 2_ATRIAN-1), definitivo 44.855.924,69, obligaciones 8.825.435,84, pagos 8.825.435,84 EUR. Total sección: definitivo 74.175.775,69; obligaciones 13.639.681,13. Hay cortes posteriores (mensuales hasta julio 2026; trimestral 2T/2026 'ATRIAN-5') no accesibles en esta sesión: actualizar. No comparar 3 meses con año completo.</t>
  </si>
  <si>
    <t xml:space="preserve">Publica presupuesto 2026, pero importe no extraído/verificado en esta investigación. No cero.</t>
  </si>
  <si>
    <t xml:space="preserve">https://www.boe.es/buscar/pdf/2014/BOE-A-2014-7534-consolidado.pdf
https://www.ctpdandalucia.es/transparencia-del-consejo/informacion-economica-financiera-presupuestaria/presupuestos
https://www.boe.es/buscar/act.php?id=BOE-A-2014-7534
https://www.boe.es/buscar/act.php?id=BOE-A-2026-6643</t>
  </si>
  <si>
    <t xml:space="preserve">Sección 07.00: 52 plazas presupuestadas; cap.1 3,480037 M (altos cargos 0,081080; eventual 0,105287; funcionarios 2,408139; laboral 0,044163; productividad 0,036982; cuotas y gastos sociales 0,664700; incremento retributivo 0,139686). NO ocupación.</t>
  </si>
  <si>
    <t xml:space="preserve">La ejecución 2025/2026 de la sección 07.00 figura en los resúmenes IGJA de 'Junta de Andalucía' (2_JUNTA-3, todas las secciones en un solo PDF), no legible completo en esta sesión; el portal propio del Consejo (ctpdandalucia.es) no fue accesible. Pendiente.</t>
  </si>
  <si>
    <t xml:space="preserve">Importe individual 2026 no verificado. Aragón prorrogó créditos 2024 para 2026; no trasladar automáticamente una cifra antigua sin ajustes.</t>
  </si>
  <si>
    <t xml:space="preserve">https://boe.es/buscar/doc.php?id=BOE-A-2005-14406
https://boe.es/boe/dias/2026/08/08/pdfs/BOE-A-2026-17288.pdf</t>
  </si>
  <si>
    <t xml:space="preserve">Crédito inicial propio 2026: 53.101.505 EUR. No ejecución ni crédito actualizado.</t>
  </si>
  <si>
    <t xml:space="preserve">S</t>
  </si>
  <si>
    <t xml:space="preserve">https://www.boe.es/buscar/doc.php?id=BOE-A-2013-8930
https://transparencia.asturias.es/documents/2213862/4017833/presupuestos_2026_tomo_informacion_presupuestaria_basica.pdf/8bd1ac47-6bc3-4174-d5a7-dc8160dd9acc?t=1769080801898</t>
  </si>
  <si>
    <t xml:space="preserve">Prórroga 2026: crédito inicial 16.259.920 EUR. Personal 9.801.634; bienes/servicios 4.593.865; gastos financieros 1.852.421; inversión 12.000. No reutilizar 16.496.693 EUR de ley 2025.</t>
  </si>
  <si>
    <t xml:space="preserve">https://www.boe.es/buscar/act.php?id=BOE-A-2008-8768
https://www.caib.es/sites/estadistiques/es/2026_p/
https://www.caib.es/sites/estadistiques/f/549410</t>
  </si>
  <si>
    <t xml:space="preserve">Capítulo 1: crédito inicial de prórroga</t>
  </si>
  <si>
    <t xml:space="preserve">Coste presupuestario publicado; no nómina ejecutada</t>
  </si>
  <si>
    <t xml:space="preserve">Q</t>
  </si>
  <si>
    <t xml:space="preserve">Crédito inicial 2026 64.227.709 EUR, exacto en Plan de Acción 2026. No 64.277.709 EUR que aparece en otras referencias.</t>
  </si>
  <si>
    <t xml:space="preserve">https://boe.es/buscar/act.php?id=BOE-A-2014-9902
https://www3.gobiernodecanarias.org/tributos/atc/documents/65729/0/boc-a-2026-065-1087.pdf/ce37abb9-573c-7b68-2adf-487ddaf54f43?t=1776157163286</t>
  </si>
  <si>
    <t xml:space="preserve">Presupuesto propio 2026 verificado; ocupación RPT a cierre 2025 tomada del Plan 2026 (página por cotejar); capítulo 1, ejecución y liquidación no verificados</t>
  </si>
  <si>
    <t xml:space="preserve">Importe definitivo individual 2026 no verificado. Comparecencia sobre proyecto cita 320.133.501 EUR, NO se presenta como presupuesto aprobado. Ley 4/2026 lo integra en sección 16; 328.239.959 EUR de política social NO es presupuesto ICASS.</t>
  </si>
  <si>
    <t xml:space="preserve">Incluido en presupuesto aprobado 2026</t>
  </si>
  <si>
    <t xml:space="preserve">https://www.boe.es/eli/es-cb/l/2009/11/27/3
https://www.boe.es/diario_boe/txt.php?id=BOE-A-2026-9962
https://www.cantabria.es/web/comunicados/w/inclusi%C3%B3n-social-comparecencia-parlamento-presupuesto-2026</t>
  </si>
  <si>
    <t xml:space="preserve">Presupuesto limitativo 2026: 4.161.665 EUR, Ley 4/2026 art.2.Dos.</t>
  </si>
  <si>
    <t xml:space="preserve">https://www.boe.es/buscar/act.php?id=BOE-A-2009-1173
https://www.boe.es/diario_boe/txt.php?id=BOE-A-2026-9962</t>
  </si>
  <si>
    <t xml:space="preserve">Norma de creación acreditada; algunas disposiciones originales derogadas; alcance vigente requiere texto consolidado completo</t>
  </si>
  <si>
    <t xml:space="preserve">Sin dotación propia actual verificada; funciones reubicadas. No cero EUR.</t>
  </si>
  <si>
    <t xml:space="preserve">Desde 2014, sección de convivencia del Observatorio de la Comunidad; no contar como órgano original intacto</t>
  </si>
  <si>
    <t xml:space="preserve">https://www.educa.jcyl.es/convivenciaescolar/es/observatorio-convivencia-escolar/antecedentes-observatorio-convivencia-escolar-castilla-leon</t>
  </si>
  <si>
    <t xml:space="preserve">Presupuesto propio 2026 aprobado Ley 10/2026: 121.755.597,48 EUR. No gasto ejecutado.</t>
  </si>
  <si>
    <t xml:space="preserve">https://www.boe.es/diario_boe/txt.php?id=BOE-A-2007-15212
https://www.boe.es/ccaa/dogc/2026/9706/f00001-00102.pdf</t>
  </si>
  <si>
    <t xml:space="preserve">Presupuesto 2026 publicado, importe no verificado en documento original.</t>
  </si>
  <si>
    <t xml:space="preserve">https://www.boe.es/buscar/act.php?id=BOE-A-2008-19527
https://seuelectronica.antifrau.cat/es/presupuesto/summary/217-presupuesto-de-la-oficina-antifraude-de-cataluna/11612-presupuesto-oficina-antifraude-de-cataluna-2026.html</t>
  </si>
  <si>
    <t xml:space="preserve">Presupuesto 2026: 107.722.503 EUR. Incluye 84.725.056 EUR en transferencias de capital; no tratar total como coste burocrático.</t>
  </si>
  <si>
    <t xml:space="preserve">https://www.xunta.gal/dog/Publicados/2012/20120127/AnuncioCA04-230112-11332_es.html
https://www.xunta.gal/dog/Publicados/2025/20251231/AnuncioC3B0-231225-0001_es.html</t>
  </si>
  <si>
    <t xml:space="preserve">Sin presupuesto propio actual como entidad extinguida; no se cuantifica gasto del sustituto.</t>
  </si>
  <si>
    <t xml:space="preserve">Suprimido por Ley 8/2024 DA única, efectiva 28/12/2024; se prevé sustituto colegiado sin personalidad</t>
  </si>
  <si>
    <t xml:space="preserve">No se ha verificado la aprobación/operación efectiva del órgano sustituto.</t>
  </si>
  <si>
    <t xml:space="preserve">https://www.boe.es/diario_boe/txt.php?id=BOE-A-2017-13987
https://www.boe.es/buscar/doc.php?id=BOE-A-2025-5523</t>
  </si>
  <si>
    <t xml:space="preserve">Contrato-programa julio 2026 declara prórroga presupuesto 2025 para 2026; total individual no extraído/verificado.</t>
  </si>
  <si>
    <t xml:space="preserve">Operativo; contrato-programa suscrito 15/07/2026</t>
  </si>
  <si>
    <t xml:space="preserve">https://transparencia.carm.es/-/instituto-de-turismo-de-la-region-de-murcia?p_p_state=maximized
https://www.borm.es/services/anuncio/ano/2026/numero/3655/pdf</t>
  </si>
  <si>
    <t xml:space="preserve">Ley Foral 16/2025 reconoce presupuesto separado 2026; importe aprobado no verificado. No usar 996.964 EUR del proyecto como definitivo.</t>
  </si>
  <si>
    <t xml:space="preserve">Reconocida en presupuesto 2026</t>
  </si>
  <si>
    <t xml:space="preserve">https://boe.es/buscar/act.php?id=BOE-A-2018-7644
https://www.boe.es/diario_boe/txt.php?id=BOE-A-2026-5611</t>
  </si>
  <si>
    <t xml:space="preserve">Oficina (proyecto)</t>
  </si>
  <si>
    <t xml:space="preserve">Julio 2026</t>
  </si>
  <si>
    <t xml:space="preserve">Julio 2026: crédito inicial y actual 2.227.000 EUR; obligaciones reconocidas 920.385,96 EUR. Sin modificación neta, lo que no descarta compensaciones internas.</t>
  </si>
  <si>
    <t xml:space="preserve">Presupuesto y ejecución julio 2026 publicados</t>
  </si>
  <si>
    <t xml:space="preserve">https://www.boe.es/buscar/act.php?id=BOE-A-2012-2313
https://www.euskadi.eus/web01-a3ogaoce/es/contenidos/informacion/ejec_pres_avc_2026/es_def/adjuntos/211_2026_7_DETALLESPORPARTIDAS-GASTOSEINGRESOS_es.pdf</t>
  </si>
  <si>
    <t xml:space="preserve">Sin presupuesto propio actual como organismo autónomo extinguido. No equivale a coste cero de políticas juveniles.</t>
  </si>
  <si>
    <t xml:space="preserve">https://www.boe.es/eli/es-ri/l/2005/06/30/7
https://vlex.es/vid/extincion-riojano-juventud-autonomo-387496288
https://www.boe.es/diario_boe/txt.php?id=BOE-A-2023-1606</t>
  </si>
  <si>
    <t xml:space="preserve">No se ha verificado importe actual 2026; no trasladar proyecto o presupuesto 2025.</t>
  </si>
  <si>
    <t xml:space="preserve">https://www.boe.es/buscar/doc.php?id=BOE-A-2016-12048
https://www.antifraucv.es/wp-content/uploads/2026/03/Memoria_Avaf_2025_es.pdf</t>
  </si>
  <si>
    <t xml:space="preserve">Sin cifra propia actual 2026 verificada; no significa cero. No atribuir presupuesto del departamento.</t>
  </si>
  <si>
    <t xml:space="preserve">https://www.juntadeandalucia.es/boja/2021/65/BOJA21-065-00082-5780-01_00189672.pdf
https://www.boe.es/buscar/pdf/2026/BOE-A-2026-945-consolidado.pdf
https://www.boe.es/eli/es-an/l/2020/12/28/3
https://www.juntadeandalucia.es/boja/2021/65/43</t>
  </si>
  <si>
    <t xml:space="preserve">IGJA marzo 2026 (Enero-Marzo, extracción 06/04/2026), sección 0131: subtotal cap.1 servicio central inicial 71.879.482,00, modif. 45.601,61, oblig. 13.905.705,95; subtotal cap.1 FEDER inicial 924.018,00, modif. 0,00, oblig. 208.265,42. Total cap.1: definitivo 72.849.101,61; obligaciones = pagos 14.113.971,37 EUR. Total sección: definitivo 510.121.265,21; obligaciones 45.272.300,95. El PDF 2_ADA-1 de marzo 2026 publicado contiene por error datos de la sección 1932 (CAAC), por lo que las modificaciones de cap.1 se cotejaron solo por la suma de créditos iniciales (= presupuesto 72.803.500). Cortes posteriores (hasta julio 2026; trimestral 2T/2026 'ADA-5') no accesibles en esta sesión: actualizar.</t>
  </si>
  <si>
    <t xml:space="preserve">https://www.juntadeandalucia.es/boja/2021/250/2
https://www.boe.es/buscar/act.php?id=BOJA-b-2021-90321
https://www.boe.es/buscar/act.php?id=BOE-A-2022-757</t>
  </si>
  <si>
    <t xml:space="preserve">IGJA marzo 2026 (Enero-Marzo, extracción 06/04/2026), sección 1051: cap.1 inicial 21.359.236,00 + 310.313,00 = 21.669.549 (= presupuesto), modificaciones 0,00, obligaciones 4.461.337,60 + 0,00, pagos 4.461.160,00 EUR. Total sección: definitivo 123.015.591,00; obligaciones 5.969.861,34; pagos 5.561.561,88. Cortes posteriores (hasta julio 2026; trimestral 2T/2026 'TRADE-5') no accesibles en esta sesión: actualizar. Pagos cap.1 a 31/03/2026: 4,461160 M.</t>
  </si>
  <si>
    <t xml:space="preserve">https://www.juntadeandalucia.es/boja/2021/250/2
https://www.boe.es/buscar/pdf/2026/BOE-A-2026-945-consolidado.pdf
https://www.boe.es/buscar/act.php?id=BOJA-b-2021-90321
https://www.boe.es/buscar/act.php?id=BOE-A-2022-757</t>
  </si>
  <si>
    <t xml:space="preserve">personas presupuestadas 2026 sección 15.31 (budgeted, NO ocupación real)</t>
  </si>
  <si>
    <t xml:space="preserve">Programa4.2.K:12 personas presupuestadas, cap1 2.279024M; total3.901802M, todo en sección propia. NO ocupación.</t>
  </si>
  <si>
    <t xml:space="preserve">IGJA marzo 2026 (Enero-Marzo, extracción 06/04/2026), sección 1531: cap.1 inicial 2.279.024,00; modificaciones 0,00; definitivo 2.279.024,00; obligaciones 431.810,37; pagos 427.516,20 EUR. Total sección: obligaciones 608.685,42; pagos 600.816,25. Cortes posteriores (hasta julio 2026; trimestral 2T/2026 'ACCUA-5') no accesibles en esta sesión: actualizar. Pagos cap.1 a 31/03/2026: 0,427516 M.</t>
  </si>
  <si>
    <t xml:space="preserve">La ley 2026 aprueba crédito propio, pero contempla transición si no había empezado a funcionar; puesta en funcionamientoOct 2026 no confirmada.</t>
  </si>
  <si>
    <t xml:space="preserve">https://www.boe.es/buscar/act.php?id=BOE-A-2024-13825
https://www.boe.es/buscar/pdf/2026/BOE-A-2026-945-consolidado.pdf</t>
  </si>
  <si>
    <t xml:space="preserve">personas presupuestadas 2026 sección 13.32 (budgeted, NO ocupación real)</t>
  </si>
  <si>
    <t xml:space="preserve">Programa4.1.K:39 personas presupuestadas, cap1 29.027069M; total56.356937M, sección propia. NO ocupación.</t>
  </si>
  <si>
    <t xml:space="preserve">IGJA marzo 2026 (Enero-Marzo, extracción 06/04/2026), sección 1332: siete subtotales cap.1 con inicial total 29.027.069 (= presupuesto); modificaciones cap.1 -12.934.837,00 (cuadra con 2_ISA-1 marzo); definitivo 16.092.232,00; obligaciones 0,00; pagos 0,00. Total sección: inicial 56.356.937; modificaciones -24.485.053; definitivo 31.871.884; obligaciones 0,00. Cortes posteriores (hasta julio 2026; trimestral 2T/2026 'ISA-5') no accesibles en esta sesión: comprobar si el ISA empezó a ejecutar después de marzo.</t>
  </si>
  <si>
    <t xml:space="preserve">https://boe.es/buscar/doc.php?id=BOJA-b-2023-90144
https://www.boe.es/buscar/pdf/2026/BOE-A-2026-945-consolidado.pdf
https://www.juntadeandalucia.es/boja/2026/80/c01/1</t>
  </si>
  <si>
    <t xml:space="preserve">Capítulo1 programa2.2.B, sección01.39 agencia. Solo este programa; NO total de personal de agencia</t>
  </si>
  <si>
    <t xml:space="preserve">Crédito presupuestado: fuente primaria y tabla visual cotejadas; no ejecución</t>
  </si>
  <si>
    <t xml:space="preserve">Presupuesto total propio verificado; personal presupuestado parcial y capítulo1 del programa pendientes de inspección visual; ocupación y ejecución pendientes</t>
  </si>
  <si>
    <t xml:space="preserve">Presupuesto2026, programa2.2.B, sección01.39</t>
  </si>
  <si>
    <t xml:space="preserve">Personas presupuestadas del programa en sección agencia; NO plantilla ocupada ni total de agencia</t>
  </si>
  <si>
    <t xml:space="preserve">MEDIOS: sección agencia136personas/8.116847M; otras secciones196personas/10.914428M. Ambas cifras son programa2.2.B. Total programa personal19.031275M NO imputar todo a agencia. Página impresa254, PDFp11.</t>
  </si>
  <si>
    <t xml:space="preserve">Fuente textual candidata: https://www.juntadeandalucia.es/export/presup2026/estado/programas/estadoIII-b-1.pdf . Sin tabla visual recuperada; no se suman programas ni otras secciones a agencia.</t>
  </si>
  <si>
    <t xml:space="preserve">IGJA marzo 2026 (Enero-Marzo, extracción 06/04/2026), sección 0139 (aún 'AG. SEGURIDAD Y GES. INT. EMERGENCIAS'): subtotales cap.1 inicial 160.589.937 / modif. 311.826,60 / oblig. 28.813.685,13; 1.880.159 / 0,00 / 361.057,76; 143.345 / 0,00 / 7.268,37. Total cap.1: definitivo 162.925.267,60; obligaciones = pagos 29.182.011,26 EUR. El PDF se lee truncado en p. 6, pero la suma de iniciales = cap.1 presupuestado (162.613.441) y las modificaciones = 2_ASEMA-1 (311.826,60), así que no faltan subtotales. 2025 (dic-2025, extracción 03/02/2026): solo legibles dos subtotales cap.1 (oblig. 110.288.652,20 y 1.684.646,14; total modificaciones cap.1 2025 -22.788.828,08 según 2_ASEMA-1), sin poder cerrar el total anual: no se rellenan las columnas 2025. Cortes 2026 posteriores (hasta julio; trimestral 2T/2026 'ASEMA-5') no accesibles en esta sesión.</t>
  </si>
  <si>
    <t xml:space="preserve">Sin cifra propia actual 2026 verificada; no significa cero. No atribuir presupuesto del departamento. Prensa cita100M en proyecto 2026; no aprobado individual verificado.</t>
  </si>
  <si>
    <t xml:space="preserve">http://www.boe.es/buscar/doc.php?id=BOE-A-2020-7942
https://participa.gencat.cat/processes/DecretEstatutsANACAT
https://www.elperiodico.com/es/sociedad/20260521/presupuestos-2026-excluyen-agencia-natura-cataluna-130447830</t>
  </si>
  <si>
    <t xml:space="preserve">https://www.boe.es/boe/dias/2019/02/28/pdfs/BOE-A-2019-2784.pdf
https://www.boe.es/diario_boe/txt.php?id=BOE-A-2020-1010</t>
  </si>
  <si>
    <t xml:space="preserve">Sin cifra propia actual 2026 verificada; no significa cero. No atribuir presupuesto del departamento. Presupuesto histórico 2024:16.749.805EUR comunicado en lote; no se usa como importe actual 2026.</t>
  </si>
  <si>
    <t xml:space="preserve">https://www.boe.es/buscar/act.php?id=BOE-A-2021-17054</t>
  </si>
  <si>
    <t xml:space="preserve">Presupuesto propio 2026 y plantilla presupuestaria 2026 verificados; gastos de personal (PyG) y personas ocupadas no verificados</t>
  </si>
  <si>
    <t xml:space="preserve">https://www.sindicatura.cat/documents/36414/85841/2023_39_ca.pdf</t>
  </si>
  <si>
    <t xml:space="preserve">2026: presupuesto publicado; no ejecución</t>
  </si>
  <si>
    <t xml:space="preserve">Sección74: total gastos15.506867M EUR. Cap2 bienes/servicios15.147651M; cap4 transferenciascorrientes0.088216M; cap6 inversionesreales0.271M. NO personal15.147651M. Página12 ingresos2.479415M (tasas/otros2.397330M + transferenciascorrientes0.082085M) NO capital adicional ni importe sumable al gasto.</t>
  </si>
  <si>
    <t xml:space="preserve">PresupuestosGeneralesCAIB2026, PDF creado19/12/2025; comprobado11/10/2026</t>
  </si>
  <si>
    <t xml:space="preserve">https://www.boe.es/buscar/act.php?id=BOE-A-2011-2108
https://www.caib.es/sites/pressuposts/f/540093</t>
  </si>
  <si>
    <t xml:space="preserve">Presupuesto propio2026 verificado; personal ocupado y gasto de personal no verificados.</t>
  </si>
  <si>
    <t xml:space="preserve">https://www.boe.es/buscar/act.php?id=BOE-A-2019-3488</t>
  </si>
  <si>
    <t xml:space="preserve">Organismo autónomo con presupuesto propio (sección 77 'Agencia de Transformación Digital de Castilla-La Mancha') en la Ley 5/2025, de 19 de diciembre, de Presupuestos Generales JCCM 2026 (art. 1.1.c.6º; art. 9.2.c.2º cita créditos de capítulo 1 de la sección 77). Importe individual no verificado: el articulado no lo da; no significa cero. No atribuir presupuesto del departamento.</t>
  </si>
  <si>
    <t xml:space="preserve">Sin presupuesto propio actual como entidad suprimida; no se cifra el coste de funciones transferidas.</t>
  </si>
  <si>
    <t xml:space="preserve">https://www.boe.es/eli/es-ri/l/2022/11/02/13
https://www.boe.es/buscar/act.php?id=BOE-A-2022-18898
https://www.boe.es/buscar/act.php?id=BOE-A-2024-1778</t>
  </si>
  <si>
    <t xml:space="preserve">https://www.boe.es/buscar/act.php?id=BORM-s-2022-90316</t>
  </si>
  <si>
    <t xml:space="preserve">Sin cifra propia actual de 2026 verificada; no significa cero. No atribuir presupuesto del departamento.</t>
  </si>
  <si>
    <t xml:space="preserve">EPE creada por ley. La cesión de activos, pasivos y personal solo produce efectos con la extinción efectiva del consorcio y aprobación del proyecto de cesión; cumplimiento no confirmado en esta revisión.</t>
  </si>
  <si>
    <t xml:space="preserve">Sin importe propio verificado. Artículo 10: apoyo administrativo y material de la dirección general; artículo 8.6: asistir a reuniones no genera remuneración ni indemnización. Esto NO equivale a coste total cero.</t>
  </si>
  <si>
    <t xml:space="preserve">Art.10: apoyo administrativo y material desde dirección general; art.8.6: reuniones sin remuneración. Empleados y coste de apoyo no cuantificados.</t>
  </si>
  <si>
    <t xml:space="preserve">2026 presupuesto, no ejecución</t>
  </si>
  <si>
    <t xml:space="preserve">Total50.694693M; cap1personal22.553642M, cap2servicios9.113680M, cap6inversiones19.027371M. No cap7. TotalEPE2025 anterior14.545724M no comparable sin cambiosperímetro; no sumar presupuestosIBIT.</t>
  </si>
  <si>
    <t xml:space="preserve">PDFCAIB2026 comprobado11/10/2026</t>
  </si>
  <si>
    <t xml:space="preserve">https://www.boe.es/diario_boe/txt.php?id=BOE-A-2025-22028
https://www.caib.es/eboibfront/eli/es-ib/d/2025/12/19/63/dof/spa/pdf
https://www.caib.es/sites/pressuposts/f/540093</t>
  </si>
  <si>
    <t xml:space="preserve">Cap1 crédito presupuestado sección72; no nóminapagada</t>
  </si>
  <si>
    <t xml:space="preserve">Presupuesto ycap1 propios2026 verificados; ocupacióny ejecución no verificadas.</t>
  </si>
  <si>
    <t xml:space="preserve">2025, presupuesto inicial aprobado; no2026 ni ejecución</t>
  </si>
  <si>
    <t xml:space="preserve">Total2025 25.895500M EUR. Cap1 1.085125M; cap2 2.441375M; cap6 22.369000M. NO cap7. No interpretar como actual2026 ni como gastoefectivamente ejecutado.</t>
  </si>
  <si>
    <t xml:space="preserve">Anexo8 Ley6/2025 CAIB2025, comprobado11/10/2026</t>
  </si>
  <si>
    <t xml:space="preserve">Creación2019 yestatutosaprobados; presupuestoEPEpropio2025 publicado. Operación2026 no auditadaindividualmente.</t>
  </si>
  <si>
    <t xml:space="preserve">Basepresupuestaria2025, no2026; alcanceparcial decontrolestadoactual.</t>
  </si>
  <si>
    <t xml:space="preserve">https://www.boe.es/buscar/pdf/2019/BOE-A-2019-5579-consolidado.pdf
http://www.caib.es/eboibfront/pdf/ca/2019/139/1044876
https://www.caib.es/eboibfront/ConsultaAnnexe?idAnnexe=289609</t>
  </si>
  <si>
    <t xml:space="preserve">Cap1 crédito inicial2025 anexo8; no nóminapagada</t>
  </si>
  <si>
    <t xml:space="preserve">Verificado fuenteprimaria yvisual página15</t>
  </si>
  <si>
    <t xml:space="preserve">Presupuesto ycap1propios2025 verificados; ocupación/ejecución ypresupuesto2026 pendientes.</t>
  </si>
  <si>
    <t xml:space="preserve">Celdas cambiadas</t>
  </si>
  <si>
    <t xml:space="preserve">Cómo se verificó (documento, página, fila, unidad)</t>
  </si>
  <si>
    <t xml:space="preserve">Qué sigue sin cifra y por qué</t>
  </si>
  <si>
    <t xml:space="preserve">EPSAP Enero 2026 (revisión agosto 2026), Tabla 4.1 'Efectivos de agencias estatales por ministerio de adscripción y tipología de personal', p.37, fila literal 'AGENCIA ESTATAL DE SEGURIDAD AÉREA 340 6 - 346'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Sin desglose verificable. Revisados: (1) Plan de Acción Anual AESA 2025 (https://www.seguridadaerea.gob.es/sites/default/files/Plan%20de%20Acci%C3%B3n%20Anual%20AESA%202025%20Doc%20Publico.pdf): no tiene apartado de personal. (2) Informe General de Actividad 2024 (https://www.seguridadaerea.gob.es/sites/default/files/SIG-IGA-MEM04%20Ed.01_V6.pdf): el índice sitúa 'Profesionales de AESA' en p.79, pero la lectura automática se corta en p.58. (3) Cuentas anuales e informe de gestión 2025 (https://www.seguridadaerea.gob.es/sites/default/files/Cuentas_anuales_e_informe_de_gestion_2025.pdf): la lectura se corta en p.56 de 99, antes del informe de gestión; solo da importes (obligaciones reconocidas: sueldos grupo A 3.306.979,89 EUR; B 1.433.527,53; C 292.977,10; D 132.269,32; E 8.149,86), no personas. (4) Presupuesto de gastos 2024-P, Sección 17, Entidad 301 (https://www.seguridadaerea.gob.es/sites/default/files/Ejercicio_2025.pdf), p.83: art. 10 'Altos cargos' 93,86 miles EUR; art. 12 Funcionarios 17.549,06 (A1 4.280,83; A2 1.542,36; C1 231,60; C2 176,70; E 7,35); art. 13 Laborales 321,92. Son créditos, no efectivos. El portal de transparencia de AESA solo publica la retribución de la Directora (2025: 100.541 EUR) como máximo responsable; no publica RPT ni personal eventual.</t>
  </si>
  <si>
    <t xml:space="preserve">Puestos RPT: no localizado total publicado. Revisado: página de transparencia de AESA (sin plantilla/RPT); Cuentas anuales e informe de gestión 2025 (texto extraíble sin cifras de plantilla); Informe General de Actividad 2024, sección 'Profesionales de AESA' (p.79) no extraíble (texto cortado en p.58).
Desglose técnico/inspector vs administración, libre designación, número de altos cargos y eventuales. Comprobación manual recomendada: Informe General de Actividad 2024, p.79 'Profesionales de AESA', y el informe de gestión de las cuentas anuales 2025 (pp.57-99).</t>
  </si>
  <si>
    <t xml:space="preserve">EPSAP Enero 2026 (revisión agosto 2026), Tabla 4.1 'Efectivos de agencias estatales por ministerio de adscripción y tipología de personal', p.37, fila literal 'AGENCIA ESTATAL COMISIÓN ESPAÑOLA PARA LA LUCHA ANTIDOPAJE EN EL DEPORTE 17 7 - 24'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La EPSAP clasifica a la CELAD en la Tabla 4.1 (agencias estatales) con esa denominación.
No se ha localizado memoria, plan de actuación ni RPT de la CELAD con distribución del personal. Los documentos encontrados en celad.educacionfpydeportes.gob.es son convocatorias (p.ej. 2 plazas de personal laboral fijo fuera de convenio, Jefe/a de División de Gestión y Aplicación de Actividades de Lucha contra el Dopaje y Jefe/a de División de Investigación y Estudios, resolución firmada el 28/12/2022) y una ficha de tratamiento de datos de 'Provisión de puestos de trabajo', sin cifras.</t>
  </si>
  <si>
    <t xml:space="preserve">Puestos RPT: no localizado total publicado; no se encontró memoria/plan con plantilla propia en esta revisión.
Desglose por función o subgrupo, libre designación, altos cargos y eventuales.</t>
  </si>
  <si>
    <t xml:space="preserve">EPSAP Enero 2026 (revisión agosto 2026), Tabla 4.1 'Efectivos de agencias estatales por ministerio de adscripción y tipología de personal', p.37, fila literal 'AGENCIA ESTATAL DE INVESTIGACIÓN 200 20 - 220'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</si>
  <si>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el Plan de Actuación Anual 2025 (aprobado 26/12/2024) tiene sección 4.2 Recursos Humanos y anexos RPT (pp.38, 46, 54), pero el texto extraíble se corta en p.36; no verificados. No se localizó plan 2026.
El Plan de Actuación Anual 2025 de la AEI (aei.gob.es) anuncia en su índice la sección 4.2 'Recursos Humanos' (p.38) y los Anexos 2 y 3 sobre la RPT (pp.46 y 54), pero el texto extraído del PDF (79.046 caracteres) se corta en la p.36. No hay cifras legibles. No se localizó memoria, plan 2026 ni RPT con desglose por función o subgrupo, ni cifras de libre designación, altos cargos o eventuales. Solo hay porcentajes sueltos (p.33: 13,92% / 9,57% de la plantilla formada en igualdad).</t>
  </si>
  <si>
    <t xml:space="preserve">Ningún número nuevo. EPSAP enero 2026 (revisión agosto 2026), Tabla 1.5 p.8: 'Autoridades Administrativas Independientes 908 986 32 1.926' (agregado de todas las AAI; no imputable a la AIReF).
Sin cifra nueva; no se modifica ningún campo.
airef.es bloquea la lectura automática (error ROBOTS_DISALLOWED al abrir https://www.airef.es/wp-content/uploads/2025/04/Sobre_nosotros/RPT_funcionarios_03_04_2025.pdf). No se han encontrado copias oficiales de la RPT ni de la Memoria 2025 en otros dominios.</t>
  </si>
  <si>
    <t xml:space="preserve">Plantilla ocupada y RPT de la AIReF: Memoria anual 2025 y RPT funcionarios 03/04/2025 localizadas en airef.es pero WebFetch devuelve ROBOTS_DISALLOWED; búsquedas de copia oficial alternativa (BOE cuentas anuales 2025: solo referencia al Registro de cuentas; resoluciones BOE de AIReF: convocatorias, no RPT) sin resultado. No se usa prensa (El Español 2023).
Personas ocupadas y RPT de la AIReF: la Memoria anual 2025 (airef.es) sigue devolviendo ROBOTS_DISALLOWED en WebFetch. La búsqueda de una copia oficial alternativa (memoria o plantilla a 31/12/2025) solo devolvió estadísticas generales de empleo público, sin desglose de la AIReF. No se usa prensa.
Todo el desglose. Comprobación manual recomendada: RPT de funcionarios a 03/04/2025 (enlace anterior; da subgrupo y forma de provisión por puesto) y Memoria anual de actividades 2025 (https://www.airef.es/wp-content/uploads/2026/03/Memoria/AIReF_Memoria-anual-de-actividades_2025.pdf), apartado de recursos humanos.</t>
  </si>
  <si>
    <t xml:space="preserve">Memoria CTBG 2025, ap. 1.3.2 Recursos humanos, p.19, literal: 'A 31 de diciembre de 2025 el CTBG contaba con 31 efectivos, todos ellos funcionarios de carrera por expresa disposición estatutaria, con excepción del Presidente'; Tabla 1 'TOTAL DE EFECTIVOS 31'; recuadro '30 EFECTIVOS ADEMÁS DEL PRESIDENTE'. Unidad: personas. RPT CTBG 'Fecha de Vigencia: 30-06-2026', línea 'Total Puestos: 39' (subtotales por unidad 3+5+6+8+11+6 = 39). Cotejo cap.1: Memoria Tabla 3 '1: Gastos de personal 2.463.700,00 € 2.201.447,49 €' = IGAE 2025 obligaciones 2,201 M ya en la ficha.
El desglose (31 personas a 31/12/2025) y la libre designación (RPT a 30/06/2026) son de fuentes y fechas distintas y no se combinan. El dato de 10 LD es un recuento literal de las letras 'L' de toda la tabla. Dos puestos de la p.1 no tienen tipo de provisión legible (posible rango 10-12).</t>
  </si>
  <si>
    <t xml:space="preserve">Ocupación a 30/06/2026 (misma fecha que la RPT) no publicada; por eso no se calcula cobertura.</t>
  </si>
  <si>
    <t xml:space="preserve">EPSAP Enero 2026 (revisión agosto 2026), Tabla 4.1 'Efectivos de agencias estatales por ministerio de adscripción y tipología de personal', p.37, fila literal 'AGENCIA ESTATAL DE SEGURIDAD FERROVIARIA 115 11 - 126'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No se ha localizado memoria con recursos humanos de la AESF. El Informe Anual de Seguridad 2025 (datos de 2024) enviado a la ERA (https://www.era.europa.eu/sites/default/files/reports/ias%20nsa%20espa%C3%B1a%202025.pdf) describe la estructura (SG de Infraestructuras, SG de Coordinación de la Seguridad Ferroviaria y División de Administración, p.17) sin cifras de personal; la lectura automática se corta en p.50. BOE-A-2026-16478 (convocatoria de libre designación de 22/07/2026) solo convoca varios puestos de Subdirector/a General (A1, nivel 30): no es la RPT completa.</t>
  </si>
  <si>
    <t xml:space="preserve">Puestos RPT: Plan de acción 2025 de la AESF (aprobado por el Consejo Rector el 18/12/2024) sin cifras de plantilla ni RPT; no se localizó memoria con RPT.
Desglose por función o subgrupo, número total de puestos de libre designación, altos cargos y eventuales.</t>
  </si>
  <si>
    <t xml:space="preserve">No hay cifras numéricas. BOE-A-2018-432 (RD 3/2018, BOE núm. 12, 13/01/2018, p. 4619 y siguientes): la DA 2.ª «Gastos de funcionamiento» es una disposición del propio RD 3/2018, no un apartado del artículo único, y está vigente. El apartado Tres del artículo único da nueva redacción al art. 3.1.d (secretario: titular de la SG del CNIIE). El texto no regula indemnizaciones ni retribuciones de los vocales. Un PDF del ministerio (rd-observatorio-estatal-convivencia-escolar.pdf) es un proyecto V-2 y no se ha usado como fuente.</t>
  </si>
  <si>
    <t xml:space="preserve">No se ha encontrado el texto consolidado del RD 275/2007 en boe.es (la URL no estaba disponible para WebFetch), y la web del ministerio bloquea la lectura automática (robots). Tampoco aparece ningún convenio, contrato ni encargo con el nombre del Observatorio. Sin n.º de efectivos de apoyo publicado.</t>
  </si>
  <si>
    <t xml:space="preserve">No hay cifras numéricas. BOE-A-2011-12961, Título V (arts. 53 a 56): citas literales de los arts. 53.1, 53.2 y 55.1; la ley no contiene la frase «no supondrá incremento del gasto público». La página ELI no muestra modificaciones de los arts. 53, 55 y 56. DSCD-15-CO-376 (sesión de 26/06/2025): dictamen sobre la Memoria-Informe 2023. RED n.º 416 (mayo de 2024, pp. 30-31), artículo del presidente Mariano Casado: el reglamento del órgano de trabajo aparece como reto pendiente.</t>
  </si>
  <si>
    <t xml:space="preserve">No se ha localizado el reglamento del art. 56.2, ni el n.º de personas del órgano de trabajo permanente, ni ninguna partida con su nombre en el presupuesto de Defensa o de las Cortes (no se revisó la sección 02 de los PGE en detalle). El RD 843/2013 que salió en la búsqueda no tiene relación con el Observatorio.</t>
  </si>
  <si>
    <t xml:space="preserve">No hay cifras numéricas. Texto consolidado del RD 1220/2010 en el BOE (última actualización 16/10/2010, sin modificaciones visibles): citas literales de la DA única y del art. 7.2. El art. 1.1 lo adscribe a la Secretaría General de Universidades del Ministerio de Educación (denominación de 2010). Nota del ministerio de 19/12/2018: «Por primera vez en siete años, hoy se ha reunido el Observatorio de Becas, Ayudas al Estudio y Rendimiento Académico».</t>
  </si>
  <si>
    <t xml:space="preserve">No hay evidencia oficial de plenos posteriores a 2018. La PNL del PNV sobre el Observatorio no se pudo leer (fichero binario). No se ha publicado el n.º de efectivos de la unidad técnica. No hay convenio, contrato ni encargo con su nombre.</t>
  </si>
  <si>
    <t xml:space="preserve">No hay cifras numéricas. Página ELI del BOE del RD 868/2010: citas literales de la DA 2.ª (aps. 1 y 2) y del art. 4.1.e. El art. 2 lo define como órgano colegiado adscrito al Ministerio de la Presidencia a través de la SE para la Función Pública (denominación de 2010). La página no muestra notas de modificación ni de derogación.</t>
  </si>
  <si>
    <t xml:space="preserve">No hay evidencia oficial de reuniones o informes del Observatorio entre 2023 y 2026 (búsqueda de prensa y newsletters de Función Pública sin resultado). No hay convenio, contrato ni encargo con su nombre.</t>
  </si>
  <si>
    <t xml:space="preserve">No hay cifras numéricas. Ficha del BOE BOE-A-2009-6645 y página ELI: citas literales de la DA única y del art. 3.2. En «Análisis» solo figuran referencias anteriores (art. 40.1.c de la Ley 6/1997) y ninguna referencia posterior de modificación o derogación. Art. 1: adscripción al Ministerio de Industria, Turismo y Comercio a través de la SE de Comercio (denominación de 2009).</t>
  </si>
  <si>
    <t xml:space="preserve">No se ha encontrado ningún informe anual remitido al Congreso ni actas recientes. No hay convenio, contrato ni encargo con su nombre.</t>
  </si>
  <si>
    <t xml:space="preserve">No hay cifras numéricas. Corrección: el texto consolidado del RD 253/2006 en el BOE indica que fue derogado con efectos desde el 29/09/2022 por la disposición derogatoria única del RD 752/2022 (BOE-A-2022-15763). No se han tocado «Norma fundacional» ni las columnas de mandato; solo se documenta en los textos. RD 752/2022 consolidado (texto inicial sin modificaciones): citas literales de la DA única y del art. 4.4. El art. 2 lo adscribe al departamento del que dependa la DGVG.</t>
  </si>
  <si>
    <t xml:space="preserve">No hay ningún contrato, encargo ni convenio a nombre del Observatorio: solo aparecen los informes anuales publicados por la DGVG, sin importes. Tampoco se ha publicado el n.º de efectivos de la SG de apoyo dedicados al Observatorio.</t>
  </si>
  <si>
    <t xml:space="preserve">Sin cifra nueva. No se ha modificado ningún campo.
Tomo PGE 2023 Ley, Sección 30 (L_23_E_G30.PDF): estado de gastos del servicio 30.03, pp.16-17, miles EUR, filas literales '10 Altos cargos 61,04', '12 Funcionarios 2.138,89', '16 Cuotas, prestaciones y gastos sociales a cargo del empleador 356,13', '45 A Comunidades Autónomas 19.800,00', '48 A familias e instituciones sin fines de lucro 33.768,00', '49 Al exterior 50,00', '6 INVERSIONES REALES 16.623,54', 'TOTAL DELEGACIÓN DEL GOBIERNO CONTRA LA VIOLENCIA DE GÉNERO 79.539,87'. Comprobación: 2.556,06+6.742,27+53.618,00+16.623,54 = 79.539,87. Resumen orgánico p.18: programa 232C = 180.202,02 (30.02) + 79.539,87 (30.03) = 259.741,89. Conversión: 79.539,87 miles = 79,53987 M; 2.556,06 miles = 2,55606 M. Nota de Hacienda 19/05/2026: 'dotada en el presupuesto para el año 2023, prorrogado para el año 2026'; 'con un crédito inicial de 16.623.540 euros' (cap.6), idéntico al PGE 2023.
Por unidad, el número de puestos (20/21/22) aparece literal en la RPT. El reparto por subgrupo es un recuento fila a fila, con las salvedades indicadas en 'Desglose: verificación'.</t>
  </si>
  <si>
    <t xml:space="preserve">Programa 232C (Ministerio de Igualdad), crédito 2026 y su ejecución: no localizado. El cupo de búsquedas web del turno, compartido entre agentes, se agotó antes de llegar a los tomos de la prórroga 2026 de la SEPG y a la ejecución por programas. WebFetch solo admite URLs que hayan salido en resultados de búsqueda y bloquea por robots las páginas HTML de la IGAE y la SEPG. Ninguna URL de la serie roja ni de la ejecución por programas quedó disponible. Tampoco se pudo confirmar en fuente si 2026 es prórroga o presupuesto aprobado; la hoja trata 2026 como prórroga en otras filas ('tomos oficiales de prórroga'), pero en esta pasada no se ha cotejado. RPT de la Delegación: no buscada por la misma razón. Pendiente: serie roja de la prórroga 2026, sección 30, programa 232C. Debe ir en columnas contextuales AA–AD con base 'Programa gestionado por la Delegación; no presupuesto de entidad con personalidad'.
Tomo de la prórroga 2026 de la SEPG (PGE2026Prorroga, sección 30): no aparece en búsquedas y WebFetch exige procedencia. Ejecución 2025/2026 del programa 232C o del servicio 30.03: no localizada (la nota de Igualdad de 23/01/2026 solo da la ejecución agregada del ministerio, 95,97% en obligaciones). Personal de la Delegación: la RPT de personal laboral del Ministerio de Igualdad (vigencia 01/12/2024) solo recoge puestos laborales y su extracción es desordenada; la RPT de funcionarios no se ha localizado.
Puestos LD: solo se pueden asignar con seguridad los de las dos Subdirecciones Generales (Subdirector/a general y Subdirector/a adjunto/a, 'L', 2+2 = 4). En la Unidad de Apoyo la columna de provisión no se puede alinear, así que no se da cifra total. Altos cargos y eventuales: no figuran en la RPT; la titular de la Delegación es alto cargo, pero no se ha verificado su rango en norma. Tampoco se ha revisado la RPT laboral (la disponible es de 01/12/2024, fecha distinta).</t>
  </si>
  <si>
    <t xml:space="preserve">No hay cifras numéricas. Página ELI del BOE del RD 613/2007: citas literales de la DA única, del art. 1.2 y del art. 7.1; la única referencia anterior que figura es la DA 6.ª de la Ley 40/2003, y no hay modificaciones ni derogación. Revisado el RD 904/2025 (BOE-A-2025-20078): no hay subvención para el Consejo ni para el Observatorio Estatal de Familias.</t>
  </si>
  <si>
    <t xml:space="preserve">No hay evidencia oficial de plenos o reuniones entre 2023 y 2026. No se ha encontrado el n.º de efectivos de apoyo ni ningún convenio o contrato con su nombre.</t>
  </si>
  <si>
    <t xml:space="preserve">1) RD 904/2025, de 8 de octubre (BOE núm. 243, 09/10/2025, pp. 129505-129535), art. 3.3.e, literal: «Comité Español de Representantes de Personas con Discapacidad (CERMI), para el Observatorio Estatal de la Discapacidad», «cien mil euros (100.000 euros)». Encabezado del art. 3.3: «en el ámbito competencial del Real Patronato sobre Discapacidad». Periodo según el art. 4.4. 100.000 EUR = 0,1 M EUR. 2) BOE-A-2023-11877 (Resolución de 10/05/2023, BOE núm. 119 de 19/05/2023): 80.000 EUR = 0,08 M EUR, aplicación 29.102.231F.485 de los PGE 2023 (la resolución cita la Ley 31/2022 con una errata en la fecha), gastos desde el 01/01/2023 hasta el 31/12/2023; anexo 2, secretaría técnica 15.000 EUR = 0,015 M EUR. No se suman. 3) RDLeg 1/2013, art. 73.4, literal citado. El importe de 2023 se deja como texto porque es de un ejercicio anterior.</t>
  </si>
  <si>
    <t xml:space="preserve">No se ha encontrado ningún convenio de 2024 ni de 2026 con su nombre: los convenios RPD–CERMI de 2025 en el BOE (BOE-A-2025-8363) son de otros proyectos. Tampoco se ha encontrado el n.º de personas del CERMI dedicadas al Observatorio.</t>
  </si>
  <si>
    <t xml:space="preserve">No hay cifras numéricas. PDF del BOE de 01/01/2008, pp. 12-14 (RD 1574/2007): citas literales de la DA 2.ª y referencias a los arts. 1.3, 5.2 y 6.f. No se pudo leer el consolidado del BOE (permiso de WebFetch no concedido; el PDF consolidado BOE-A-2008-3 devolvió un aviso de la sede), así que no se ha comprobado si hay modificaciones posteriores a la DA 2.ª.</t>
  </si>
  <si>
    <t xml:space="preserve">Faltan el consolidado del RD 1574/2007, la actividad del Pleno en 2024-2026, el n.º de puestos RPT asignados y cualquier contrato o convenio a su nombre (el Barómetro de hábitos de lectura no se le atribuye sin documento).</t>
  </si>
  <si>
    <t xml:space="preserve">No hay cifras numéricas. PDF de BOE-A-2013-2074: citas literales de los apartados Primero (adscripción al Ministerio a través de AESAN), Tercero.1.D, Cuarto.1 y Quinto (la norma dice «aumento», no «incremento»). La página de AESAN sobre el Observatorio repite lo de los medios de la Unidad NAOS y no da cifras.</t>
  </si>
  <si>
    <t xml:space="preserve">No hay ningún contrato, encargo ni convenio a nombre del Observatorio, ni fechas de plenos o informes anuales recientes en la web de AESAN. Tampoco se ha encontrado el n.º de efectivos de la Unidad NAOS.</t>
  </si>
  <si>
    <t xml:space="preserve">No hay cifras numéricas. RD 301/2026 (BOE núm. 89, 11/04/2026, pp. 51999-52008): modifica los arts. 2, 3, 4, 5 y 8, la DA 3.ª y las DF 1.ª y 2.ª del RD 221/2008, y añade la DA 4.ª y la DF 3.ª. Citas literales de la DA 4.ª y del art. 2.2. La Orden TES/693/2026 (BOE núm. 167, 10/07/2026) desarrolla la asignación de vocalías y no contiene cláusulas de gasto. Es coherente con la ficha («reactivación 2026»).</t>
  </si>
  <si>
    <t xml:space="preserve">No se ha encontrado el texto original del RD 221/2008 sobre gasto (sustituido o completado en 2026), ni el n.º de efectivos de apoyo, ni ningún convenio o contrato con su nombre.</t>
  </si>
  <si>
    <t xml:space="preserve">No hay cifras propias. Texto original en el BOE (A29622-29625) y consolidado BOE-A-2005-14549: citas literales de la DA 2.ª y del art. 8.1. La Resolución de 24/01/2025 (BOE-A-2025-1952) y la Orden DCA/935/2026 (BOE-A-2026-18697) no modifican el RD 891/2005: son procesos de selección de vocalías y no tienen cláusulas de gasto. El acta del Pleno de 20/02/2024 contiene importes de programas (p. ej. CODI, 97 M) que NO son del Consejo y no se incorporan.</t>
  </si>
  <si>
    <t xml:space="preserve">No se ha encontrado ningún contrato, subvención ni encargo para la «Oficina/Secretaría Técnica» del CEPG acordada en 2024 (búsqueda en BOE, web y contratación), ni el n.º de efectivos de apoyo. El RD 904/2025 incluye 40.000 EUR para la Plataforma Khetané, pero no son para el Consejo y no se usan.</t>
  </si>
  <si>
    <t xml:space="preserve">No hay cifras numéricas. Consolidado del BOE del RD 1791/2009 (versión de 30/07/2026): citas literales de la DA 4.ª y del art. 2.1, que lo adscribe a la AGE a través del Ministerio de Sanidad, Política Social e Igualdad (redacción de 2010, no actualizada). RD 634/2026, de 29 de julio (BOE-A-2026-16550, BOE núm. 185, 30/07/2026): su DF 2.ª modifica el art. 7.1 del RD 1791/2009 (secretaría).</t>
  </si>
  <si>
    <t xml:space="preserve">No hay evidencia oficial de plenos entre 2024 y 2026 ni crédito con su nombre en el presupuesto del Instituto de las Mujeres. Tampoco se ha encontrado el n.º de efectivos de apoyo.</t>
  </si>
  <si>
    <t xml:space="preserve">Sin cifra nueva. No se ha modificado ningún campo.
Cuentas anuales 2025 FPyC (PDF del portal, 77.335 caracteres, llega a la p.31): cuenta de resultados p.4, '(64) 8. Gastos de personal' -452.388,46 (2025) / -479.883,05 (2024) EUR; ayudas monetarias -1.399.058,44; Nota 3.1 p.7 total gastos -2.084.510,21; Nota 13.3 p.21 desglose 640/642/649 = 345.249,20 / 105.326,86 / 1.812,40 y texto '8 personas'; Nota 4.14 p.13 transferencia 1.980.000,00 (13.08.912O.441); Nota 14.2 p.25 concedido 1.980.000 / imputado 1.860.000 / pendiente 120.000; p.20 'Plan de Actuación aprobado el 28 de febrero de 2025'. Plan de Actuación 2025, apartado 5 pp.17-18: total ingresos = total gastos 2.027.432,75 EUR; gastos de personal 480.000,00. Conversión EUR→M: 2.027.432,75 = 2,027433 (6 decimales); 452.388,46 = 0,452388; 480.000 = 0,48. Advertencia: la suma de los cuadros por objetivo del plan (2.025.185,76) difiere en 2.246,99 EUR del total del apartado 5; se usa el total del apartado 5. Retribución de la Dirección General: texto literal de la página de transparencia.
El equipo web tiene 7 personas; las cuentas de 2025 dicen 8 incluyendo a la limpiadora. No se suman fuentes: el desglose usa solo la web.</t>
  </si>
  <si>
    <t xml:space="preserve">No localizados: PAIF de la Fundación Pluralismo y Convivencia en los PGE, resumen de cuentas anuales 2024/2025 en BOE ('gastos de personal' de la cuenta de resultados, que no es cap.1) ni plantilla y retribuciones del portal de transparencia. El cupo de búsquedas web se agotó y ninguna URL de la fundación ni de su resolución de cuentas en BOE estaba disponible para WebFetch. La navegación por los sumarios diarios del BOE de 2026 falló: las URLs /boe/dias/2026/MM/DD/ devuelven error de servidor.
Plan de actuación o presupuesto 2026 (no enlazado en 'Planes de actuación'); PAIF en PGE/prórroga 2026; tabla global de cumplimiento del plan 2025 (el texto extraído de las cuentas termina en la actividad A2, p.31); número medio de empleados por categoría y plantilla a 31/12; resumen de cuentas en BOE (no buscado: las cuentas completas están en el portal).
Las cuentas anuales de 2025 no traen distribución por categorías profesionales. No hay altos cargos ni personal eventual: es una fundación con personal laboral propio.</t>
  </si>
  <si>
    <t xml:space="preserve">Sin cifra nueva. Se mantienen 30 personas ocupadas y 47 puestos RPT del informe anual 2025, sin tocarlos.
Informe anual de actuaciones 2025 de la OIReScon: p.17 'la RPT efectiva de la Oficina la integraban 47 puestos', '30 se encontraban efectivamente ocupados a 1 de enero'; p.18 '63,83%' y 'a 31 de diciembre de 2025, el porcentaje de ocupación de la RPT era del 66,67%'; nota 7 p.21 'a efectos organizativos la Oficina está adscrita al MINHAC a través de su Subsecretaría'. No se modifican las cifras existentes (30 ocupadas; 47 puestos). No se añade ningún importe.
Las cifras son literales de la Tabla 3 del informe anual de 2025.</t>
  </si>
  <si>
    <t xml:space="preserve">No se ha localizado coste ni crédito de personal propio de la OIReScon. La URL del informe anual 2025 de hacienda.gob.es no estaba en resultados de búsqueda, así que WebFetch la rechaza, y el cupo de búsquedas se agotó. Tampoco se pudo consultar el programa 923/931 del Ministerio de Hacienda en la prórroga 2026 ni su portal de transparencia. No se reparte crédito ministerial.
Coste, crédito o gasto de personal propio de la OIReScon: el informe anual 2025 no los publica ni cita programa presupuestario. No se ha consultado el programa del MINHAC en la prórroga 2026 porque no hay servicio presupuestario propio identificado; tampoco se reparte.
El informe no desglosa la RPT (47 puestos a 1/1/2025) por subgrupo ni por forma de provisión, así que no hay cifra de LD. Solo dice que 'los siete niveles 30 y el nivel 29 ocupados' son en un 62,5% mujeres. Altos cargos y eventuales: no figuran como tales en el informe.</t>
  </si>
  <si>
    <t xml:space="preserve">El Resumen ejecutivo de la Memoria 2024 (https://cnmc.es/sites/default/files/editor_contenidos/CNMC/Memorias/Resumen-ejecutivo-memoria-2024_.pdf), pp.14-15, solo dice: 'Consolidada plantilla 560 efectivos' (2024), sin desglose. La Memoria CNMC 2024 (https://cnmc.es/sites/default/files/editor_contenidos/CNMC/Memorias/Memoria_CNMC_2024_.pdf) tiene el 'ANEXO VIII: RECURSOS HUMANOS DE LA CNMC' en la p.145, pero la lectura automática se corta hacia la p.34. Según la p.9, el Consejo 'Está integrado por 10 miembros cuyo nombramiento se lleva a cabo por el Gobierno': es su composición legal, no un recuento de altos cargos en ejercicio, y no se ha usado como cifra. La Memoria 2025 no se ha podido abrir: la URL de la ficha requiere un permiso que no se respondió.</t>
  </si>
  <si>
    <t xml:space="preserve">Desglose por categorías, libre designación, altos cargos y eventuales. Comprobación manual recomendada: Memoria CNMC 2024, Anexo VIII (p.145), o su equivalente en la Memoria 2025.</t>
  </si>
  <si>
    <t xml:space="preserve">No se ha podido cotejar la cifra de 20,371 M con la IGAE 08.2026. Esa URL no estaba en resultados de búsqueda y WebFetch la rechaza. Además, WebFetch trunca estos PDF hacia la página 27-28, antes del bloque de gastos de OOAA (págs. ~42-72). Sí se leyó la IGAE ORGANISMOS 05.2026, p.10, 'Presupuesto de ingresos, previsiones y sus modificaciones', en miles de EUR: AESAN '14.483 394 14.877 14.483 -2 14.481'. Las previsiones iniciales de ingresos son 14,483 M tanto en 2026 como en 2025, lo que es coherente con un presupuesto prorrogado. Es presupuesto de ingresos y NO sirve para cotejar el crédito de gastos (19,544 inicial y 20,371 total), por eso no se ha llevado a ninguna columna numérica. La nota BB solo remite a BN/BU.</t>
  </si>
  <si>
    <t xml:space="preserve">No se ha re-cotejado el crédito total de AESAN de 20,371 M ni su cap.1 en la IGAE 08.2026: el PDF no es accesible con las herramientas disponibles (provenance y truncado en p.~27). Si se quiere confirmar, hay que mirar las págs. 42-72 de la edición 08.2026 de la IGAE.</t>
  </si>
  <si>
    <t xml:space="preserve">EPSAP Enero 2026 (revisión agosto 2026), Tabla 3.1 'Efectivos de OO.AA. por ministerio de adscripción y tipología de personal', p.23, fila literal 'AGENCIA DE INFORMACIÓN Y CONTROL ALIMENTARIOS, O.A. 80 1 - 81'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El Informe de actividad de AICA de diciembre de 2025 (https://www.mapa.gob.es/dam/mapa/contenido/prensa/notas-de-prensa/documentos/documentos-2026/informe-de-actividad-de-aica_diciembre-2025.pdf) solo da actividad: 399 inspecciones y 991 infracciones sancionadas en 2025. No tiene datos de personal. No se ha localizado RPT ni memoria con recursos humanos.</t>
  </si>
  <si>
    <t xml:space="preserve">Puestos RPT: página 'Información institucional, organizativa y de planificación' de AICA no accesible (error de lectura); memorias anuales no revisadas para RPT.
Inspectores vs administración, libre designación, altos cargos y eventuales.</t>
  </si>
  <si>
    <t xml:space="preserve">No hay cifras numéricas. RD 64/2015 consolidado (última actualización 02/04/2025): cita literal del art. 13 y referencia al art. 11.1.d. Memoria del Observatorio de 2024 (MAPA): creado por el art. 19 de la Ley 12/2013 (reforzado por la Ley 16/2021); adscrito a través de la DG de Alimentación; secretaría en la SG de Promoción de los Alimentos de España; constituido el 07/04/2015; plenos de 2024 en las fechas indicadas. Corrección de la nota previa «Medios del MAPA / AICA»: la norma imputa los gastos al presupuesto del Ministerio, no a AICA.</t>
  </si>
  <si>
    <t xml:space="preserve">No se han encontrado importes de contratos ni de encargos para los estudios de cadena de valor (la Memoria 2024 no los da y la búsqueda en contratación no dio resultados), ni el n.º de efectivos de apoyo. La web del MAPA sobre función y estructura bloquea la lectura automática (robots).</t>
  </si>
  <si>
    <t xml:space="preserve">EPSAP Enero 2026 (revisión agosto 2026), Tabla 3.1 'Efectivos de OO.AA. por ministerio de adscripción y tipología de personal', p.24, fila literal 'ORGANISMO ESTATAL INSPECCIÓN DE TRABAJO Y SEGURIDAD SOCIAL O.A. 3.339 74 183 3.596'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Contexto en notas: Informe Anual ITSS 2024, cap. 02 Recursos humanos, Tabla 1 p.31 (inspectores/subinspectores a 31/12/2024) y p.33 (estructura y apoyo 1.150).
No es comparable con la EPSAP de enero de 2026 (3.596 efectivos del O.A., con 183 de 'otro personal'): es otra fecha y otra fuente. El Informe 2024 no trae datos de libre designación, altos cargos ni eventuales.</t>
  </si>
  <si>
    <t xml:space="preserve">Puestos RPT totales del O.A.: no localizados. El Informe Anual ITSS 2024 (cap. Recursos humanos) no da RPT ni dotaciones. Respuesta parlamentaria del Gobierno 184/27631 (8/10/2025) cita '346 puestos de estructura del OEITSS' para inspectores/subinspectores, sin fecha ni total: no usada. Informe Anual ITSS 2025 no localizado.
Libre designación, altos cargos y personal eventual.</t>
  </si>
  <si>
    <t xml:space="preserve">AECID, página 'Información de recursos humanos' (modif. 06/10/2026): '880 empleados' a 15/07/2026 = 407 sede (Madrid) + 473 exterior (OTC). RPT a 15/07/2026: personal funcionario 'Total Puestos: 364' (22 pp.); laboral de convenio 'Número total puestos: 32' (7 pp.); laboral fuera de convenio 'Total Puestos: 11' (3 pp.: 5 Subdirector/a, 3 Técnico experto en cooperación, 2 Director/a, 1 Analista de sistemas). 364+32+11 = 407, igual a los empleados de sede; los 473 del exterior no figuran en estas RPT. URLs: https://www.aecid.es/documents/d/guest/rpt-aecid-personal-funcionario-15-7-2026-pdf?download=true ; https://www.aecid.es/documents/d/guest/rpt-aecid-personal-laboral-de-convenio-15-7-2026-pdf ; https://www.aecid.es/documents/d/guest/rpt-aecid-personal-laboral-sin-convenio-15-7-2026-pdf</t>
  </si>
  <si>
    <t xml:space="preserve">Sin desglose por función ni por subgrupo. La RPT de funcionarios no trae totales por subgrupo ni por forma de provisión, y el texto extraído separa las columnas, así que no se pueden contar LD ni subgrupos con fiabilidad (no se estima). El Plan de Acción 2025 y el 2026 (https://www.aecid.es/documents/d/guest/plan-de-accion-2026) no dan cifras de plantilla en las páginas legibles; la extracción del de 2026 se corta en la p. 30, antes del apartado VII.2 de RRHH. Altos cargos y eventuales: no consta ninguna cifra; la web solo publica las retribuciones del Director (122.579 EUR).</t>
  </si>
  <si>
    <t xml:space="preserve">Plan de acción anual 2026 de la Agencia Estatal BOE (propuesta del Consejo Rector 9/6/2026; resolución de aprobación firmada 01/07/2026), ap. 3, p.5, literal: 'la Agencia dispone de una plantilla de 270 efectivos, a 1 de enero de 2026, 178 laborales y 92 funcionarios'; repetido en Anexo 2 (HO 3) y Memoria p.10 ('270 empleados/as a 1 de enero de 2026'). Unidad: personas. Cotejo: EPSAP enero 2026 (revisión agosto 2026), Tabla 4.1 p.37, fila 'AGENCIA ESTATAL BOLETÍN OFICIAL DEL ESTADO 92 178 - 270' (idéntica en la versión original).
Plan de acción anual 2026 de la AEBOE (https://www.boe.es/transparencia/documentos/plan_accion_aeboe_2026.pdf), ap. 3, p. 5: 'una plantilla de 270 efectivos, a 1 de enero de 2026, 178 laborales y 92 funcionarios'; el Anexo 2 (HO 3) repite la cifra de '270 empleados/as'. El plan no desglosa por grupo/subgrupo, por departamento (producción/imprenta frente a gestión) ni por categoría, y no da altos cargos, LD ni eventuales.</t>
  </si>
  <si>
    <t xml:space="preserve">Puestos RPT: no localizados (el Plan de acción 2026 no da puestos RPT; la página de transparencia de la AEBOE no publica RPT con totales).
No se ha encontrado distribución por grupos ni por áreas. La página de empleo (https://www.boe.es/transparencia/empleo/index.php?tipo=F) solo enlaza procesos selectivos (p. ej. plazas de Oficial/a de Oficios Propios de Prensa, preimpresión), sin RPT ni catálogo de personal laboral publicados. No se ha encontrado memoria 2025 con apartado de RRHH.</t>
  </si>
  <si>
    <t xml:space="preserve">EPSAP Enero 2026 (revisión agosto 2026), Tabla 4.1 'Efectivos de agencias estatales por ministerio de adscripción y tipología de personal', p.37, fila literal 'CONSEJO SUPERIOR DE INVESTIGACIONES CIENTÍFICAS - CSIC 7.136 9.767 227 17.130'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Desglose por función de la Memoria Anual CSIC 2025 (personas, dic-2025): 7.465 investigadores (5.433 doctores/plantilla investigadora + 2.032 predoctorales) + 7.751 técnicos = 15.216 núcleo; 1.139 gestión/admón./servicios; 1.116 no asignados a área; total 17.471. Escalas a 31/12/2024 (Informe Mujeres Investigadoras 2025): PI 639, IC 1.050, CT 2.100, RyC 225, postdoc 1.180, predoc 1.821. Fuente complementaria: https://members.ift.uam-csic.es/ed/wp-content/uploads/2025/09/Informe-Mujeres-Investigadoras-2025-CMyC-CSIC.pdf</t>
  </si>
  <si>
    <t xml:space="preserve">Puestos RPT: no buscados en profundidad (organismo con &gt;17.000 efectivos; contrato de gestión 2023-2026, Orden PCM/829/2023, no revisado para plantilla).
Sección 'Recursos Humanos' de la Memoria 2025 (p.86: funcionarios/laborales por escala técnica y de gestión) no legible por truncado de la extracción del PDF; tampoco la de la Memoria 2024 (p.85). Puestos de libre designación, altos cargos y personal eventual del CSIC: no localizados en fuente oficial con cifra (RPT no consultable). La 'Base del personal' de la ficha (EPSAP ene-2026: 17.130) es otra fuente y otra fecha; el desglose usa su propio total de 17.471 (memoria, dic-2025).</t>
  </si>
  <si>
    <t xml:space="preserve">EPSAP Enero 2026 (revisión agosto 2026), Tabla 4.1 'Efectivos de agencias estatales por ministerio de adscripción y tipología de personal', p.37, fila literal 'AGENCIA ESTATAL DE METEOROLOGÍA 941 44 73 1.058'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Solo porcentajes: Plan Estratégico AEMET 2025-2029 pp.18-19 (90% de la plantilla en cuerpos especiales de meteorología; A1 22%, A2 27/29%, C1 49%; ~1.000 personas; sin fecha).</t>
  </si>
  <si>
    <t xml:space="preserve">Puestos RPT totales: no verificados. Plan de acción anual AEMET 2026 (fecha 4-jun-26) sin cifras de plantilla ni RPT; página de planificación/transparencia sin enlaces a RPT con totales.
Informe Anual AEMET 2024 (aemet.es) no se pudo abrir (error de descarga, 3 intentos). En el Informe Anual 2022 (repositorio.aemet.es), la sección 7.2 'Gestión de recursos humanos' (p.64) queda fuera del texto extraído, que se corta hacia la p.62. El Plan de Acción Anual 2026 no trae cifras de RRHH. RPT de funcionarios no contada (PDF de transparencia demasiado largo para leerlo entero). No localizados: libre designación, altos cargos ni eventuales. Hay datos por cuerpos en notas sindicales de CSIF ('AEMET Evolución Personal 2009-2026'), no usadas por no ser fuente oficial.</t>
  </si>
  <si>
    <t xml:space="preserve">EPSAP Enero 2026 (revisión agosto 2026), Tabla 4.1 'Efectivos de agencias estatales por ministerio de adscripción y tipología de personal', p.37, fila literal 'AGENCIA ESPAÑOLA DE MEDICAMENTOS Y PRODUCTOS SANITARIOS 525 68 36 629'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Memoria AEMPS 2025 p.6 (Equipo AEMPS 655 = 525 científico-técnico + 108 funciones administrativas + 22 becas de formación).</t>
  </si>
  <si>
    <t xml:space="preserve">Puestos RPT: no publicados en cifras; la Memoria de actividades 2025 (p.22) solo menciona la necesidad de un 'refuerzo de la relación de puestos de trabajo (RPT)'.
Sin fecha de corte en la figura. La memoria no tiene apartado de RRHH: no hay desglose entre evaluadores e inspectores, ni por subgrupo, libre designación, altos cargos o eventuales.</t>
  </si>
  <si>
    <t xml:space="preserve">La página de transparencia 'Plantilla' del INVIED (https://www.defensa.gob.es/invied/13-transparencia/Organizacion/Plantilla.html) no se pudo abrir (error de cliente repetido; la versión 'ca' carga vacía). El Plan de Actuación 2023-2025 (https://www.defensa.gob.es/invied/Galerias/ficheros/general/Plan_Actuacion_INVIED_2023_2025.pdf, p. 12, datos de finales de 2022) solo da colectivos: '333 efectivos previstos, de los que están cubiertos 213'; funcionarios 73 de 146; militares 90 de 105; laborales 50 de 82. No hay grupos, empleos ni LD. Fecha distinta a la de la ficha (30/06/2026), así que no se usa como desglose.</t>
  </si>
  <si>
    <t xml:space="preserve">No hay desglose por subgrupo ni función del personal civil, ni puestos LD, altos cargos o eventuales. Los 91 militares irían a 'otro', pero sin el reparto de los 106 civiles (77 funcionarios + 29 laborales) el desglose no se puede completar.</t>
  </si>
  <si>
    <t xml:space="preserve">EPSAP Enero 2026 (revisión agosto 2026), Tabla 3.1 'Efectivos de OO.AA. por ministerio de adscripción y tipología de personal', p.24, fila literal 'CONFEDERACIÓN HIDROGRÁFICA DEL MIÑO-SIL, O.A. 158 52 - 210'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</si>
  <si>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búsquedas de memoria/transparencia de la CH Miño-Sil sin resultado con plantilla o RPT.
No se ha encontrado RPT, memoria ni cuentas con desglose por función (guardería fluvial, técnicos, administración) ni por subgrupo. chminosil.es bloquea el acceso por robots (página 'Funcionarios'). El Portal de Transparencia de la AGE (rpt-mted) carga por JavaScript y no expone los PDF de la Confederación. Solo queda el total de la EPSAP de enero de 2026 que ya está en la ficha (158 funcionarios + 52 laborales = 210).</t>
  </si>
  <si>
    <t xml:space="preserve">EPSAP Enero 2026 (revisión agosto 2026), Tabla 3.1 'Efectivos de OO.AA. por ministerio de adscripción y tipología de personal', p.24, fila literal 'CONFEDERACIÓN HIDROGRÁFICA DEL CANTÁBRICO, O.A. 185 74 1 260'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</si>
  <si>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búsquedas de memoria/transparencia de la CH Cantábrico sin resultado con plantilla o RPT.
No se ha encontrado RPT ni memoria reciente con desglose. En chcantabrico.es solo aparecen memorias de cuentas de 2009 y 2011 y el Plan de actuación 2013 (fechas no comparables). El Portal de Transparencia de la AGE (rpt-mted) no expone los PDF. Queda el total de la EPSAP de enero de 2026 de la ficha (185 funcionarios + 74 laborales + 1 otro = 260).</t>
  </si>
  <si>
    <t xml:space="preserve">EPSAP Enero 2026 (revisión agosto 2026), Tabla 3.1 'Efectivos de OO.AA. por ministerio de adscripción y tipología de personal', p.23, fila literal 'SERVICIO ESPAÑOL PARA LA INTERNACIONALIZACIÓN DE LA EDUCACIÓN (SEPIE) 116 4 - 120'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</si>
  <si>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no localizados en sepie.es (memoria/transparencia).
No se pudo leer ninguna fuente del SEPIE: sepie.es (portal de transparencia y memoria) entra en un bucle de redirección https→http y WebFetch no lo abre. El PDF del Portal de Transparencia de la AGE con el nombre del SEPIE es solo el organigrama (unidades: Educación Superior, Internacionalización de la Educación Superior, FP y Europass, Educación Escolar y de Personas Adultas, Coordinación, Evaluación y Control), sin puestos. No se encontró la RPT del organismo.</t>
  </si>
  <si>
    <t xml:space="preserve">EPSAP Enero 2026 (revisión agosto 2026), Tabla 4.1 'Efectivos de agencias estatales por ministerio de adscripción y tipología de personal', p.37, fila literal 'AGENCIA ESTATAL AGENCIA ESPACIAL ESPAÑOLA 53 12 - 65'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</si>
  <si>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no localizados (aee.gob.es solo publica convocatorias de provisión; sin plan de acción ni memoria con plantilla).
No se localizó memoria, plan de acción ni RPT publicada de la Agencia Espacial Española con desglose del personal por función o subgrupo, ni cifras de libre designación, altos cargos o eventuales. Las búsquedas devolvieron solo convocatorias del BOE y de ciencia.gob.es (plazas laborales fijas 2026) y prensa. Total de referencia disponible: EPSAP ene-2026 (65: 53 funcionarios + 12 laborales), sin función.</t>
  </si>
  <si>
    <t xml:space="preserve">RD 729/2023 (BOE-A-2023-18911), reproducido en el Boletín de Hacienda 84009.pdf. P.4, DT 1ª 'Régimen Presupuestario transitorio': 'En tanto en cuanto la Agencia no tenga presupuesto aprobado por ley, los gastos se imputarán con cargo al presupuesto del Ministerio de Asuntos Económicos y Transformación Digital'. P.3, DA 1ª: puesta en funcionamiento con la constitución del Consejo Rector, en un plazo máximo de 3 meses. No se añaden cifras. Se han reescrito BN y BU conservando el texto previo de BN.
EPSAP Enero 2026 (revisión agosto 2026), Tabla 4.1 'Efectivos de agencias estatales por ministerio de adscripción y tipología de personal', p.37, fila literal 'AGENCIA ESPAÑOLA DE SUPERVISIÓN DE INTELIGENCIA ARTIFICIAL 26 9 - 35'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La Tabla 10 de la Memoria y Plan Inicial es una previsión de 41 puestos para 2024 por unidad y nivel, sin subgrupo; parte de la asignación por unidad es reconstruida. No es RPT aprobada ni ocupación, así que no se usa para el desglose. Las convocatorias encontradas (19 plazas de laboral fijo fuera de convenio, OEP 2024, firmada el 25/03/2025; 10 plazas de laboral temporal Titulado/a Superior, firmada el 07/03/2025) no dan la plantilla.</t>
  </si>
  <si>
    <t xml:space="preserve">IGAE ORGANISMOS 12. 2025, págs. 99-119. WebFetch solo devuelve unos 60.454 caracteres (págs. 1-27, ingresos de OOAA) y el texto acaba a mitad de fila en la p.27. El navegador integrado no estaba autorizado: el usuario no respondió a la petición de acceso. No se buscaron cuentas anuales 2025 de AESIA en BOE porque el cupo de búsquedas se agotó.
Puestos RPT aprobados: no localizados; solo la previsión del Plan Inicial de Actuación (41 puestos), que no es RPT aprobada.
Desglose real por función o subgrupo, libre designación y eventuales.</t>
  </si>
  <si>
    <t xml:space="preserve">BOE-A-2025-1315 (Resolución 14/01/2025, BOE 24/01/2025, pp.10696-10697): recital cuarto y nueva cláusula decimocuarta, en la que la constitución efectiva de la AEAD 'puede producirse' durante la vigencia del convenio, es decir, todavía no se había producido. BOE-A-2025-9189 (Resolución 28/04/2025, BOE 10/05/2025, pp.61428-61435): convenio AEAD–Banco de España firmado el 15/04/2025 y con efectos el 17/04/2025; la AEAD sucede a la SGAD 'desde el momento de su constitución efectiva'. No aportan importes de presupuesto ni de personal. No se añaden cifras numéricas.
EPSAP Enero 2026 (revisión agosto 2026), Tabla 4.1 'Efectivos de agencias estatales por ministerio de adscripción y tipología de personal', p.37, fila literal 'AGENCIA ESTATAL DE ADMINISTRACIÓN DIGITAL 416 6 16 438'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Sin cifra nueva. Se comprobó que la edición IGAE 12.2025 se lee solo hasta la p.27: en la p.23 y la p.26 aparece la fila de ingresos del Ministerio 'PARA LA TRANSF. DIGITAL Y LA FUNCIÓN PÚBL.', no la AEAD. BOE-A-2026-7887 (título comprobado: Resolución de 24/03/2026 de la Subsecretaría de Presidencia que publica el convenio AEAD-Tribunal de Cuentas): contribución de 6.000 EUR anuales del Tribunal a la AEAD, que no es presupuesto ni gasto de personal.
No se ha localizado plan de acción, memoria ni RPT de la AEAD con distribución del personal. Las búsquedas solo devuelven convocatorias en el BOE.</t>
  </si>
  <si>
    <t xml:space="preserve">IGAE ORGANISMOS 12. 2025, págs. 99-119: inaccesibles por truncado de WebFetch, que llega a la p.27. Cuentas anuales 2025 de la AEAD en BOE: no localizadas antes de agotarse el cupo de búsquedas; los resultados devolvieron solo convenios. Fecha exacta de constitución de la AEAD: no localizada.
Puestos RPT: no localizados; no se encontró plan de acción anual de la AEAD con plantilla.
BO-BU (anual 2025): no legibles en IGAE 12.2025 por truncado de la extracción en la p.27. Cuentas anuales 2025 de la AEAD: no localizadas. Puestos RPT: no localizados.
Todo el desglose, libre designación, altos cargos y eventuales.</t>
  </si>
  <si>
    <t xml:space="preserve">Orden PJC/908/2025, de 8 de agosto (BOE-A-2025-16764, BOE núm. 193 de 12/08/2025): puesta en funcionamiento el 1/9/2025 y apartado tercero de financiación con créditos del Ministerio hasta que haya presupuesto propio (cita literal). Orden PJC/1554/2025, de 26 de diciembre (BOE-A-2025-27082, BOE núm. 314 de 30/12/2025), preámbulo: prórroga 'necesaria para finalizar el proceso de puesta en funcionamiento de la Autoridad, una vez cuente con presupuesto propio en 2026'. Orden PJC/656/2026 (BOE-A-2026-14196, BOE 30/06/2026): prórroga del apoyo de servicios hasta el 30/09/2026 por la integración en los servicios comunes de la AEAD; no menciona presupuesto. Ninguna de estas normas aporta importes, así que no se añaden cifras numéricas.
Plan de Actuación Anual 2026 AIPI (sin fecha de aprobación visible; RPT fechada julio 2026), p.19 literal: 'La AIPI cuenta actualmente con una Relación de Puestos de Trabajo (RPT) con 22 puestos de los que están cubiertos 17.' Pie: 'Ilustración 3. Relación de Puestos de Trabajo de la AIPI. Julio de 2026. Registro Central de Personal.' Unidad: puestos/personas. Cobertura 17/22 = 0,7727. Cotejo: p.20 presupuesto 2026 '1 Gastos de personal 2.599,32' miles EUR = crédito cap.1 2,599 M ya en la ficha. Orden PJC/908/2025: inicio de funcionamiento 1/9/2025.
Desglose por función sobre 17 personas en puesto RPT en julio de 2026. Los Vocales de la Unidad de Apoyo pueden hacer trabajo técnico; se dejan en 'otro' porque el PAA no describe las funciones de esa unidad.</t>
  </si>
  <si>
    <t xml:space="preserve">IGAE ORGANISMOS 12. 2025, págs. 99-119: no legibles por truncado de WebFetch (llega a la p.27). La conclusión sobre 2025 se apoya en las órdenes ministeriales citadas, no en la IGAE.
Desglose funcionarios/laborales no publicado. Discrepancia 22 (texto) vs 24 filas (Ilustración 3, lectura automática) no resuelta.
Libre designación (la Ilustración 3 no tiene forma de provisión) y personal eventual (el PAA no lo menciona).</t>
  </si>
  <si>
    <t xml:space="preserve">Sin cifra nueva. Se mantiene el texto existente sobre la financiación provisional con créditos de Igualdad.
BOE-A-2026-16172 (PDF, BOE núm. 180 de 25/07/2026; título comprobado: 'Real Decreto 606/2026, de 22 de julio, por el que se aprueba el Estatuto de la Autoridad Independiente para la Igualdad de Trato y la No Discriminación, A.A.I.'): DT única apdos.1-3 (pp.104854-104855), art.10.f-h (p.104864), art.19.1 (p.104870). MAIN del Estatuto (igualdad.gob.es, audiencia nov. 2025): p.23 presupuesto provisional 2025 de 112.447,76 EUR y aplicaciones 30.01.232M; p.20 RPT provisional de 19 puestos. No se añaden importes a columnas numéricas.</t>
  </si>
  <si>
    <t xml:space="preserve">No se ha podido comprobar si aparece en la IGAE 07/08.2026 (bloque 'resto de entidades', págs. ~99-119). WebFetch trunca los PDF de ORGANISMOS hacia la p.27 y la URL de la edición 08.2026 no estaba en resultados de búsqueda. Tampoco se pudo releer el RD 606/2026 (BOE-A-2026-16172) para citar el artículo exacto de la financiación transitoria: WebFetch devuelve error de robots en txt.php y doc.php. El cupo de búsquedas se agotó antes de localizar transferencias de crédito o un presupuesto de constitución en BOE.
IGAE ORGANISMOS 08.2026: la URL no aparece en los resultados de búsqueda (procedencia denegada) y, en las ediciones accesibles (12.2025), el texto extraído termina en la p.27, así que el bloque de pp.99-119 no es legible. Orden de puesta en funcionamiento de la Autoridad: no localizada (BOE-A-2026-19049 de la ficha no aparece en búsquedas). Transferencias de crédito a su favor: no localizadas. Texto del RD a partir del art.20.2: truncado en la extracción.</t>
  </si>
  <si>
    <t xml:space="preserve">Sin cifra nueva.
BOE-A-2026-2553 (PDF, BOE de 04/02/2026; título comprobado: 'Real Decreto 65/2026, de 3 de febrero, por el que se aprueba el Estatuto de la Agencia Estatal de Evaluación de Políticas Públicas'): DT tercera p.17526; DT primera p.17525; DA sexta p.17525; DA primera p.17524; arts.41.1 y 42.2 p.17546; art.16.i p.17535; art.30.2 p.17542. Páginas tomadas de los pies del texto extraído. Ninguna cifra numérica.</t>
  </si>
  <si>
    <t xml:space="preserve">No se ha podido comprobar si aparece en la IGAE 07/08.2026 (bloque 'resto de entidades'): los PDF se truncan hacia la p.27. Tampoco se pudo releer el RD 65/2026 (BOE-A-2026-2553) ni el BOE-A-2026-10246 para citar el artículo del régimen transitorio. Las dos URLs son de la ficha y no salieron en resultados de búsqueda, así que WebFetch exige permiso del usuario, que no respondió. El cupo de búsquedas se agotó.
IGAE ORGANISMOS 08.2026 (bloque resto de entidades): no legible (procedencia y truncado en la p.27). Presupuesto propio 2026, plan de acción o RPT de la Agencia: no localizados. Frase 'no supondrá incremento del gasto': no aparece en el RD.</t>
  </si>
  <si>
    <t xml:space="preserve">Sin cifra nueva.
BOE-A-2026-3787 (título comprobado: 'Orden PJC/101/2026, de 17 de febrero, por la que se publica el Acuerdo del Consejo de Ministros de 17 de febrero de 2026, por el que se modifica el plazo de resolución del procedimiento para la determinación de la sede física de la Agencia Estatal de Salud Pública', pp.25284-25285). BOE-A-2026-16527 (título comprobado: 'Orden PJC/781/2026, de 28 de julio, por la que se publica el Acuerdo del Consejo de Ministros de 28 de julio de 2026, por el que se determina la sede física de la Agencia Estatal de Salud Pública', BOE núm.184, p.106638 y ss.). Ninguna cifra se lleva a columnas numéricas.</t>
  </si>
  <si>
    <t xml:space="preserve">Mismo problema que en los IDs 44 y 45: no se pudo leer el bloque 'resto de entidades' de la IGAE 07/08.2026 ni la Ley 7/2025 o el BOE-A-2026-16527, para citar el artículo de financiación transitoria con medios de Sanidad, ni buscar un estatuto o presupuesto de constitución. El cupo de búsquedas se agotó.
Ley 7/2025 en BOE (arts.4-5 y disposiciones): la URL eli no aparece en resultados (procedencia denegada) e iberley solo da el índice. Real decreto de Estatuto de la AESAP: no localizado en búsquedas. IGAE 08.2026: no legible (procedencia y truncado en la p.27). Presupuesto de constitución o transferencias de crédito: no localizados.</t>
  </si>
  <si>
    <t xml:space="preserve">Sin cifras. Norma leída en BOE (BOE-A-2018-15776, BOE núm. 279 de 19/11/2018 según cabecera de la página): apdo. noveno (no incremento de gasto, medios personales y materiales del departamento), apdo. cuarto (secretaría), apdo. undécimo (supresión del Observatorio de Pagos con Tarjeta Electrónica). Corrección de matiz: la nota previa decía 'Medios del Ministerio de Industria y Turismo'; la norma remite al departamento de 2018 (Industria, Comercio y Turismo) y la web oficial actual del Observatorio está en comercio.gob.es con cabecera del Ministerio de Economía, Comercio y Empresa (un metadato aún indica 'Ministerio de Industria y Turismo'). Posible discrepancia de fecha: la columna 'Norma fundacional' dice 'publicado 25/10/2018', pero 25/10/2018 es la fecha de la Resolución; la página BOE indica publicación en BOE núm. 279 de 19/11/2018 (no se ha tocado la columna).</t>
  </si>
  <si>
    <t xml:space="preserve">No se ha encontrado contrato, convenio ni línea presupuestaria a nombre del Observatorio del Comercio 4.0 (la web muestra logotipos NextGeneration/PRTR sin vincular importes al Observatorio). Búsqueda adicional en PLACSP no posible: cupo de búsquedas web agotado.</t>
  </si>
  <si>
    <t xml:space="preserve">Sin cifras. RD 938/2020 leído en BOE (ELI): DA única (no incremento de gasto; medios del Ministerio), art. 4.1.i y 4.2 (unidad de apoyo y secretaría). La página no muestra modificaciones posteriores.</t>
  </si>
  <si>
    <t xml:space="preserve">Sin financiación específica identificable (convenio/contrato/línea) a nombre del Observatorio; búsqueda adicional limitada por cupo de búsquedas web agotado. Sin cifra publicada de personal de la Unidad de Mujeres y Ciencia.</t>
  </si>
  <si>
    <t xml:space="preserve">Sin cifras. Orden TMS/667/2019 leída en BOE (ELI): DA única (medios actuales, sin aumento de dotaciones), arts. 6.1 y 7.1 (secretarías). Consta modificada por Orden TMS/1066/2019 (arts. 2.2, 3.b, 6.2, 7.1 y 7.2), no derogada.</t>
  </si>
  <si>
    <t xml:space="preserve">Sin financiación específica identificable ni personal asignado publicado; búsqueda adicional limitada por cupo de búsquedas web agotado.</t>
  </si>
  <si>
    <t xml:space="preserve">Sin cifras. Texto de la orden reguladora leído en copia íntegra alojada en culturaygenero.com (mismo título que el PDF oficial ya listado en la ficha, cultura.gob.es/dam/.../report-orden-reguladora-observatorio-igualdad.pdf, que no pudo abrirse en esta sesión): apdo. quinto (medios del Ministerio), apdo. tercero.1.d (secretaría). No consta publicación en BOE en el texto. Conviene cotejar contra el PDF oficial de cultura.gob.es; la copia de tercero se da solo como pista de lectura.</t>
  </si>
  <si>
    <t xml:space="preserve">No se ha localizado publicación en BOE de la orden de 2024 ni financiación específica a nombre del Observatorio; búsqueda adicional limitada por cupo de búsquedas web agotado.</t>
  </si>
  <si>
    <t xml:space="preserve">Sin cifras. RD 431/2022 leído en texto consolidado BOE (sin modificaciones; en vigor desde 09/06/2022): art. 5.7 (no incremento de gasto; puestos de plantilla del Instituto Cervantes), arts. 4.1, 4.3 y 5.2.</t>
  </si>
  <si>
    <t xml:space="preserve">No se ha localizado línea presupuestaria, convenio o transferencia identificable a nombre del Observatorio en el presupuesto del Instituto Cervantes ni en el PERTE; búsqueda adicional limitada por cupo de búsquedas web agotado. Sin cifra publicada de puestos asignados.</t>
  </si>
  <si>
    <t xml:space="preserve">Sin cifras. RD 854/2022 leído en texto consolidado BOE (última actualización 02/10/2025): DA primera (no incremento de gasto), preámbulo (presupuesto ordinario de la DG de Desarrollo Rural, Innovación y Formación Agroalimentaria), arts. 4.2.19.º, 4.3, 5.3 y 6.3.</t>
  </si>
  <si>
    <t xml:space="preserve">No se ha localizado encargo a medio propio ni contrato identificable a nombre de la plataforma/Mesa; búsqueda en PLACSP no posible por cupo de búsquedas web agotado.</t>
  </si>
  <si>
    <t xml:space="preserve">Sin cifras. RD 439/2024 leído en BOE (ELI): DA única (sin gastos adicionales; medios del departamento), arts. 9, 13.2, 14.5 y 14.8.</t>
  </si>
  <si>
    <t xml:space="preserve">Sin financiación específica identificable a nombre del Observatorio; búsqueda adicional limitada por cupo de búsquedas web agotado.</t>
  </si>
  <si>
    <t xml:space="preserve">Sin cambios. No hay norma de creación con cláusula de gasto que verificar: la ficha lo describe como proyecto estadístico conjunto (Economía/Hacienda, Banco de España, AEAT) lanzado por nota de 2023.
Sin cifras. Página OME del Ministerio de Hacienda (ya en ficha): 'proyecto conjunto del Ministerio de Economía, Comercio y Empresa, el Banco de España' y la AEAT; datos trimestrales de la AEAT; no cita norma, convenio, personal ni coste. Análisis AEAT (24/07/2023, act. 13/02/2024): 'proyecto conjunto impulsado por el Ministerio de Asuntos Económicos y Transformación Digital', BdE y AEAT; sin norma ni recursos. Se mantiene 'Sin cifra propia actual verificada'.</t>
  </si>
  <si>
    <t xml:space="preserve">No se ha podido localizar convenio o acuerdo publicado que regule su financiación ni personal asignado: el cupo de búsquedas web de la sesión se agotó antes de revisar este órgano. Se mantiene 'Sin cifra propia actual verificada'.
3 búsquedas: convenio BOE AEAT–Banco de España–Ministerio sobre el Observatorio; 'Observatorio de Márgenes Empresariales' + Real Decreto-ley / Acuerdo del Consejo de Ministros / orden. No aparece instrumento jurídico publicado que lo cree o financie. La nota del Banco de España de lanzamiento (URL demasiado larga para el lector) no pudo leerse. Sin personal asignado publicado.</t>
  </si>
  <si>
    <t xml:space="preserve">Sin cambios.
Sin cifras. Orden ministerial leída en el PDF firmado de sanidad.gob.es (URL ya en ficha; título comprobado: 'ORDEN MINISTERIAL POR LA QUE SE CREA EL OBSERVATORIO CONTRA EL FRAUDE Y LA CORRUPCIÓN SANITARIA', firma 26/04/2024 13:37): apartados Segundo.1-2, Tercero.1.a y 1.c, Noveno.1 y Décimo (medios del Departamento; sin gastos adicionales ni incremento de gasto público). La Orden no contiene cláusula sobre retribuciones/indemnizaciones. Portal OCFCS (home.htm) confirma creación 26/04/2024 y secretaría SGT.</t>
  </si>
  <si>
    <t xml:space="preserve">No se pudo leer la Orden ministerial de 26/04/2024 (PDF de sanidad.gob.es listado en la ficha): la URL no estaba disponible para lectura en esta sesión y el cupo de búsquedas web se agotó. Pendiente verificar su cláusula de gasto/medios antes de cambiar a 'verificado en norma'.
Sin financiación específica identificable (contrato, encargo o línea) a nombre del Observatorio; no se buscó más por cupo. La Orden no aparece publicada en BOE (solo PDF firmado en la web del Ministerio).</t>
  </si>
  <si>
    <t xml:space="preserve">Sin cifras. Orden PJC/849/2024 leída en PDF BOE (núm. 193, 10/08/2024): art. 7.2, art. 8, DA única (no incremento de gasto; medios de la DGGC), DF primera y segunda (RPT y destinos).</t>
  </si>
  <si>
    <t xml:space="preserve">No se ha localizado RPT o memoria con número de puestos/efectivos del Observatorio; búsqueda adicional limitada por cupo de búsquedas web agotado.</t>
  </si>
  <si>
    <t xml:space="preserve">Sin cifras. RD 371/2026 leído en BOE (ELI y consolidado): art. 19 (Observatorio), art. 13.1, art. 17, DA única apdos. 1 y 2. Identificador BOE-A-2026-9880. Matiz: la cláusula de no incremento de gasto nombra al Foro; para el Observatorio la norma solo atribuye diseño y mantenimiento al MTDFP, sin dotación propia.</t>
  </si>
  <si>
    <t xml:space="preserve">No se ha localizado contrato o encargo identificable para el desarrollo del entorno del Observatorio en el Portal de la Transparencia, ni la MAIN del proyecto (la página de información pública no mostraba enlaces); cupo de búsquedas web agotado.</t>
  </si>
  <si>
    <t xml:space="preserve">Sin cambios: se mantienen las cifras contextuales existentes (convenio 2021-2025, 1,370 M EUR; 185.000 EUR en 2024 y 2025), que ya citan los PDF del BOE.
BOE-A-2025-26325 (título comprobado: segunda Adenda al Convenio con el Grupo Cooperativo Cajamar, Resolución de 12/12/2025; BOE 22/12/2025, pp. 171140-171144): cláusula primera (ampliar vigencia y dotar 200.000 EUR adicionales), sexta (presupuesto 1.570.000 EUR y anualidades; 200.000 EUR 2026 = 0,2 M EUR), octava (vigente hasta 31/12/2026), financiación MAPA 21.50.410B.684. BOE-A-2024-323 (adenda 2023, título comprobado): cláusula sexta 1.370.000 EUR, cláusula octava vigencia 31/12/2025, cláusula cuarta obligaciones de Cajamar, expositivo tercero PRTR C3 I5; confirma la cifra contextual previa. Se sustituye la contextual 1,37 (2021-2025) por la anualidad 2026 de 0,2 M EUR y se cita el total actualizado 1,57 M en la base. Diagnóstico MAPA–Cajamar (junio 2026): el Observatorio opera 'en el marco del convenio MAPA–Cajamar de 2021 y sus posteriores adendas (2023 y 2025)'.</t>
  </si>
  <si>
    <t xml:space="preserve">No se pudo comprobar si existe prórroga o nuevo convenio MAPA-Cajamar para 2026: los PDF del BOE de la ficha no estaban disponibles para lectura en esta sesión y el cupo de búsquedas web se agotó.
Convenio original BOE-A-2021-17025 no legible (URL no disponible para el lector): no se pudo verificar el reparto exacto MAPA/Cajamar del presupuesto inicial. Sin ejecución/pagos 2026 publicados ni personal asignado cuantificado.</t>
  </si>
  <si>
    <t xml:space="preserve">Sin cambios: se mantiene la cifra contextual de 10,83 M EUR (programa completo de Red.es, no presupuesto del Observatorio).
BOE-A-2024-14138 (título comprobado: Resolución de 29/05/2024 de Red.es, convenio con el Grupo de Entidades para la creación del Espacio de Observación de Derechos Digitales; BOE 10/07/2024): cláusula cuarta, importe máximo 4.781.250 EUR = 4,78125 M EUR; Red.es 3.825.000 EUR máx.; entidades 956.250 EUR mín. en especie; anualidades 1.434.375 / 1.912.500 / 1.434.375 EUR; expositivo XXIX aplicación 27.50.460A.74009; cláusula duodécima vigencia. Nota MTDFP 05/09/2025: ODD forma parte del Programa Derechos Digitales 'con un presupuesto de 10,83 millones de euros', financiado por el PRTR; Red.es aporta el 80 %; sin periodo. Se descartaron por no ser el convenio del ODD BOE-A-2024-2245 (convenio Red.es–UCM y otras) y BOE-A-2024-9144 (Red.es–Fundación ONCE/UC3M/OdiseIA).</t>
  </si>
  <si>
    <t xml:space="preserve">No se pudo releer la cláusula económica del convenio BOE-A-2024-14138 ni localizar fuente primaria con el periodo del programa: PDF no disponible para lectura en esta sesión y cupo de búsquedas web agotado.
Texto de la adenda de 07/05/2026 (Resolución de Red.es): solo localizada en agregadores jurídicos (derecho.com, noticias.juridicas.com) no legibles; no se localizó su URL de BOE. Sin ejecución real ni personal publicado.</t>
  </si>
  <si>
    <t xml:space="preserve">Sin cifras. Orden DSA/819/2020 leída en texto consolidado BOE (sin modificaciones posteriores): apdos. primero.2, tercero.2 y 4, octavo.1-3, undécimo y duodécimo.2 (deroga la Orden PCI/169/2019). Corrige la atribución previa 'Medios del MITERD (Orden PCI/169/2019)': la norma vigente remite al Ministerio de Derechos Sociales y Agenda 2030; no se ha reverificado aquí la denominación actual del departamento.</t>
  </si>
  <si>
    <t xml:space="preserve">Sin financiación específica identificable (contrato de secretaría técnica, etc.) a nombre del Consejo; búsqueda adicional limitada por cupo de búsquedas web agotado.</t>
  </si>
  <si>
    <t xml:space="preserve">Sin cifras. Orden IGD/577/2020 leída en la copia oficial publicada por el Ministerio de Igualdad (texto del BOE núm. 178 de 27/06/2020, págs. 45276-45280, BOE-A-2020-6840): DA única, apdos. 3.1.b y 3.2.</t>
  </si>
  <si>
    <t xml:space="preserve">Sin financiación específica identificable a nombre del Consejo; búsqueda adicional limitada por cupo de búsquedas web agotado.</t>
  </si>
  <si>
    <t xml:space="preserve">Sin cifras. Orden JUI/80/2026 leída en PDF BOE (núm. 35, 09/02/2026): apdos. tercero.3, séptimo.2, duodécimo (págs. 20674-20675), decimosexto (pág. 20676) y decimonoveno.</t>
  </si>
  <si>
    <t xml:space="preserve">No se ha localizado contrato de asistencia técnica al CEPIA ni crédito a su nombre (búsqueda en PLACSP no posible: cupo de búsquedas web agotado).</t>
  </si>
  <si>
    <t xml:space="preserve">Sin cambios.
Sin cifras. Orden PCM/218/2020 consolidada (ELI; título comprobado; última actualización 02/06/2023): apartados Segundo (órgano de apoyo del CSN, art. 20.3 Ley 36/2015), Quinto.a (presidencia JEMAD), Quinto.d (DSN como Secretaría Técnica y órgano de trabajo permanente; Secretario de su personal; apoyos de la estructura de la Presidencia). Búsqueda en el texto de 'gasto', 'medios', 'presupuest', 'retribu', 'indemniz', 'coste': sin resultados. Orden PCM/549/2023 (BOE-A-2023-13094, título comprobado): solo modifica Quinto.c.1 (vocales, añade Agencia Espacial Española). Orden PJC/845/2025 (Estrategia de Seguridad Aeroespacial Nacional) cita al Consejo como órgano de apoyo del CSN encargado del seguimiento; no modifica su régimen. DUDA DE MÉTODO: se marca 'verificado en norma' porque la norma no crea dotación y asigna el apoyo al DSN/EMAD, aunque no hay cláusula literal de 'no incremento del gasto'.</t>
  </si>
  <si>
    <t xml:space="preserve">No se pudo leer en esta sesión Orden PCM/218/2020 (BOE-A-2020-3638): la URL del BOE no estaba disponible para lectura (requiere que aparezca en resultados de búsqueda) y el cupo de búsquedas web compartido se agotó antes de llegar a este órgano. Se mantiene 'Sin cifra propia actual verificada' hasta verificar la cláusula de gasto/medios.
Sin financiación específica identificable a nombre del Consejo; no se dedicó búsqueda adicional por cupo.</t>
  </si>
  <si>
    <t xml:space="preserve">Sin cambios.
Contenido del RD 670/2023 leído a través de la reseña oficial del INAP ('La Administración al Día', noticia 1235579), que cita literalmente el art.2.1 ('La naturaleza jurídica del Centro Nacional de Fotografía es la de un museo de titularidad estatal'), el art.1.1 ('titularidad y gestión estatal'; 'dependerá orgánica y funcionalmente de la Dirección General de Patrimonio Cultural y Bellas Artes'), el art.8.2.c y la DA segunda ('Lo dispuesto en este real decreto no supondrá incremento del gasto público'; 'serán atendidos con cargo a los créditos presupuestarios del Ministerio de Cultura y Deporte'). El BOE (BOE-A-2023-16819, ya en la ficha) no se ha podido releer directamente porque no aparece en resultados de búsqueda: conviene un cotejo final en BOE. Ninguna cifra numérica.</t>
  </si>
  <si>
    <t xml:space="preserve">No se ha podido verificar la naturaleza jurídica actual del Centro Nacional de Fotografía (unidad del Ministerio de Cultura, consorcio o fundación) ni un presupuesto o convenio específico. El cupo de búsquedas se agotó antes de llegar a este ID y las URLs de la ficha (BOE-A-2023-16819, cultura.gob.es) no son accesibles por WebFetch sin aparecer en resultados de búsqueda. Según la ficha, el RD 670/2023 prevé el anteproyecto a través de la Subdirección de Museos Estatales, lo que sugiere un servicio sin personalidad dentro del Ministerio de Cultura. Esto no se ha re-verificado en esta pasada.
Texto del BOE-A-2023-16819 leído directamente (procedencia denegada); RPT del Centro; importe de la obra de la sede o de un convenio específico en fuente primaria (solo prensa: 'presupuesto de 85 millones', no usado); respuesta del Gobierno a la pregunta 114946.</t>
  </si>
  <si>
    <t xml:space="preserve">Sin cambios.
POA 2026 SETT (portal de transparencia, 'Plan Operativo Anual'): Tabla 2 'Gastos operativos SETT 2024-2026 (ppto)', p.25, miles EUR: fila 'Gastos de personal' 612,1 / 1.570,8 / 4.000,0 (2024 / 2025 / 2026 ppto); subfilas sueldos y salarios 536,7 / 1.410,4 / 2.934,1 y Seguridad Social y otros 75,4 / 160,4 / 1.065,9; 'Total gastos' 3.537,8 / 7.103,6 / 11.144,5. Cuenta de PyG p.27 (Real 2024 / Prov. 2025 / Ppto. 2026), miles EUR: 'Gastos de personal' -612 / -1.571 / -4.000, coherente con la Tabla 2. Texto p.24: 'El presupuesto operativo de gastos para el año 2026 ascenderá a 11,1 millones de euros'. Conversión: 11.144,5 miles = 11,1445 M; 4.000,0 miles = 4,0 M; 1.570,8 miles = 1,5708 M. Memoria PAP 2026-2028: p.26 '63 efectivos al final del ejercicio' (2026) y coste estimado de personal 2026 de 4,0 M€; p.57 '50 personas autorizadas en su oferta de empleo', 83 empleados en 2028, 130 plazas previstas en la constitución. Estatuto (RD 676/2024, copia en sett.gob.es): art.11.1.e) el Consejo Rector aprueba 'el plan anual de actuación, el programa de actuación plurianual, los presupuestos anuales de explotación y de capital'. Bases OPE (29/12/2025): 49 plazas; importes retributivos citados en el Anexo I. Criterio: se usa como presupuesto propio el 'presupuesto operativo de gastos' del POA por ser el presupuesto de funcionamiento publicado por la entidad; el POA no recoge la fecha de aprobación, lo que se advierte en el texto.
Desglose de las 49 plazas de la OPE (tabla p. 2), leído fila a fila y cuadrado a 49. POA 2026 (https://sett.gob.es/wp-content/uploads/2026/09/20260325-POA-SETT-vf.pdf, p. 13): convocatoria de 49 puestos 'en categorías de personal técnico, jefaturas de departamento y personal administrativo'. Memoria PAP (p. 26): '63 efectivos al final del ejercicio'.</t>
  </si>
  <si>
    <t xml:space="preserve">No localizados: presupuestos de explotación y capital de la SETT en los PGE (prórroga 2026), cuentas anuales 2024/2025 (gastos de personal de la cuenta de pérdidas y ganancias, que no es cap.1, y plantilla media) ni portal de transparencia (plantilla y retribuciones de directivos). El cupo de búsquedas se agotó antes de llegar a este ID y no había ninguna URL de la SETT disponible para WebFetch.
Cuentas anuales 2024 y 2025 de la SETT (plantilla media y gastos de personal auditados): no publicadas en BOE según las búsquedas; el portal remite al buscador de Rendición de Cuentas (dinámico). Presupuestos de explotación y capital de la SETT en PGE/prórroga 2026: no localizados. Plantilla ocupada a una fecha: no publicada en POA, PAP ni en la web de empleo. Retribuciones de directivos: no publicadas en la página de transparencia (solo la descripción de la sección).
No hay plantilla ocupada por categoría, ni LD (es EPE con personal laboral), ni cifra de directivos. El POA (p. 4) nombra a un Director General y a una Secretaria General, pero no hay un recuento de personal directivo.</t>
  </si>
  <si>
    <t xml:space="preserve">Sin cambios.
Sin cifras. Orden TED/873/2025 leída en BOE (ELI; título y referencia BOE-A-2025-16493 comprobados): artículo único.1 (adscripción), .2 (rango según RPT), .3.e (coordinación del Comité Nacional de Lucha contra la Desertificación), DA única (no incremento de gasto; presupuestos propios del Ministerio), preámbulo (falta de medios; Tribunal de Cuentas 2020 y 2023), DF única (vigor 10/08/2025).</t>
  </si>
  <si>
    <t xml:space="preserve">No se pudo leer en esta sesión Orden TED/873/2025 (BOE-A-2025-16493): la URL del BOE no estaba disponible para lectura (requiere que aparezca en resultados de búsqueda) y el cupo de búsquedas web compartido se agotó antes de llegar a este órgano. Se mantiene 'Sin cifra propia actual verificada' hasta verificar la cláusula de gasto/medios.
1 búsqueda de encargo/contrato/Tragsatec o presupuesto específico a nombre de la Oficina: sin resultados relevantes. RPT con los puestos de la Oficina no localizada.</t>
  </si>
  <si>
    <t xml:space="preserve">Sin cambios.
RD 686/2025 consolidado (ELI; título comprobado): arts. 2.2, 4.1, 4.2, 4.6; DA primera (constitución en un mes), DA segunda (no aumento del gasto; medios de los departamentos), DA tercera (extinción, máximo 31/12/2028); sin cláusula de retribuciones. RDL 12/2026 (BOE-A-2026-11397, título comprobado; BOE 27/05/2026): art. 1.1.u, 1.2, 2.u (01/02/2026–31/01/2029), art. 3 remite a Ley 49/2002 para la certificación, sin órgano certificador identificado ni cuantía. RD 815/2026 (BOE-A-2026-20980, título comprobado; BOE núm. 251 de 09/10/2026): art. 8, p. 134425, '100.000 euros' = 0,1 M EUR; art. 6.3 periodo 01/01–31/12/2026; art. 3.2-3.3 órgano instructor y concedente; preámbulo cita el RD 686/2025. Resumen ejecutivo MCIU (sin fecha, datos a septiembre 2026): constitución septiembre 2025 (p. 8), 5 reuniones, 5 grupos (p. 6); sus cifras de 342 M EUR (gasto turístico estimado) y 8.861.124 EUR (valoración mediática) NO son financiación y no se usan.</t>
  </si>
  <si>
    <t xml:space="preserve">No se pudo leer en esta sesión RD 686/2025 (consolidado en boe.es/eli/es/rd/2025/07/29/686/con): la URL del BOE no estaba disponible para lectura (requiere que aparezca en resultados de búsqueda) y el cupo de búsquedas web compartido se agotó antes de llegar a este órgano. Se mantiene 'Sin cifra propia actual verificada' hasta verificar la cláusula de gasto/medios. Tampoco se pudo comprobar si existe crédito o programa de acontecimiento de excepcional interés público vinculado a los eclipses.
Memoria de impacto del RDL 12/2026 (posible coste fiscal estimado) no publicada en BOE; sin cuantía del beneficio fiscal del acontecimiento. Aplicación presupuestaria concreta de la subvención a Fundación ONCE no indicada en el RD. Convenio SECIU–ONCE–FECYT sin importe en el resumen ejecutivo.</t>
  </si>
  <si>
    <t xml:space="preserve">Sin cambios.
Sin cifras. BOE-A-2026-9157 leído en PDF (título comprobado; BOE núm. 102, 27/04/2026, Sec. III): Segundo (p. 58890, naturaleza y adscripción), Cuarto.1, .2 y .4 (pp. 58890-58891), Séptimo (p. 58892, medios de la DGPCE; sin incremento de gasto público), Octavo (p. 58892, constitución en seis meses desde la adopción). Nota del Ministerio del Interior 21/04/2026 confirma composición; sin datos de coste. Un intento de lectura vía buscar/act.php?id=BOE-A-2026-9157 devolvió otro documento (RD 686/2025): descartado por contaminación de caché.</t>
  </si>
  <si>
    <t xml:space="preserve">No se pudo leer en esta sesión Resolución de 23/04/2026 que publica el Acuerdo CM 21/04/2026 (BOE-A-2026-9157): la URL del BOE no estaba disponible para lectura (requiere que aparezca en resultados de búsqueda) y el cupo de búsquedas web compartido se agotó antes de llegar a este órgano. Se mantiene 'Sin cifra propia actual verificada' hasta verificar la cláusula de gasto/medios.
Constitución efectiva no verificada (plazo hasta 21/10/2026). Sin financiación específica identificable a nombre de la Plataforma; no se dedicó búsqueda adicional por cupo.</t>
  </si>
  <si>
    <t xml:space="preserve">Presupuesto: Ley 8/2025 art. 2.7 (BOE txt) 'AACID | 20.513.203 | 20.513.203' = estadoIII-d-9 p. 634 total general y p. 626 total ingresos. Cap.1: estadoIII-d-9 p. 628 'CAP. 1 GASTOS DE PERSONAL 3.844.250' (euros) = 3,844250 M; cuadra con IGJA marzo 2026 crédito inicial 3.844.250,00. Ejecución 2026: 2_AACID-3 marzo 2026 p. 2, subtotal '1 GASTOS DE PERSONAL' obligaciones 750.765,61 EUR = 0,750766 M; pagos idénticos. 2025: 2_AACID-3 diciembre 2025 p. 2, definitivo 3.753.485,00 = 3,753485 M; obligaciones y pagos 3.256.041,97 = 3,256042 M. Plazas: personalI-con-4-9 p. 869 'TOTAL: AGENCIA ANDALUZA DE COOPERACIÓN INTERNACIONAL PARA EL DESARROLLO (AACID) 56' (columna PLAZAS).
Personal: Memoria del ejercicio 2024 de AACID (Cuenta General 2024, descargas/ape/AACID0-0.pdf), nota 23 'Otra información', pp. 26-27 (numeración leída en el texto): 'Número medio de personas empleadas en el ejercicio 2024 ... Total 26,8 28,23 55,03'; 'Número de personas empleadas al final del ejercicio 2024 ... Total 26 26 52' (hombres, mujeres, total). p. 28: 'Total gasto de personal 3.267.256,18'. Ejecución 2026: sin cambios (último corte legible 31/03/2026).
Plantilla AACID 2026 por unidad y categoría (personalI-con-4-9, pp. 867-869): 26 núcleo / 18 apoyo / 12 otro = 56 plazas.</t>
  </si>
  <si>
    <t xml:space="preserve">Plantilla ocupada (efectivos reales) no localizada. Ejecución 2026 posterior a 31/03 (mensuales abril-julio en ceh.junta-andalucia.es y trimestral 2T/2026 con enlaces JavaScript) no accesible con las herramientas de esta sesión.
Resumen IGJA de abril-julio 2026 (2_AACID-3 en ceh.junta-andalucia.es): PROVENANCE_REQUIRED; ninguna búsqueda devolvió esas URL. Avance de Liquidación 2025 (APE AACID): enlaces JavaScript sin procedencia. Plantilla ocupada 2025/2026: el inventario de puestos a 30/06/2026 (datos abiertos, XLSX) no es legible con la herramienta y recoge plazas, no ocupación.
Altos cargos y eventuales: AACID no tiene sección en el Anexo I (solo plantilla de 'otro personal'); el Director figura como 1 plaza de la plantilla. Puestos de libre designación: la RPT completa de la Junta en datos abiertos (dataset-jda_rpt.csv vía datos.juntadeandalucia.es/api/v0/rpt/all) no es legible con las herramientas disponibles (devuelve binario) y no hay fichero RPT propio de la entidad; no se estima.</t>
  </si>
  <si>
    <t xml:space="preserve">servicios-b-7 (Estado de gastos 2026, resumen por servicios): cabecera 'SECCIÓN: AGENCIA DE LA COMPETENCIA Y DE LA REGULACIÓN ECONÓMICA DE ANDALUCÍA 0800'; p. 69 'TOTAL CAPÍTULO 1 2.541.433'; p. 70 'TOTAL 01 3.030.314'; p. 72 'TOTAL GENERAL 3.030.314' (euros; mismas unidades que el resto de estados 2026, p. ej. ACCUA 3.901.802) -&gt; 3,030314 M y 2,541433 M. tomo12-5-7: p. 245 'DEFENSA DE LA COMPETENCIA 6.1.N', objetivo 'Preservar la existencia de una competencia efectiva en los mercados'; p. 246 MEDIOS 'NÚMERO DE PERSONAS 41', 'CAP. 1 GASTOS DE PERSONAL 2.541.433'; p. 252 'TOTAL PROGRAMA 61N 3.030.314'. personalI-b-5 p. 37 'TOTAL 41 100'; p. 39 'TOTAL SECCIÓN 08.00 ... 41' (PLAZAS). Identificación: la sección 08.00 es la única con programa de defensa de la competencia; la ficha ya recoge la denominación/funciones ampliadas.
Sin cifras nuevas. Comprobado: 2_JUNTA-3 marzo 2026 tiene 49.355 caracteres legibles y termina en la sección 0100 (offset 60000: 'Nothing left to read'). Cuenta General 2024 JUNTA2-1-2 p. 13: 'Total Presupuesto 44.838.249,00 -3.092.731,50 41.745.517,50 ... 33.954.941,54' seguido de 'Sección: 800 AGENCIA DE LA COMPETENCIA Y DE LA REGULACIÓN ECONÓ Clasif. funcional: 61N'; descartado por incoherencia de escala (ver notas).
Anexo de Personal 2026 sección 08.00 p. 37: 23/13/4 (+1 alto cargo).</t>
  </si>
  <si>
    <t xml:space="preserve">Ejecución cap.1 2026 y 2025 de la sección 08.00 (solo en el PDF global de la Junta, no legible completo); plantilla ocupada; norma exacta de cambio de denominación no revisada.
Ejecución cap.1 2026 y liquidación 2025 de la sección 08.00: 2_JUNTA-3 truncado por la herramienta; JUNTA-4-7 del Avance 2025 y meses abril-julio 2026 sin procedencia de URL. Plantilla ocupada: la página de transparencia 'Información de personal' de la Agencia (organismos/adca/.../59865.html) dio CLIENT_ERROR; el buscador de RPT de la Junta es dinámico.
Personal eventual: el resumen del Anexo no tiene fila de eventuales (no se pone 0 por no ser literal).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</si>
  <si>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2_ATRIAN-3 marzo 2026, pp. 2-3, subtotales '1 GASTOS DE PERSONAL': 1.216.744,46 + 7.608.691,38 = 8.825.435,84 EUR obligaciones = 8,825436 M; créditos iniciales 8.559.935 + 36.240.368 = 44.800.303 = cap.1 del presupuesto (estadoIII-b-2), lo que confirma que no faltan subtotales. 2_ATRIAN-1 marzo: cap.1 modificaciones 55.621,69. 2025: 2_ATRIAN-3 diciembre 2025, pp. 2-3: definitivo 8.215.222,00 + 36.244.629,35 = 44.459.851,35 (44,459851 M); obligaciones 5.467.559,55 + 32.960.101,91 = 38.427.661,46 (38,427661 M); pagos iguales. Plazas: personalI-d-2 p. 605 'TOTAL 832 100' y p. 611 'TOTAL SECCIÓN 10.39 ... 832'. La ficha decía 'SIN CIFRA INDIVIDUAL VERIFICADA' en Cobertura pese a tener presupuesto y cap.1; corregido.
Personal: Memoria Cuentas Anuales 2024 de la Agencia Tributaria de Andalucía (Cuenta General 2024, descargas/especial/atrian/ATRIAN0-0.pdf), nota 1 'Organización y actividad': 'los puestos cubiertos suponen un total de efectivos de 697 a 31/12/2023, y de 703 a 31/12/2024'; tabla 'EFECTIVOS DE LA AGENCIA A 31/12/2024': 'TOTAL 311 102 240 48 1 0 1 703' (A1, A2, C1, C2, G III, G IV, G V, total) y por sexo 'TOTAL ... 282 421 703'; 'Este número se incementa hasta 834 a fecha 31 de diciembre de 2024' (plantilla presupuestaria, plazas). El texto extraído no trae número de página impreso. Ejecución 2026 sin cambios.
Anexo de Personal 2026 sección 10.39 p. 605: 446/333/52 (+1 alto cargo). Alternativa personas 2024 en verificación.</t>
  </si>
  <si>
    <t xml:space="preserve">Plantilla ocupada real; ejecución posterior a 31/03/2026 (publicada pero no accesible en esta sesión).
Resúmenes IGJA abril-julio 2026 (2_ATRIAN-3) y Avance de Liquidación 2025 (ATRIA-3-1): sin procedencia de URL. Efectivos 2025/2026 no localizados (la memoria 2025 no está publicada: la Cuenta General más reciente es la de 2024).
Personal eventual: el resumen del Anexo no tiene fila de eventuales. Puestos de libre designación: la RPT completa de la Junta en datos abiertos (dataset-jda_rpt.csv vía datos.juntadeandalucia.es/api/v0/rpt/all) no es legible con las herramientas disponibles (devuelve binario) y no hay fichero RPT propio de la entidad; no se estima.</t>
  </si>
  <si>
    <t xml:space="preserve">servicios-b-6: cabecera 'SECCIÓN: CONSEJO DE TRANSPARENCIA Y PROTECCIÓN DE DATOS ANDALUCÍA 0700'; p. 63 'TOTAL CAPÍTULO 1 3.480.037'; p. 64 'TOTAL 01 4.713.195'; p. 66 'TOTAL GENERAL 4.713.195', operaciones corrientes 3.850.863, capital 862.332 (euros) -&gt; 4,713195 M y 3,480037 M. NUM. EFEC. impresos en cap.1 (p. 62): 100 altos cargos 1; 110 eventual 2; 120 funcionarios 48 (A1 35, A2 3, C1 10); 130 laboral 1. personalI-b-4 p. 33 'TOTAL FUNCIONARIOS 48 92,31', 'TOTAL LABORALES 1 1,92', 'TOTAL 52 100'; p. 35 'TOTAL SECCIÓN 07.00 ... 52' (PLAZAS). El programa por secciones (tomo12-5-6) dio error de servidor en dos intentos.
RPT funcionarios (CSV datos abiertos, cabecera 'CÓDIGO,DENOMINACIÓN,N.º DE PLAZAS,...,LOCALIDAD, CARÁCTER OCUPACIÓN'; título 'Relación de puestos de trabajo y retribuciones 2026'; dataset actualizado 05/08/2026): 76 filas con N.º DE PLAZAS = 1; recuento fila a fila de CARÁCTER OCUPACIÓN: Definitivo 39 (incluye una errata 'Definfitivo'), Sin dotación 27, Provisional 3, Vacante 3, Desocupada/Reservada 2, Ocup. Prov./Reservada 1, Desdotado 1 -&gt; ocupados 39+3+1 = 43; dotados 76-27-1 = 48, que cuadra con los 48 funcionarios del Anexo de Personal 2026 (personalI-b-4). RPT laboral: 1 fila '13063610,CONDUCTOR,1,L,...'; RPT eventual: 1 fila '13668710,ASESORÍA DE INFORMACIÓN Y DOCUMENTACIÓN,2,A1,...'; ninguno indica ocupación.
Anexo 2026 sección 07.00 p. 33 (36/11/4, 1 alto cargo, 2 eventuales) y RPT 2T/2026 del Consejo (20 PLD).</t>
  </si>
  <si>
    <t xml:space="preserve">Ejecución cap.1 2026 y 2025 de la sección 07.00; plantilla ocupada; tomo12-5-6 (ficha de programa con 'número de personas') no descargable (SERVER_ERROR); ctpdandalucia.es no accesible por restricción de procedencia de URL.
Ejecución cap.1 2026 y liquidación 2025 de la sección 07.00 (2_JUNTA-3 truncado; JUNTA-4-6 del Avance 2025 sin procedencia; ctpdandalucia.es: ROBOTS_DISALLOWED en la página de presupuestos y PROVENANCE_REQUIRED en los PDF de presupuesto 2024-2026 enlazados desde datos abiertos).</t>
  </si>
  <si>
    <t xml:space="preserve">Sin cambios. No se pudo abrir la Orden de 13/03/2007 (BOJA 2007/70/4) para aplicar la regla 6 (texto sobre gasto, medios de la Consejería y retribución de miembros).
BOJA núm. 70, Sevilla 10 de abril de 2007, 'Página núm. 20' (cdn.juntadeandalucia.es/boja/2007/70/d5.pdf): parte final de la Orden de 13 de marzo de 2007 (funciones b) 'Elaborar con carácter periódico el Informe sobre el Estado del Territorio de Andalucía' y c); art. 3 'El Consejo'; art. 4 'Apoyo técnico' y DA única 'Indemnizaciones', citados literalmente; DF única: entrada en vigor al día siguiente de su publicación; firma 'Sevilla, 13 de marzo de 2007. CONCEPCIÓN GUTIÉRREZ DEL CASTILLO, Consejera de Obras Públicas y Transportes'). En la p. 20 no aparece ninguna mención a crédito, presupuesto o retribución del Observatorio.</t>
  </si>
  <si>
    <t xml:space="preserve">Texto de la norma de creación (BOJA 2007/70/4: la URL no tenía procedencia en resultados de búsqueda y el cupo de búsquedas del turno se agotó); cualquier importe contextual. Sigue 'Sin cifra propia actual verificada'; no se aplica la etiqueta de 'verificado en norma' por no haber leído el texto.
Página 19 del BOJA 70/2007 (preámbulo y arts. 1-2: naturaleza, adscripción, primera función): el PDF de esa parte (d4.pdf) y la versión HTML boja/2007/70/4 dieron PROVENANCE_REQUIRED. No se buscó ningún importe contextual (convenio/encargo) para informes del Observatorio; actividad 2026 no verificada.</t>
  </si>
  <si>
    <t xml:space="preserve">Sin cambios.
BOE-A-2024-903 (BOE núm. 16, 18/01/2024), 'Ley 17/2023, de 22 de diciembre, de Presupuestos de la Comunidad Autónoma de Aragón para el ejercicio 2024', art. 1.1, p. 6487: 'm) El presupuesto de la entidad de derecho público Agencia de Calidad y Prospectiva Universitaria, cuyos estados de dotaciones y recursos aparecen equilibrados por un importe de 753.552,53 euros.' (euros -&gt; 0,75355253 M; redondeado a 6 decimales 0,753553). BOE-A-2026-17288 (BOE núm. 193, 08/08/2026): Decreto-ley 1/2026, de 10 de junio, del Gobierno de Aragón (suplemento de crédito); preámbulo p. 111285: 'se han prorrogado automáticamente a partir de 1 de enero de 2026 los créditos iniciales aprobados para el ejercicio 2024'; art. 1 (p. 111289): suplemento 'en el presupuesto de la Comunidad Autónoma de Aragón para 2026, prorrogado del ejercicio 2024'. Confirma lo que ya decía la ficha ('prorrogó créditos 2024 para 2026'). Base M 'Presupuesto propio aprobado' (presupuesto de entidad equilibrado), año 2024 y estado 'actual2026 pendiente' porque no se ha visto el estado prorrogado de la entidad.
Web 'About us' de ACPUA: 4 técnicos / 3 apoyo / 1 directora = 8 personas (+1 vacante).</t>
  </si>
  <si>
    <t xml:space="preserve">Ninguna fuente de Aragón legible en esta sesión: www.aragon.es devuelve ROBOTS_DISALLOWED para WebFetch (página de ejecución presupuestaria mensual); BOE-A-2026-17288 y la web de ACPUA no tenían procedencia en resultados de búsqueda (PROVENANCE_REQUIRED) y el cupo de búsquedas del turno (200, compartido) se agotó. No verificados: situación 2026 (ley o prórroga), sección/organismo de ACPUA, cap.1, plantilla y memoria anual. Se mantiene 'Sin cifra propia actual verificada'.
Cap.1 y plantilla de ACPUA: aragon.es, boa.aragon.es, acpua.aragon.es/es/transparencia y el informe de autoevaluación 2025 (250912_acpua_sar_en.pdf) dan ROBOTS_DISALLOWED; la Memoria de Actividades 2025 se lee solo hasta la p. 33 (sin anexos de ejecución y estructura); la Memoria 2024 (2025_memoriacr_post.pdf) ROBOTS_DISALLOWED; el Plan de Actividades 2025 y el informe ENQA no traen importes ni plantilla. BOE txt de BOE-A-2026-17288: ROBOTS_DISALLOWED (se leyó el PDF).
Libre designación, altos cargos y eventuales: no se ha encontrado RPT de ACPUA ni anexo de personal; la Memoria 2025 (pp. 47-57) no es legible con la herramienta.</t>
  </si>
  <si>
    <t xml:space="preserve">K 53,101505 ya existente, cotejado: BOE-A-2026-2888 (PDF) p. 20131, art. 2.2, fila literal 'Servicio de Emergencias del Principado de Asturias. 53.101.505' (euros), 53.101.505/1e6 = 53,101505. Ley aprobada (no prórroga): Ley 5/2025 de 31/12/2025. Referencia 2025: texto de la Ley de PG 2025 publicado en jgpa.es (BOPA 252, 31/12/2024), art. 2.2 '87 SERVICIO DE EMERGENCIAS DEL PRINCIPADO DE ASTURIAS 48.457.645' (euros); solo texto, no se mueve a columnas numéricas.
Sin cifras verificables de desglose para el SEPA.</t>
  </si>
  <si>
    <t xml:space="preserve">Capítulo 1 del SEPA 2026 (crédito), ejecución 2026, liquidación 2025 y plantilla. El Tomo 8 'Informe de personal' del proyecto 2026 y los tomos de estados de gastos están en transparencia.asturias.es, que bloquea la lectura automática (robots); la Cuenta General 2025 (tematico.asturias.es/hacienda/webCuenta2025) no aparece en buscadores y no se pudo abrir; no se localizó ejecución mensual por organismo publicada en BOPA. Se agotó además el cupo de búsquedas web de esta sesión. Pendiente: Tomo 8 (plantilla por organismo), Tomo de organismos (cap.1 sección 87) y Cuenta General 2025 (87_SEPA, estado de liquidación).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Sin capítulo 1, ejecución 2026, liquidación 2025 ni plantilla del SEPA (sección 87).
Desglose por función/subgrupo (bomberos, operadores 112, técnicos, administración), LD, altos cargos y eventuales del SEPA.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</si>
  <si>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Resolució de estados numéricos del sector público administrativo (prórroga 2026), firmada 05/01/2026, anexo 'Agència Tributària de les Illes Balears (despeses)', p. 16/19, euros: cap.1 9.801.634,00; cap.2 4.593.865,00; cap.3 1.852.421,00; cap.6 12.000,00; total 16.259.920,00 (suma cuadra). Conversión 16.259.920/1e6 = 16,25992; 9.801.634/1e6 = 9,801634. Estado de prórroga: página oficial 'Pròrroga del pressupost per a l'any 2026' y Ordre 39/2025 (BOIB 173, 30/12/2025, p. 76855), art. 2.1 y 4.2.b. La prensa (feb. y sept. 2026) solo sirvió de pista de que no hubo ley 2026. Corrección: el corte anterior '2026, crédito aprobado' se cambia a prórroga; K y cap.1 no cambian.
Sin cifras verificables de desglose para la ATIB.</t>
  </si>
  <si>
    <t xml:space="preserve">Ejecución 2026 por capítulos de la ATIB: la serie de ejecución CAIB (actualizada con datos de agosto de 2026) es un fichero no legible y no desglosa por ente según su ficha. Liquidación 2025: Compte General 2025 en marcos no legibles. Plantilla: la ficha de transparencia de la ATIB (12/03/2026) no da efectivos; la estadística de personal CAIB 2025 es un fichero binario; atib.es no se pudo abrir. Cupo de búsquedas agotado.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Ejecución 2026 y liquidación 2025 del cap.1 de la ATIB y plantilla ocupada siguen sin cifra.
RLLT de la ATIB por subgrupo/forma de provisión, altos cargos y eventuales.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</si>
  <si>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AG y AX trasladan a sus columnas el dato que la ficha ya recoge en 'Poder real' y 'Límites del juicio' ('al cierre 2025, 459 de 752 puestos RPT ocupados (61,04%), según Plan 2026'), con la misma fuente (Plan de Acción 2026 de la ATC publicado en BOC 2026/065, ya en 'Fuentes de la ficha'). No pude reabrir el PDF en esta sesión (dominio gobiernodecanarias.org no accesible desde la herramienta), así que la página está pendiente de cotejo. Si el orquestador exige cotejo propio de página, que no incorpore AG/AX hasta reabrir el PDF.
(1) parcan.es 2026/1281.pdf: 'ESTADO DE EJECUCIÓN DE GASTOS DE CORRIENTE :: DETALLE POR SECCIÓN / CAPÍTULO', Ejercicio 2026, Período Enero(1)/Julio(7), Fecha de edición 20.08.2026; columnas: crédito inicial | mod. crédito | crédito definitivo | saldo c.disponible | retenciones | autorizaciones | compromisos | oblig. reconoc. | pagos realizados | oblig. pdte pago. Fila literal '1 GASTOS DE PERSONAL 29.745.009,00 -106,37 29.744.902,63 926.063,34 154.336,99 28.664.502,30 28.664.502,30 17.279.615,19 17.279.615,19 0,00' (EUR) -&gt; crédito definitivo 29,744903 M; obligaciones 17,279615 M; crédito inicial 29,745009 M. Coherencia: 29.744.902,63 - 926.063,34 - 154.336,99 = 28.664.502,30. Fila '* 72 AGENCIA TRIBUTARIA CANARIA 64.227.709,00 20.859.432,21 85.087.141,21 ... 40.755.728,95 37.371.723,72 3.384.005,23' -&gt; 85,087141 M; mod. 20,859432 M. Cotejo: suma de capítulos iniciales 29.745.009+17.842.980+16.639.720 = 64.227.709; suma de modificaciones por capítulo = 20.859.432,21; suma de obligaciones por capítulo = 40.755.728,95. El PDF no muestra número de página. (2) 1210.pdf: período enero-febrero, ed. 19.03.2026, cap.1 crédito 29.745.009,00 y obligaciones 4.144.466,42. (3) 1202.pdf: enero 2026, fecha de carga &lt;=05/02/2026, cap.1 crédito 29.745.009,00 y total ATC 64.227.709,00. Se cambia la base de 'Presupuesto propio' de crédito inicial a crédito total actualizado a 31/07/2026 (método de la hoja); el crédito inicial 64,227709 M se conserva en 'Crédito inicial'. Fuente: repositorio de transparencia del Parlamento de Canarias con el estado contable del Gobierno (Status C, operaciones contables), no prensa.
Sin desglose verificable. El total de referencia (459 ocupados de 752 puestos RPT a cierre de 2025, Plan de Acción 2026) ya figura en la ficha, pero no se encontró su reparto por grupos.</t>
  </si>
  <si>
    <t xml:space="preserve">Capítulo 1 2026 (crédito), ejecución 2026 y liquidación 2025 de la ATC: no se pudo acceder a gobiernodecanarias.org (presupuestos 2026, ejecución trimestral de la Intervención General, Cuenta General) y el cupo de búsquedas web de la sesión se agotó antes de buscar Canarias. Pendiente: Ley de PG Canarias 2026 (estado de gastos de la sección/organismo ATC, cap.1), 'Ejecución presupuestaria' mensual de la Intervención General de Canarias y Cuenta General 2025.
No hay edición de agosto 2026 en resultados de búsqueda (se usa julio). Liquidación/cierre 2025 del cap.1 de la ATC: no localizada en parcan.es (ofi_presupuestaria/2025) ni en la web de la ATC (solo 1T-3T 2025). El PDF de la Ley 9/2025 (BOE ccaa boc/2025/256) solo devuelve el articulado hasta el art. 1; sus anexos no son legibles. El Plan de Acción 2026 (URL de la ficha) devolvió PROVENANCE_REQUIRED, así que no se recotejó su página.
Distribución por subgrupo/cuerpo de los 752 puestos RPT o 459 ocupados de la ATC: el PDF del Plan de Acción 2026 (BOC 2026/065) no aparece en resultados de búsqueda y no se puede abrir (PROVENANCE_REQUIRED en ronda previa); el Informe de actividad 2024 de la ATC (www3.gobiernodecanarias.org/tributos/atc/documents/d/agencia-tributaria-canaria/informe-de-actividad-2024-13-06-25-vf-firmado-pdf) se leyó y NO contiene tablas de RPT, grupos, LD, altos cargos ni eventuales (solo grados de cumplimiento de proyectos de RRHH). El Contrato de Gestión ATC 2026-2028 (citado por CSIF, 13/04/2026) no se localizó publicado.</t>
  </si>
  <si>
    <t xml:space="preserve">BOC Ext. 12/2026 (copia en boe.es/ccaa/boct): p. 2207, art. 1.a, ICASS como organismo autónomo de la Sección 16 dentro de la Administración General; p. 2208, art. 2.Uno: total de la Administración General 3.925.344.836 EUR y política 23 '328.239.959'; p. 2209, art. 2.Dos: tabla de 7 organismos sin ICASS. Estado: proyecto 2026 inicial devuelto por enmienda a la totalidad (24/11/2025), prórroga por Decreto 92/2025 (BOC Ext. 26 de 23/12/2025, CVE-2025-10899, leído en copia no oficial) y Ley 4/2026 aprobada el 28/04/2026. K sigue vacío porque la ley no da cifra individual en el articulado.</t>
  </si>
  <si>
    <t xml:space="preserve">Total y capítulo 1 de la Sección 16 en el estado de gastos (anexos del BOC Ext. 12/2026): el PDF de 1.406 páginas solo devuelve texto del articulado (pp. 2203-2225). Plantilla, ejecución y liquidación 2025 del ICASS no localizadas. Cupo de búsquedas agotado.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Total y capítulo 1 de la Sección 16 (ICASS) siguen sin verificar; plantilla, ejecución y liquidación 2025 no localizadas.</t>
  </si>
  <si>
    <t xml:space="preserve">K 4,161665 ya existente, cotejado: BOC Ext. 12/2026 p. 2209, art. 2.Dos, fila literal 'INSTITUTO CÁNTABRO DE SEGURIDAD Y SALUD EN EL TRABAJO 4.161.665' (euros). Ley aprobada el 28/04/2026, publicada el 30/04/2026.
Sin cifras verificables.</t>
  </si>
  <si>
    <t xml:space="preserve">Capítulo 1 2026, ejecución y plantilla del ICASST: los anexos del estado de gastos del BOC no son legibles (solo articulado)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Capítulo 1 2026 del ICASST, ejecución y plantilla no localizados.
RPT/plantilla del ICASST por subgrupo (técnicos de prevención frente a administración), LD, altos cargos.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</si>
  <si>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Supresión: Ley 1/2026, de 26 de marzo, de Medidas Administrativas y Tributarias de CLM, DOCM núm. 61 de 30/03/2026 (copia BOE q10660-10683), art. 20 apartados 1-6, p. 10678; preámbulo p. 10664 ('El artículo 20 suprime el organismo autónomo Agencia del Agua ... que se integra en la Consejería competente en materia de agua'); art. 21 renombra la sección 'Agencia del Agua' de la Ley 2/2022 de Aguas. Presupuesto 2026: Ley 5/2025, de 19 de diciembre (DOCM 29/12/2025), art. 1.1.c.3º lista el OA; art. 2.2.c: 'Desde la Agencia del Agua de Castilla-La Mancha, hacia la Entidad Pública Infraestructuras del Agua ... 38.337.170,00 euros' (texto reproducido por INAP La Administración al Día y mismo importe en el Proyecto de Ley publicado en el Portal de Transparencia JCCM, p. 16). Conversión 38.337.170,00 EUR = 38.33717 M.</t>
  </si>
  <si>
    <t xml:space="preserve">Crédito inicial total 2026 del OA y su capítulo 1 (estado de gastos por organismos de la Ley 5/2025): no localizado en documento primario accesible. Fecha exacta de entrada en vigor de la Ley 1/2026 (disposición final sexta): la extracción del PDF se corta en p. 10679. Plantilla traspasada no localizada. Búsquedas adicionales bloqueadas por límite de búsquedas de la sesión.</t>
  </si>
  <si>
    <t xml:space="preserve">Sin cambios.
Decreto 52/2014, de 16 de octubre (BOCyL núm. 201, 20/10/2014, pp. 71658-71664), copia en el dossier de las Cortes de CyL (sirdoc.ccyl.es) y texto reproducido por INAP: art. 2.1 órgano colegiado adscrito a la Consejería de la Presidencia (p. 71658); art. 4.1.c y art. 7.1-7.4 sección de convivencia escolar (pp. 71661-71662); art. 12 medios personales y materiales de la Consejería (p. 71663); DA 1ª sin percepción económica (p. 71663); disp. derogatoria c) deroga el Decreto 8/2006 (p. 71664). No contiene cláusula literal 'no supondrá incremento del gasto', pero sí atribución expresa a medios de la Consejería y gratuidad de vocales: se aplica la regla 6. Sin importe contextual identificable.</t>
  </si>
  <si>
    <t xml:space="preserve">No se pudo leer el texto de Decreto 8/2006 ni Decreto 52/2014 de Castilla y León (cláusula de no incremento de gasto, medios de la Consejería, indemnizaciones) para aplicar la regla 6: el enlace educa.jcyl.es de la ficha no era accesible sin aparecer en resultados de búsqueda y el límite de búsquedas de la sesión se agotó. Estado de cuantificación sin cambiar hasta verificar la norma.
Texto del Decreto 8/2006 original no leído (derogado). Modificaciones posteriores del Decreto 52/2014 no auditadas.</t>
  </si>
  <si>
    <t xml:space="preserve">Total: Llei 10/2026 (copia BOE DOGC 9706) art. 2.6 'Agencia Tributaria de Cataluña 121.755.597,48', p. 9/102; VOL_L_RES p. 18 'EC 7910 Agència Tributària Cat. 121.755,6' (miles EUR). Cap.1: ED_7910 p. 430 'CAPÍTOL 1 REMUNERACIONS DEL PERSONAL 58.784.906,90' (EUR); suma de artículos 103.593,92+43.841.562,98+1.251.947,91+1.522.317,56+12.065.484,53 = 58.784.906,90; total de despeses 121.755.597,48 igual a la Llei. 58.784.906,90 EUR = 58,784907 M (6 decimales). Dotaciones: AP_7910 p. 128 impresa, 'Total plantilla estructural (dotacions)' 1.103 (A200 B407 C235 D246 E14 Altres 1); el fichero AP no indica si es versión Projecte o Llei.
Sin cambios.
Cifras leídas en AP_7910.pdf p. 128 (dotacions 2026). Personal eventual no informado: la tabla no tiene fila de eventuales (no se pone 0 porque la fuente no lo dice literalmente). LD no disponible (el anexo no da forma de provisión).</t>
  </si>
  <si>
    <t xml:space="preserve">Obligaciones reconocidas cap.1 2026 (ejecución), liquidación 2025 y plantilla ocupada real de la ATC: no localizadas (informes de ejecución del sector público de la Generalitat, Compte General 2025 y memoria/portal de transparencia de la ATC no alcanzados; límite de búsquedas agotado).
Plantilla ocupada (memòria 2025 ATC), ejecución cap.1 2026 y liquidación 2025: la búsqueda solo devolvió prensa (no fuente de cifra) y el Annex de personal ya usado (AP_7910). Memoria/portal de transparencia de la ATC no localizados.
Puestos de libre designación (RLT de la ATC no consultada/localizada); personal eventual; personas ocupadas reales.</t>
  </si>
  <si>
    <t xml:space="preserve">Total: Llei 10/2026 (copia BOE del DOGC 9706, 13/07/2026), art. 2.3, p. 7/102: 'Oficina Antifraude de Cataluña 10.718.431,04' (EUR) = 10,718431 M. Cap.1: VOL_L_RES (Llei 10/2026, Resum dels estats), p. 35 'Resum de despeses per Articles i Seccions (Imports en €)', 4ª columna 'O Antifrau Catalunya': '1 REMUNERACIONS DEL PERSONAL ... 9.271.181,04'; artículos 607.994,31+112.405,78+5.264.400,69+1.769.062,91+0,00+1.513.317,35+4.000,00 = 9.271.181,04 EUR = 9,271181 M. Operaciones corrientes 10.282.431,04; diferencia 436.000 EUR hasta el total corresponde a caps. 6/8 (no leídos en el extracto).
Sin cambios.
Sin desglose verificable. Indicio (no es recuento): el cap.1 2026 incluye art.10 alts càrrecs 607.994,31 EUR y art.11 personal eventual 112.405,78 EUR (VOL_L_RES p. 35, ya en la ficha), así que existen altos cargos y eventuales, pero no se ha leído su número.</t>
  </si>
  <si>
    <t xml:space="preserve">Plantilla ocupada (memoria anual 2025 de la Oficina) y dotaciones 2026 (Annex de personal, servei OA01: el extracto del PDF VOL_P_ANP se corta en p. 27); ejecución 2026 y liquidación 2025: no localizadas (enlace de la sede electrónica de Antifrau no accesible; límite de búsquedas agotado).
Dotaciones 2026 (Annex de personal, servei OA01): el fichero wpres/2026/pdf/AP_OA01.pdf no aparece en buscadores (solo versiones 2016 y 2022) y WebFetch lo rechaza (PROVENANCE_REQUIRED). Memòria 2025 de la Oficina (plantilla) no localizada; solo prensa y memorias de otros entes.
Dotaciones 2026 de la Oficina Antifrau (servei OA01): el PDF AP_OA01 de 2026 no aparece en resultados de búsqueda (solo las ediciones 2016 y 2022) y el intento de abrirlo directamente fue rechazado (PROVENANCE_REQUIRED). VOL_P_ANP.pdf (Annex de personal 2026) sí aparece en búsqueda, pero el texto extraíble termina en la p. 26–27 (Parlament, PA01), también con offset 60000; según el sumari la Oficina Antifrau está en la p. 30, no alcanzable. RPERSS.pdf (resumen de dotaciones por subsector, pp. 334–339) no desglosa por entidad. Memoria 2025 de la Oficina y RLT en antifrau.cat: no indexadas en el buscador.</t>
  </si>
  <si>
    <t xml:space="preserve">Sin cambios.
Orden de 27/05/2026 (DOE núm. 104, 2/06/2026, pp. 23357-23358, código 2026050065): apartados Primero (cese) y Segundo (nombramiento) de vocales; cita Decreto 28/2007 de 20 de febrero (DOE núm. 24, 27/02/2007) como norma de creación y su art. 7; sin derogatoria ni cláusulas de gasto. Decreto 190/2007 (DOE núm. 84, 21/07/2007, pp. 12669-12672): art. 1.6 naturaleza consultiva y art. 3.3 relación vía DG de Política Educativa. Estado de cuantificación NO cambiado: la regla 6 exige leer el Decreto 28/2007.</t>
  </si>
  <si>
    <t xml:space="preserve">No se pudo leer el Decreto 28/2007 de Extremadura (enlace educarex de la ficha no accesible sin aparecer en resultados de búsqueda; límite de búsquedas de la sesión agotado) para comprobar cláusula de no incremento del gasto, medios de la Consejería e indemnizaciones (regla 6). Estado sin cambiar hasta verificar la norma.
Texto del Decreto 28/2007: el PDF de educarex de la ficha da PROVENANCE_REQUIRED; las búsquedas devolvieron el Decreto 50/2007, el Compromiso Social por la Convivencia (2006), un informe sindical y el Decreto 190/2007, ninguno con el articulado del 28/2007. Sin cláusula de gasto/medios/indemnizaciones verificada.</t>
  </si>
  <si>
    <t xml:space="preserve">Lei 4/2025, do 23 de decembro (DOG núm. 252, 31/12/2025, p. 66829), art. 2.Tres 'A distribución orgánica e económica do orzamento consolidado', cabecera 'Capítulos I II III IV V VI VII VIII IX Total'; fila 'Axencia Galega de Innovación 6.822.119 237.016 106.219 6.120.832 [V vacío] 4.334.353 84.725.056 1.870.000 3.506.908 107.722.503', p. 66840 (EUR). Suma de capítulos = 107.722.503 (cuadra con el total ya en la ficha). Cap. I 6.822.119 EUR = 6,822119 M. Misma fila en LEI_I_2026 del Parlamento, p. 23.
Sin cambios.
Sin desglose verificable.</t>
  </si>
  <si>
    <t xml:space="preserve">Ejecución cap. I 2026, Conta Xeral 2025 (liquidación) y plantilla ocupada/anexo de persoal de GAIN: no localizados (DOG bloqueado a la herramienta; límite de búsquedas agotado).
Prazas orzamentadas 2026: el anexo de persoal de OOAA/axencias existe en la serie del Parlamento como PERS_OOAA_&lt;año&gt;.PDF (aparecen 2024 y 2025 en buscadores), pero PERS_OOAA_2026.PDF no aparece y WebFetch lo rechaza (PROVENANCE_REQUIRED). Ejecución cap. I 2026 y Conta Xeral 2025 no localizadas.
Anexo de persoal 2026 (PERS_OOAA_2026.PDF del Parlamento de Galicia) no indexado y no accesible sin aprobación; PERS_OOAA_2025.PDF solo se extrae hasta p. ~80 (65.606 caracteres; GAIN figura en p. 323 según el índice). DOG bloqueado por robots para WebFetch. Solo hay una memoria de modificación de la RPT de GAIN (copia en web sindical UGT, no oficial) que lista 28 postos traspasados a la Consellería de Economía e Industria (15 A1, 4 mixtos A1-A2/A1-A2-C1, 1 A2-C1-C2, 2 A2, 6 C2) y el paso del Director/a da Área de Servizos de persoal directivo a libre designación; no es la RPT completa, no se usa.</t>
  </si>
  <si>
    <t xml:space="preserve">Ley 8/2024, de 26 de diciembre (BOE núm. de 20/03/2025, BOE-A-2025-5523): título pág. 37192; DA única apdo. 1 'Queda suprimido el Consejo de la Juventud, entidad de derecho público creada por la Ley 8/2017' y apdo. 2 (crear órgano colegiado sin personalidad en el plazo máximo de un año), pág. 37203; DD única 2.a deroga la Ley 8/2017, pág. 37203; DF tercera entrada en vigor al día siguiente de su publicación en el BOCM (BOCM 308 de 27/12/2024 → 28/12/2024), pág. 37204. Sustituto: Acuerdo de 10/06/2026 del Consejo de Gobierno por el que se crea la Mesa de Políticas de Juventud (BOCM 29/06/2026), acuerdo decimosexto.2: sin incremento del gasto público (texto vía INAP 'La administración al día'). No se añade ninguna cifra.</t>
  </si>
  <si>
    <t xml:space="preserve">PDF original del BOCM de 29/06/2026 con el acuerdo de la Mesa (solo reproducción INAP). Destino del personal del Consejo suprimido: la Ley 8/2024 no lo regula.</t>
  </si>
  <si>
    <t xml:space="preserve">Ley 3/2025 (BORM supl. 3 núm. 169, 24/07/2025, NPE A-240725-3684), art. 4, p. 13: 'Instituto de Turismo de la Región de Murcia 24.438.620' (euros) → 24,43862 M. Prórroga: Orden de 26/12/2025 de la Consejería de Economía, Hacienda... (BORM 29/12/2025), art. 1.1 prorroga la Ley 3/2025 desde 1/01/2026; art. 1.4 prorroga dotaciones iniciales de las entidades del sector público regional; art. 4.2 sin alterar la cuantía total inicialmente aprobada en 2025 (texto vía INAP). Contrato-programa 2026 (BORM 168, 23/07/2026, p. 17954 y ss.): 'Ley 3/2025... prorrogada para 2026'. Cuentas 2024: PyG p. 4 '6. Gastos de personal 11 -3.134.887,63 -2.868.541,99'.
Sin cambios.
Solo altos cargos (1, Director General) por la ley de creación.</t>
  </si>
  <si>
    <t xml:space="preserve">Presupuesto administrativo por capítulos del ITREM (cap.1 2026), anexo económico del contrato-programa 2026 (la extracción del BORM se corta en p. 17992 antes del anexo), plantilla/número de empleados (no aparece en el extracto de las cuentas 2024), cuentas 2025 y ejecución 2026. Límite de búsquedas web agotado.
Contrato-programa 2026 (BORM 168, 23/07/2026, anuncio 844337): el texto extraíble termina en p. 17992 (apdo. A02 Comunicación) también con offset; no contiene gastos de personal, plantilla ni presupuesto administrativo/explotación (p. 17976 solo dice que los presupuestos 2026 del ITREM se configuran según el Plan; p. 17978: aportación 2025 de 250.000 EUR al consorcio Vías Verdes, no es personal). Anexo económico y cuentas 2025 no localizados.
Sin plantilla por categorías: las cuentas anuales 2024 (ig.carm.es) solo se extraen hasta p. 26 (la nota de personal va después); portal de transparencia CARM sin aprobación de acceso. BORM consultados son convocatorias sueltas (p. ej. 1 Técnico/a Experto laboral fijo, BORM 30 de 06/02/2025). Sin RPT, eventuales ni libre designación.</t>
  </si>
  <si>
    <t xml:space="preserve">LF 16/2025 (BON 260, 31/12/2025): art. 1.1.g, p. 46100; total consolidado 6.741.514.953 EUR (art. 2.1). Anexo 1 (columnas '1 GASTOS DE PERSONAL ... 9 PASIVOS FINANCIEROS, TOTAL'), fila 'Oficina de Buenas Prácticas y Anticorrupción' con 909.464 en col. 4 (transferencias corrientes), 87.500 en col. 7 (transferencias de capital) y TOTAL 996.964 EUR → 0,996964 M; fila Parlamento de Navarra 21.189.168 + 1.067.940 = 22.257.108 con el mismo patrón. La columna exacta se toma de la reproducción tabular de iberley; la extracción del PDF del BON se cortaba antes del anexo. Proyecto del Parlamento ('4. Presupuesto por partidas 2026'): misma fila '909.464 87.500 996.964', idéntica a la cifra aprobada. Cámara de Comptos (BOPN 117, 13/10/2025): p. 14 personal y plantilla; p. 8 liquidación 2024 cap.1 162.691 EUR. Se vacían las columnas contextuales (proyecto) porque la cifra aprobada pasa a K, como pedía el encargo.
Plantilla orgánica de 11 plazas (Comptos p. 14), cuadra 9+1+1=11; personal eventual 1 (directora).</t>
  </si>
  <si>
    <t xml:space="preserve">Presupuesto interno de la Oficina por capítulos 2026 (cap.1 propio) y su ejecución 2026; memoria anual 2025; informe de la Cámara de Comptos sobre las cuentas 2025. El informe de ejecución del 1T 2026 del Parlamento de Navarra no incluye a la Oficina.
El informe no menciona libre designación ni altos cargos; no se ha localizado la Resolución 18/2024 con la forma de provisión de las plazas.</t>
  </si>
  <si>
    <t xml:space="preserve">Gastos por capítulo septiembre 2026 (impreso 05/10/26, 'Resumen por Capítulos Euros'): '1 Gastos de Personal 1.566.240 1.425.033 91,0 98,3 1.052.896 67,2 68,5 1.052.896 67,2 68,5' (presupuesto actualizado, disposición, ORN, pagos) y 'TOTAL 2.227.000 1.628.254 ... 1.167.415 ... 1.167.415'. Detalle por partidas AL 30-09-2026: cap.1 inicial 1.566.240 = actualizado. Conversión EUR→M: 1,56624; 1,052896. 2025: detalle al 31-12-2025 cap.1 1.517.282 / ORN 1.422.362 / pagos 1.422.362. Ley 7/2025 art. 3 (p. 2): 'Autoridad Vasca de la Competencia 2.227.000 290.200'. Plantilla: Anexo de personal 2026, p. 5, fila '211 Lehiaren Euskal Agintaritza / Autoridad Vasca de la Competencia 17 4 13' (total 17).
RPT de 13 puestos de funcionario (7 económicos/jurídicos de competencia + 6 de apoyo), 2 LD; 4 altos cargos y 0 eventuales deducidos del Anexo de personal 2026 (17 = 4 + 13).</t>
  </si>
  <si>
    <t xml:space="preserve">Personas ocupadas: la memoria AVC 2025 tiene el apartado 'Las personas' en p. 78, pero la extracción del PDF se corta hacia la p. 34; la web no publica RPT en su portada.
La RPT no lleva fecha propia (solo fechas de preceptividad); la fecha 03/08/2026 es la de última modificación de la página y del nombre del fichero.</t>
  </si>
  <si>
    <t xml:space="preserve">Ley 8/2025 (publicación BOR 252, 30/12/2025, pág. 22598, según la ficha del Parlamento de La Rioja; texto consultado en reproducción vLex): art. 1.a 'los organismos autónomos Servicio Riojano de Salud e Instituto de Estudios Riojanos'; art. 2 asigna importes propios solo a CES (150.000), ADER (72.346.585) y Consorcio de Extinción de Incendios (9.459.650). El Instituto Riojano de la Juventud no aparece. No se añade cifra.</t>
  </si>
  <si>
    <t xml:space="preserve">BOR original del Decreto 30/2012 de extinción: no recuperado (BOE txt.php bloqueado por robots y límite de búsquedas agotado). La extinción sigue apoyada en las fuentes ya citadas en la hoja.</t>
  </si>
  <si>
    <t xml:space="preserve">DOGV núm. 10425 / 10.08.2026 (copia en boe.es/ccaa/dogv), Ley 4/2026, art. 2 apdo. 8, p. 11, unidad 'Miles de euros': fila AVAF 5.374,67 → 5,37467 M EUR. Es la única entidad del apdo. 8. La pista del encargo situaba su presupuesto en la sección de Les Corts; en la Ley 4/2026 figura en el art. 2.8 como entidad del sector público no adscrita a la Administración de la Generalitat.
Sin cambios.
Sin desglose verificable.</t>
  </si>
  <si>
    <t xml:space="preserve">Memoria AVAF 2025 (plantilla y ejecución): el PDF de antifraucv.es no pudo abrirse (requiere aparecer en una búsqueda y el límite de búsquedas web quedó agotado). Capítulo 1 2026 y liquidación 2025 no localizados.
Memoria AVAF 2025: el PDF antifraucv.es/wp-content/uploads/2026/03/Memoria_Avaf_2025_es.pdf no aparece en buscadores (dos búsquedas, una 'extended') y WebFetch lo rechaza (PROVENANCE_REQUIRED). Plantilla y ejecución 2025 siguen pendientes.
La Memoria AVAF 2025 (antifraucv.es) no salió en búsquedas y el acceso directo quedó sin aprobar. La RPT vigente se actualizó por Resolución 1359/2023, de 21 de diciembre (DOGV 9755, 29/12/2023), que no se ha localizado. Los DOGV consultados son convocatorias LD sueltas (Res. 41/2024: puesto 37 Letrado/a A1 LD-AP; Res. 391/2024: puesto 10 Jefe/a de Servicio de Prevención A1 LD-AP) y no permiten contar el total de LD.</t>
  </si>
  <si>
    <t xml:space="preserve">Presupuesto: Ley 6/2025 (BOE-A-2026-3218, PDF ELI), art. 3.3, tabla 'Restantes entes públicos | Euros', fila 'Agencia Madrileña para el Apoyo a Personas Adultas con Discapacidad. 15.531.808', Sec. I. Pág. 22478; unidad euros → 15,531808 M. Misma tabla: Fundación Hospital Alcorcón 220.573.099; Agencia para la Administración Digital 391.126.101; Agencia de Ciberseguridad 6.250.505. Personal: memoria AMAPAD 2025, apdo. 3, '148 profesionales' a 31/12. Gasto de personal 2024: memoria de cuentas 2024, p. 25, 'Totales 6.118.824,33' (EUR). Plantilla final 2024: p. 28 (1+31+52+51=135). La pista del encargo la describía como organismo autónomo; la ley de presupuestos la clasifica en 'restantes entes públicos' y las cuentas como ente de derecho público con régimen privado.
Sin cambios.
Desglose de 135 personas a 31/12/2024 por categorías de la memoria de cuentas 2024; cuadra 83+51+1=135.</t>
  </si>
  <si>
    <t xml:space="preserve">Presupuesto de explotación 2026 por partidas (gastos de personal 2026) y plantilla presupuestaria: el libro 03 de presupuestos 2026 de la CAM solo devolvió estructura y códigos (centro 2002), sin importes. Cuentas anuales 2025 de AMAPAD no localizadas. Ejecución 2026 no publicada para el ente. Límite de búsquedas web agotado durante la revisión.
Gastos de personal 2026 (presupuesto de explotación) y cuentas 2025 de AMAPAD: el resumen del Proyecto 2026 de la CAM (comunidad.madrid/file/497589) no menciona la agencia; libro de empresas/entes 2026 no aparece en buscadores; la página institucional de AMAPAD no enlaza cuentas ni presupuesto 2025-2026. Solo constan cuentas 2024 (ya en notas).
Altos cargos, personal eventual y puestos de libre designación no constan en la memoria de cuentas 2024 ni en la memoria 2025; sin RPT localizada. Sin desglose del total de 148 a 31/12/2025.</t>
  </si>
  <si>
    <t xml:space="preserve">estadoIII-a-1 p. 8 MEDIOS: 'NÚMERO DE PERSONAS 1.137'; 'CAP. 1 GASTOS DE PERSONAL 72.803.500 1.714.229' (SECCIÓN / OTRAS SEC.); 'TOTAL GASTOS DEL PROGRAMA 492.887.081 3.422.543'; p. 12 total cap.1 servicio 01 71.879.482; p. 15 servicio 17 FEDER 924.018; p. 17 total general cap.I 72.803.500 (euros) -&gt; 72,8035 M. La columna de 1.137 se confirma con personalI-c-1 p. 516 'TOTAL SECCIÓN 01.31 AGENCIA DIGITAL DE ANDALUCÍA 1.137'. 2026: 2_ADA-3 marzo pp. 2-4: 13.905.705,95 + 208.265,42 = 14.113.971,37 EUR = 14,113971 M; créditos iniciales 71.879.482 + 924.018 = 72.803.500 (completo). 2025: 2_ADA-3 diciembre pp. 2-5 (tres subtotales, suma arriba): definitivo 63,481090 M; obligaciones 57,934101 M. Otro personal: personalI-con-1b-1 p. 704 'TOTAL: AGENCIA DIGITAL DE ANDALUCÍA 184'.
Sin cifras nuevas. La Memoria de las Cuentas Anuales 2024 de ADA (Cuenta General 2024, ADA0-0.pdf) no contiene datos de plantilla ni número de empleados (la nota 23 es "Notas de la memoria que carecen de contenido").
Anexo 2026 sección 01.31 p. 510 + plantilla otro personal pp. 700-704: 858/195/266 (+2 altos cargos). El bloque A2/C1 (266) impide asignar una quinta parte.</t>
  </si>
  <si>
    <t xml:space="preserve">Plantilla ocupada real; ejecución posterior a 31/03/2026.
Resúmenes IGJA abril-julio 2026 (2_ADA-3) y Avance de Liquidación 2025: sin procedencia de URL. Plantilla ocupada: no figura en la memoria 2024; el buscador de RPT de la Junta (organismo AGENCIA DIGITAL DE ANDALUCIA) es dinámico.
Personal eventual: no figura en el resumen del Anexo. Puestos de libre designación: la RPT completa de la Junta en datos abiertos (dataset-jda_rpt.csv vía datos.juntadeandalucia.es/api/v0/rpt/all) no es legible con las herramientas disponibles (devuelve binario) y no hay fichero RPT propio de la entidad; no se estima.</t>
  </si>
  <si>
    <t xml:space="preserve">Ley 8/2025 art. 2.7 (BOE txt): 'Agencia Empresarial para la Transformación y el Desarrollo Económico (TRADE). | 123.015.591 | 123.015.591'. estadoIII-d-2: p. 499 'TOTAL PRESUPUESTO DE INGRESOS 123.015.591'; p. 503 MEDIOS 'CAP. 1 GASTOS DE PERSONAL 21.669.549 7.518.733' y 'TOTAL GASTOS DEL PROGRAMA 123.015.591 30.978.211'; p. 514 'TOTAL GENERAL 21.669.549 ... 123.015.591' (euros) -&gt; 123,015591 M y 21,669549 M. 2026: 2_TRADE-3 marzo pp. 2 y 4: obligaciones cap.1 4.461.337,60 EUR = 4,461338 M. 2025: 2_TRADE-3 diciembre pp. 2 y 4: definitivo 19,508546 M; obligaciones 18,711895 M. Plazas: personalI-con-4-2 p. 820 'TOTAL: AGENCIA PÚBLICA EMPRESARIAL PARA LA TRANSFORMACIÓN Y EL DESARROLLO ECONÓMICO (TRADE) 312'. Base M: 'Presupuesto propio aprobado' por coherencia con AACID (misma categoría, art. 2.7).
TRADE0-0.pdf (Memoria de las Cuentas Anuales 2024, TRADE), p. 4: '8. Gastos de Personal 13. 14.280,19 3.586,22' (2024 / 2023, miles EUR; 2023 parcial, actividad desde 25/03/2023); 'a) Sueldos, salarios y asimilados 11.271,38'; 'b) Cargas sociales 3.008,81'. No se usa como cap.1 ni como 2025.
Plantilla TRADE 2026 (pp. 810-820): 172/121/19 = 312.</t>
  </si>
  <si>
    <t xml:space="preserve">Plantilla ocupada real; PEC/PAIF específico de TRADE no necesario (tiene estado de gastos limitativo con cap.1); ejecución posterior a 31/03/2026.
Resúmenes IGJA abril-julio 2026 (2_TRADE-3): sin procedencia de URL. Plantilla ocupada: el texto legible de la memoria 2024 termina en la nota 9 (84.608 caracteres) sin llegar a la información de personal; inventario de puestos en XLSX no legible.
Altos cargos: TRADE no tiene sección en el Anexo I; el Director General es 1 plaza de la plantilla.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</si>
  <si>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2_ACCUA-3 marzo p. 2, subtotal '1 GASTOS DE PERSONAL': inicial 2.279.024,00 (= cap.1 de la ficha), obligaciones 431.810,37 EUR = 0,431810 M; pagos 427.516,20. 2025: 2_ACCUA-3 diciembre p. 2: definitivo 2.237.818,00 = 2,237818 M; obligaciones 1.601.418,10 = 1,601418 M. Plazas: personalI-c-7 p. 564 'TOTAL 12 100', p. 566 'TOTAL SECCIÓN 15.31 ... 12'; personalI-con-1b-4 p. 720 'TOTAL: AGENCIA PARA LA CALIDAD CIENTÍFICA Y UNIVERSITARIA DE ANDALUCÍA (ACCUA) 28'. AX cambia de 12 a 40 porque el Anexo de Personal añade 28 plazas de 'otro personal' a las 12 del Anexo I (con 12 plazas, 2,279 M de cap.1 serían 190.000 EUR/plaza).
ACCUA0-0.pdf (Memoria de las Cuentas Anuales 2024): p. 20 'Gastos de personal 1.614,55' (miles EUR); p. 30 cap. I 1.614,71 (miles EUR). Sin datos de plantilla; las 696 'personas colaboradoras técnicas' (nota 16, p. 21) son evaluadores externos, no personal.
Anexo 2026 sección 15.31 p. 564 + plantilla pp. 719-720: 21/18/0 (+1 alto cargo).</t>
  </si>
  <si>
    <t xml:space="preserve">Plantilla ocupada real; ejecución posterior a 31/03/2026.
Resúmenes IGJA abril-julio 2026 (2_ACCUA-3): sin procedencia de URL. Plantilla ocupada: no figura en la memoria 2024.
Personal eventual: no figura en el resumen. El inventario de puestos de ACCUA (datos abiertos, XLSX 3T/2026) no es legible con las herramientas disponibles.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</si>
  <si>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2_ISA-3 marzo pp. 2-6, subtotales cap.1 iniciales 3.731.308 + 13.280.208 + 8.999.606 + 817.057 + 244.900 + 1.804.796 + 149.194 = 29.027.069 (= AL de la ficha); obligaciones y pagos 0,00 en todos; 'TOTAL' p. 6: 56.356.937,00 / -24.485.053,00 / 31.871.884,00 / 0,00 / 0,00. 2_ISA-1 marzo: cap.1 '12.934.837,00-'. 2025: 2_ISA-3 diciembre: definitivo cap.1 9.033.225 (0 + 3.000.000 + 1.412.811 + 1.119.514 + 0 + 1.323.307 + 2.177.593); 'TOTAL' obligaciones 0,00; 2_ISA-1 dic: cap.1 '23.121.403,00-'. Plazas: personalI-c-5 p. 556 'TOTAL 39 100', p. 558 'TOTAL SECCIÓN 13.32 ... 39'; personalI-con-1b-3 p. 717 'TOTAL: INSTITUTO DE SALUD DE ANDALUCÍA 352'. Los ceros son importes publicados, no huecos; si la hoja no admite ceros, dejar vacío y conservar el texto.
Sin cifras nuevas. Cuenta General 2024 (menu.htm): el Instituto de Salud de Andalucía no aparece entre las entidades enlazadas.
Anexo 2026 sección 13.32 p. 556 + plantilla pp. 709-717: 242/147/1 (+1 alto cargo).</t>
  </si>
  <si>
    <t xml:space="preserve">Plantilla ocupada real; ejecución posterior a 31/03/2026 (clave para saber si el ISA ya funciona).
Resúmenes IGJA abril-julio 2026 (2_ISA-3), clave para saber si el ISA empezó a ejecutar después de marzo: alojados en ceh.junta-andalucia.es, sin procedencia de URL. Plantilla ocupada: no localizada.
Personal eventual: no figura en el resumen. Puestos de libre designación: la RPT completa de la Junta en datos abiertos (dataset-jda_rpt.csv vía datos.juntadeandalucia.es/api/v0/rpt/all) no es legible con las herramientas disponibles (devuelve binario) y no hay fichero RPT propio de la entidad; no se estima.</t>
  </si>
  <si>
    <t xml:space="preserve">estadoIII-b-1: p. 249 MEDIOS 1.2.S 'NÚMERO DE PERSONAS 14 10.964', 'CAP. 1 GASTOS DE PERSONAL 13.432.356 655.327.280'; p. 254 2.2.B '136 196', '8.116.847 10.914.428'; p. 263 4.4.E '41 374', '141.064.238 46.852.469'; p. 269 'TOTAL GENERAL 162.613.441 ... 271.626.000' (cap.I y total, euros) -&gt; 162,613441 M. Sustituye el cap.1 parcial anterior (8,116847 M, solo 2.2.B) y las 136 personas (solo 2.2.B). 2026: 2_ASEMA-3 marzo pp. 3 y 6: 28.813.685,13 + 361.057,76 + 7.268,37 = 29.182.011,26 EUR = 29,182011 M. Plazas: personalI-d-1 p. 598 'TOTAL 191 100', p. 603 'TOTAL SECCIÓN 01.39 ... 191'; personalI-con-2-1 p. 733 'TOTAL: AGENCIA DE SEGURIDAD Y GESTION INTEGRAL DE EMERGENCIAS DE ANDALUCIA 3.793' (PLAZAS); 191 + 3.793 = 3.984.
2_ASEMA-3 dic-2025 (sección 0139, 'DEL MES DE Enero AL MES DE Diciembre', extracción 03.02.2026 10:35:11): fila '1 GASTOS DE PERSONAL 1.741.008,79 1.684.646,14 56.362,65 96,76 1.684.646,14 0,00 96,76 1.684.646,14 0,00 96,76' + continuación '1.684.075,25 570,89 96,73' (p. 6); subtotal '00 Servicios Centrales' cap.1: 112.795.364,13 / obligaciones 110.288.652,20 / pagos 110.262.350,00; fila '*** 013901 SERVICIOS CENTRALES 211.633.174,00 -18.287.433,71 193.345.740,29 39.703,05' (tabla de modificaciones). 2_ASEMA-1 dic-2025: '1 GASTOS DE PERSONAL ... 22.788.828,08-'; 'Total general: ... 18.757.961,73-'. Cifras en euros.
Anexo 2026 sección 01.39 p. 598 + plantilla pp. 722-733: 3.734/115/134 (+1 alto cargo); el operativo de incendios (3.609) va en núcleo.</t>
  </si>
  <si>
    <t xml:space="preserve">Cap.1 2025 anual completo (PDF dic-2025 truncado en p. 6); plantilla ocupada real; ejecución posterior a 31/03/2026.
Cap.1 2025 anual completo: PDF dic-2025 truncado por la herramienta (texto máx. ~49.000 caracteres); Avance de Liquidación 2025 (descargas/are/ASEMA-3-1.pdf) PROVENANCE_REQUIRED; estado de gastos 2025 (presup2025 estadoIII-b-1) PROVENANCE_REQUIRED y versión de proyecto SERVER_ERROR. Ejecución 2026 posterior a 31/03 (ceh.junta-andalucia.es) no accesible. Plantilla ocupada no localizada.
Personal eventual: no figura en el resumen. Puestos de libre designación: la RPT completa de la Junta en datos abiertos (dataset-jda_rpt.csv vía datos.juntadeandalucia.es/api/v0/rpt/all) no es legible con las herramientas disponibles (devuelve binario) y no hay fichero RPT propio de la entidad; no se estima.</t>
  </si>
  <si>
    <t xml:space="preserve">VOL_L_RES (Llei 10/2026, Resum dels estats d'ingressos i de despeses), pp. 3-7: relación completa de entidades de derecho público (Agència Catalana de l'Aigua 6540 ... Servei Meteorològic 6810); 'Agència de la Natura' no aparece en ningún punto del documento ni en el art. 2 de la Llei 10/2026 (copia BOE del DOGC 9706). Estado 'Sin presupuesto propio' verificado en la ley de presupuestos, no en la norma de creación: revisar si la hoja prefiere mantener 'Sin cifra propia actual verificada' para entes con personalidad no desplegados.</t>
  </si>
  <si>
    <t xml:space="preserve">Decreto de estatutos y constitución efectiva a 11/10/2026 no verificados; tramitación participativa de estatutos (participa.gencat.cat) sin aprobación localizada.</t>
  </si>
  <si>
    <t xml:space="preserve">DOGV 10425 (10/08/2026), Ley 4/2026, art. 2 apdo. 2, p. 10, unidad 'Miles de euros': 'Agencia Valenciana de Protección del Territorio 2.590,89' → 2,59089 M EUR. Lista de OOAA del apdo. 2: 12 organismos (ATV, AVFGA, AVPT, AVSF, AVSRE, ATMV, ICV, IVE, IVIA, IVAJ, INVASSAT, LABORA).
Sin cambios.
Sin desglose verificable.</t>
  </si>
  <si>
    <t xml:space="preserve">Desglose por capítulos (cap.1) y plantilla presupuestaria del organismo en los libros de presupuestos 2026 de hisenda.gva.es, ejecución 2026 y liquidación 2025: no localizados (límite de búsquedas web agotado; la Ley 4/2026 no incluye anexo de personal por organismo en lo extraído).
Desglose por capítulos 2026: los presupuestos de la Generalitat publican fichas F.P.1 'Resumen de recursos financieros' por entidad y programa (fila 'G1 - Gastos de personal', miles EUR) con URL hisenda.gva.es/auto/presupuestos/&lt;año&gt;/T4/EUR/FP1_&lt;entidad&gt;_&lt;programa&gt;.pdf (p. ej. AVPT 00149, programa 431.11, visto para 2022); las versiones 2026 no aparecen en buscadores y WebFetch las rechaza (PROVENANCE_REQUIRED). Ejecución 2026 y liquidación 2025 no localizadas.
Sin RPT completa ni anexo de personal del presupuesto GVA 2026 por organismo. El DOGV 2022_6366 (Resolución de 4/07/2022, convocatoria LD 87/2022) muestra solo 4 puestos LD de la AVPT (Secretaría General; Jefaturas de Servicio de Soporte Técnico, Contratación y Coordinación Administrativa A1; de Personal, Gestión Económica y Presupuestaria y Recaudación A2; de Protección de la Legalidad Urbanística A1); es parcial y no se usa como total de LD.</t>
  </si>
  <si>
    <t xml:space="preserve">DOGV 10425 (10/08/2026), Ley 4/2026, art. 2 apdo. 2, p. 10, unidad 'Miles de euros': 'Agència Valenciana de Seguretat Ferroviària 1.638,11' → 1,63811 M EUR.
Sin cambios.
Sin desglose verificable.</t>
  </si>
  <si>
    <t xml:space="preserve">Capítulo 1 2026, plantilla, ejecución 2026 y liquidación 2025 del organismo: no localizados (límite de búsquedas web agotado).
Desglose por capítulos 2026: los presupuestos de la Generalitat publican fichas F.P.1 'Resumen de recursos financieros' por entidad y programa (fila 'G1 - Gastos de personal', miles EUR) con URL hisenda.gva.es/auto/presupuestos/&lt;año&gt;/T4/EUR/FP1_&lt;entidad&gt;_&lt;programa&gt;.pdf (p. ej. AVPT 00149, programa 431.11, visto para 2022); las versiones 2026 no aparecen en buscadores y WebFetch las rechaza (PROVENANCE_REQUIRED). Ejecución 2026 y liquidación 2025 no localizadas.
Informe de Actividad AVSF 2025 (avsf.gva.es) sin datos de plantilla: solo indica que el programa de teletrabajo incluyó '14 puestos de la RPT' y que la Dirección de Sección de Sistemes i Tecnologies Ferroviàries no se ha creado por falta de dotación. RPT de la AVSF no localizada.</t>
  </si>
  <si>
    <t xml:space="preserve">Revisión de las listas del art. 2 de la Ley 4/2026 (apdos. 2, 4, 5 y 8; pp. 10-11): no aparece la agencia. Solo aparecen 'Entidad Pública de Saneamiento de Aguas residuales de la C.V.' (apdo. 4) y 'Reciclaje Residuos la Marina Alta, SA' (apdo. 5), que son entidades distintas. Ley 5/2026 de medidas: el resumen de derecholocal no menciona la agencia (pista, no fuente de cifra). No se añade cifra.
Sin cambios.</t>
  </si>
  <si>
    <t xml:space="preserve">Si la agencia llegó a constituirse (estatutos/decreto) o si se suprimió o integró en otra entidad; apdos. 3 (consorcios) y 6 (fundaciones) del art. 2 no revisados fila a fila. Límite de búsquedas web agotado.
No priorizado en esta ronda (cupo de búsquedas); constitución efectiva de la agencia sigue sin verificar.</t>
  </si>
  <si>
    <t xml:space="preserve">DOGV 10425 (10/08/2026), Ley 4/2026, art. 2 apdo. 5, p. 11, unidad 'Miles de euros': 'Corporació Audiovisual de la Comunitat Valenciana, SA 81.009,22' → 81,00922 M EUR. À Punt/CVMC no aparecen por separado.
Sin cambios.
Sin desglose verificable.</t>
  </si>
  <si>
    <t xml:space="preserve">Presupuesto de explotación 2026 con gastos de personal, plantilla media y cuentas anuales 2025 de la sociedad: no localizados (límite de búsquedas web agotado).
Presupuesto de explotación 2026 (gastos de personal), plantilla y cuentas 2025 de la Corporació: dos búsquedas solo devolvieron prensa (no fuente de cifra; una pieza de Valencia Plaza de 2020-2022 cita el límite legal de un tercio del presupuesto para personal y el contrato-programa 2021-2023, sin documento oficial enlazado). Portal de transparencia de À Punt no localizado.
No se ha localizado en fuentes oficiales indexadas la plantilla de la CVMC/À Punt por categorías o áreas (ni la memoria de cuentas con personas empleadas por categoría ni el portal de transparencia); solo prensa y resoluciones de procesos selectivos en DOGV (p. ej. 2024_5637, bolsa de administrativos).</t>
  </si>
  <si>
    <t xml:space="preserve">BOPV 251 (30/12/2025), Ley 7/2025 art. 4, tabla 'Entes públicos de derecho privado | Presupuesto | Compromisos futuros', p. 2: 'Aukerak-Agencia Vasca de Reinserción Social 15.980.000 0' (EUR) → 15,98 M. Anexo de personal 2026, p. 5 (columnas Código, Entidad, Total, Altos Cargos, P. Eventual, Funcionarios, Laborales): '425 AUKERAK - Gizarteratzearen Euskal Agentzia / AUKERAK - Agencia Vasca de Reinserción Social 74 1 51 22' (total 74).
Cuentas anuales 2024 de Aukerak (euskadi.eus, cuentas_anuales_ee_sspp_2024, 3_6_19_AUKERAK.pdf), cuenta de pérdidas y ganancias p. 5, '(Expresada en euros)': 'Gastos de personal (5.312.119) [2024] (4.526.504) [2023]'; 'Sueldos, salarios y asimilados (4.190.441) (3.550.293)'; 'Cargas sociales (1.121.678) (976.211)'; sumas cuadran. 5.312.119 EUR = 5,312119 M. Plantilla media no aparece en el extracto de la memoria. Ficha 2023 (soc_publica_245/2023425.pdf), p. 3/3: 'Nº medio de empleados 24.00'; activo total 3.339.794 EUR; cifra de negocios 8.622.121 EUR.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69 puestos RPT (51 funcionarios + 18 laborales): 26 A1 / 25 C y B / 18 oficios laborales; 5 LD; 1 alto cargo y 0 eventuales (Anexo de personal 2026: 74 = 1 + 51 + 22).</t>
  </si>
  <si>
    <t xml:space="preserve">Presupuesto de explotación 2026 por partidas (gastos de personal): está en la sección 16 Justicia de los Presupuestos 2026, p. 145, pero la extracción del PDF se corta hacia la p. 22; el informe trimestral del sector público (2T 2026, índice p. 451) tampoco es extraíble más allá de ~72.000 caracteres. Personas ocupadas y cuentas 2025 no localizadas. Límite de búsquedas web agotado.
Gastos de personal 2026 (presupuesto de explotación), personas ocupadas a fecha, cuentas 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La RPT de funcionarios no lleva fecha propia (fechas de preceptividad 2023/12 y 2027/12). La función de los 22 'Agente/Gestor de Servicios' (C1) no se describe. La diferencia de 4 laborales entre el presupuesto (22) y la RPT laboral (18) no está explicada.</t>
  </si>
  <si>
    <t xml:space="preserve">BOPV 251, Ley 7/2025 art. 4, p. 2: 'Agencia Vasca de Ciberseguridad 6.415.000 0' (EUR) → 6,415 M. Anexo de personal 2026, p. 5: '422 Euskal Zibersegurtasun Agentzia / Agencia Vasca de Ciberseguridad 12 1 2 9' (total 12). Sección 07 Seguridad 2026: índice sitúa a la Agencia en p. 141 (Entes, Sociedades y Fundaciones) y su programa de gasto en p. 83.
Ficha 2024 (euskadi.eus, soc_publica_422/2024422.pdf, Euskal Zibersegurtasun Agentzia / Agencia Vasca de Ciberseguridad, CIF Q0100620D), p. 4/4: 'Nº medio de empleados 6.48'; 'Activo total 2.289.391 €'; 'Importe neto de la cifra de negocios 0 €'. Sección 07 2026 (PDF 2026A): índice sitúa el programa 2225 en p. 83 y el ente en p. 141; texto extraíble termina en p. 24 aun con offset.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Altos cargos 1 y eventuales 0 deducidos del Anexo de personal 2026 (12 = 1 + 2 funcionarios + 9 laborales).</t>
  </si>
  <si>
    <t xml:space="preserve">Gastos de personal 2026 del presupuesto de explotación (sección 07, p. 141: extracción del PDF cortada en p. 23); personas ocupadas; ejecución 2026 (informe trimestral 2T 2026, índice p. 319, no extraíble). Límite de búsquedas web agotado.
Gastos de personal 2026, personas ocupadas a fecha, cuentas 2024/2025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La Agencia no aparece en las páginas de RPT de funcionarios ni de laborales del Gobierno Vasco (03/08/2026); no hay desglose por función/grupo ni libre designación. El régimen funcionario/laboral no sirve como proxy de función.</t>
  </si>
  <si>
    <t xml:space="preserve">BOPV 251, Ley 7/2025 art. 4, p. 3: 'Euskadiko Kirol Portuak 9.975.000 1.300.000' (EUR) → 9,975 M (compromisos futuros 1,3 M, no sumados). Anexo de personal 2026, p. 5: '495 Euskadiko Kirol Portuak / Euskadiko Kirol Portuak 19 1 2 16' (total 19). La pista del encargo la trataba como sociedad pública; la ley de presupuestos 2026 la clasifica como ente público de derecho privado, coherente con la transformación de 2018 que recoge la hoja.
Cuentas anuales 2024 de Euskadiko Kirol Portuak (portal de transparencia ekp.euskadi.eus, CCAA24-EKP_signed.pdf), PyG p. 4, euros: 'Langileengatiko gastuak / Gastos de personal 12.3 -1.004.022 -859.138'; 'Sueldos, salarios y asimilados -751.654 -634.488'; 'Cargas sociales -252.368 -224.650'; sumas cuadran. 1.004.022 EUR = 1,004022 M. Nota de plantilla no incluida en el extracto. Ficha 2024 (soc_publica_53/2024495.pdf), p. 4/4: 'Nº medio de empleados 16.08'.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1 alto cargo, 0 eventuales (Anexo 2026: 19 = 1 + 2 funcionarios + 16 laborales); RPT de funcionarios con 2 puestos, ambos por concurso (0 LD).</t>
  </si>
  <si>
    <t xml:space="preserve">Gastos de personal de la cuenta de PyG presupuestada 2026 y presupuesto de capital desglosado (sección 15, p. 116: extracción cortada en p. 20); personas ocupadas; ejecución 2026 (informe trimestral 2T 2026, índice p. 422, no extraíble); cuentas 2025. Límite de búsquedas web agotado.
Gastos de personal 2026, personas ocupadas a fecha, cuentas 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Sin desglose por función de los 16 laborales (EKP no figura en la página de RPT del personal laboral del Gobierno Vasco). No se rellena el desglose porque solo cubriría 2 de 18 empleados.</t>
  </si>
  <si>
    <t xml:space="preserve">Total: Llei 10/2026 art. 2.6, p. 9/102 'Agencia de Ciberseguridad de Cataluña 33.153.130,08'; VOL_L_RES p. 18 'PR 9912 Ag. Ciberseg. Cat. 33.153,1' (miles EUR); ED_9912 p. 423 'ENTITAT 9912 AGÈNCIA DE CIBERSEGURETAT DE CATALUNYA 33.153.130,08'. 33.153.130,08 EUR = 33,15313 M (6 decimales). Cap.1: ED_9912 p. 422 'CAPÍTOL 1 REMUNERACIONS DEL PERSONAL 7.388.390,00' = 7,38839 M; cap.1+2+6 = 33.153.130,08 (cuadra). Ingresos p. 421: cap. 4 33.103.130,08 + cap. 8 50.000. Dotaciones: AP_9912 'Total (dotacions)' 89 (Altre personal directiu 1; Laboral 88: A86 B1 C1); página impresa probable 126 (no confirmada); el fichero no indica si es versión Projecte o Llei.
Sin cambios.
Cifras leídas en AP_9912.pdf p. 126 (dotacions 2026). Altos cargos y eventuales no se rellenan: la tabla no tiene esas filas (solo 1 'altre personal directiu'), y no se pone 0 porque la fuente no lo dice literalmente.</t>
  </si>
  <si>
    <t xml:space="preserve">Ejecución cap.1 2026, cuentas anuales/liquidación 2025 y plantilla ocupada real (memoria o portal de transparencia de la Agència): no localizadas; límite de búsquedas agotado.
No priorizado en esta ronda (cupo de búsquedas); ejecución cap.1 2026, cuentas 2025 y plantilla ocupada siguen pendientes.
Puestos de libre designación; personas ocupadas reales; desglose por función (memoria de la Agència no localizada).</t>
  </si>
  <si>
    <t xml:space="preserve">El documento citado en la ficha (f/540093) es 'Estados numéricos generales' de la página oficial de la prórroga 2026, no una ley 2026 aprobada. Fila literal de la sección 74: '74 Agencia de Salud Pública de las Illes Balears 15.147.651 88.216 271.000 15.506.867' (euros). La lectura de texto no permite asignar capítulos; se mantiene la asignación del cotejo visual anterior (cap.2/4/6). Corrección: el corte pasa a prórroga. K no cambia. La base 'Presupuesto propio aprobado' se deja como estaba; el corte aclara que es prórroga.
Sin cifras verificables.</t>
  </si>
  <si>
    <t xml:space="preserve">Personal de la ASPIB (sección o ente que lo paga, efectivos) y ejecución 2026/2025 de la sección 74: Compte General 2025 en marcos no legibles; sin ficha de transparencia propia en la lista de entes instrumentales. Cupo de búsquedas agotado.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el personal de la ASPIB ni la ejecución de la sección 74.
Personal de la ASPIB (la sección 74 no tiene capítulo 1 en la prórroga 2026; no se ha identificado de qué RPT/sección depende).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</si>
  <si>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BOE-A-2026-2888 (PDF) p. 20132, art. 2.4, fila literal 'Agencia de Ciencia, Competitividad Empresarial e Innovación Asturiana. 57.308.676 8.965.000 66.273.676' (columnas explotación / capital / total, euros). 66.273.676/1e6 = 66,273676 M. Art. 27.2 según el texto consolidado de la misma ley (BOE ELI).
Sin cifras verificables.</t>
  </si>
  <si>
    <t xml:space="preserve">Gastos de personal (cuenta de explotación) 2026, plantilla, ejecución 2026 y cuentas anuales 2025 de Sekuens: el tomo de entes públicos y el informe de personal están en transparencia.asturias.es (bloqueado a lectura automática) y no hubo resultados de búsqueda con cuentas anuales; cupo de búsquedas agotado.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Búsqueda de cuentas anuales 2025/plantilla de Sekuens: solo plan de contratación 2025 (miprincipado.asturias.es) y convocatorias; sin gastos de personal de su presupuesto de explotación.
Plantilla y desglose de Sekuens (ente público, personal laboral fuera de la RPT de la Administración del Principado): sin memoria ni cuentas anuales con plantilla en resultados de búsqueda.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</si>
  <si>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BOE-A-2026-2888 (PDF) p. 20131, art. 2.2, fila literal 'Consejo de Transparencia y Buen Gobierno del Principado de Asturias. 180.000' (euros): 0,18 M. 2025: texto de la Ley de PG 2025 en jgpa.es, art. 2.2 '88 CONSEJO DE TRANSPARENCIA Y BUEN GOBIERNO DEL PRINCIPADO DE ASTURIAS 80.000' (euros); solo como texto.
Sin cifras verificables.</t>
  </si>
  <si>
    <t xml:space="preserve">Capítulos (personal) del presupuesto 2026, ejecución y personal adscrito: tomo de organismos e informe de personal no accesibles (transparencia.asturias.es bloqueado). No se pudo reabrir la Ley 8/2018 en esta sesión para describir el régimen de medios.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Sin desglose por capítulos de la sección 88 (Consejo de Transparencia) ni personal adscrito.
Personal adscrito al Consejo de Transparencia y Buen Gobierno de Asturias (presupuesto 0,18 M): no se localizó RPT ni memoria con personal.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</si>
  <si>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BOC Ext. 12/2026 p. 2209, art. 2.Dos, fila literal 'SERVICIO DE EMERGENCIAS DE CANTABRIA 18.273.639' (euros); 18.273.639/1e6 = 18,273639. La tabla completa del art. 2.Dos tiene 7 filas sin total.
Sin cifras verificables.</t>
  </si>
  <si>
    <t xml:space="preserve">Capítulo 1 2026, ejecución, liquidación 2025 y plantilla del SEMCA: los anexos del BOC no son legibles con la herramienta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Capítulo 1 2026 del SEMCA, ejecución, liquidación 2025 y plantilla no localizados.
Plantilla del SEMCA (bomberos, operadores 112 frente a administración): sin RPT ni memoria con personal legible; la Ley de Cantabria 4/2021 (integración de personal) no da plantilla actual.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</si>
  <si>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Búsqueda literal de 'Consejo de la Juventud' en el texto extraído del articulado de la Ley 4/2026 (BOC Ext. 12/2026, pp. 2203-2225): sin resultados. Arts. 1 y 2.Dos cotejados. No se aplica la regla 6 porque no se ha verificado su norma de creación (Ley 1/2019) en esta sesión, y es un ente participativo, no un órgano colegiado de la consejería.</t>
  </si>
  <si>
    <t xml:space="preserve">Subvención nominativa o transferencia con su nombre en el estado de gastos 2026 (anexos del BOC no legibles), personal y cuentas. No se pudo reabrir la Ley 1/2019 (BOE) por restricción de acceso; cupo de búsquedas agotado.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Búsqueda de subvención nominativa/transferencia al 'Consejo de la Juventud de Cantabria' (2025-2026): solo aparecen en jovenmania.com (portal de juventud del Gobierno) una convocatoria a entidades locales (Resolución 18/03/2025, BOC 58, aplicación 07.08.232A.463, 100.000 EUR) y una concesión a asociaciones juveniles (02/10/2024); ninguna nombra al Consejo. Sin importe contextual verificable.</t>
  </si>
  <si>
    <t xml:space="preserve">BOC Ext. 12/2026 p. 2209, art. 2.Dos, fila literal 'INSTITUTO CÁNTABRO DE ADMINISTRACIÓN PÚBLICA "RAFAEL DE LA SIERRA" 2.415.537' (euros): 2,415537 M. La nota INAP (https://laadministracionaldia.inap.es/noticia.asp?id=1518318) solo sirve de pista o contexto; no es fuente presupuestaria primaria y se refiere al anteproyecto.
Sin cifras verificables.</t>
  </si>
  <si>
    <t xml:space="preserve">Capítulo 1 de la ley aprobada, ejecución y plantilla: los anexos del BOC no son legibles con la herramienta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Búsqueda específica en transparencia del ICAP 'Rafael de la Sierra': sin resultados. El capítulo 1 de la ley aprobada sigue sin verificar (el 1.153.998 EUR del anteproyecto queda solo como contexto ya anotado).
RPT del ICAP.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</si>
  <si>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Ley 5/2025 de Presupuestos JCCM 2026 (DOCM 29/12/2025), art. 1.1.c: '5.º. Agencia de Investigación e Innovación de Castilla-La Mancha' entre los seis OOAA con presupuesto propio (texto reproducido por INAP; idéntico en el Proyecto de Ley del Portal de Transparencia JCCM, p. 15). El articulado no contiene importe individual.
Informes de ejecución de la Intervención General JCCM (mayo y julio 2026): el índice confirma que el organismo tiene tablas propias de gastos e ingresos (julio: pp. 321 y 327; mayo: pp. 316 y 322), unidad euros, columnas C.Inicial/Definitivo/Autorizado/Comprometido/Obligado/Pagado. El texto extraíble termina (~60.000 caracteres) en la sección 11; con offset no hay más texto. Ninguna cifra individual verificada; no se añade importe.</t>
  </si>
  <si>
    <t xml:space="preserve">Crédito inicial 2026 del OA, capítulo 1, ejecución 2026, liquidación 2025 y plantilla: requieren el estado de gastos por organismos / anexo de personal de los Presupuestos JCCM 2026 o la Cuenta General, no localizados en documento primario accesible (límite de búsquedas de la sesión agotado).
Crédito inicial 2026, cap.1 y ejecución del OA: el estado de gastos por organismos de la Ley 5/2025 (tomos de presupuestos) no aparece en buscadores; el resumen del Proyecto 2026 de la Consejería (21/10/2025, tabla 'Gasto por secciones') no tiene fila de la Agencia de Investigación e Innovación; los informes mensuales de la Intervención (que sí la incluyen) no son extraíbles más allá de la sección 11. El Decreto 5/2026 (DOCM 3/03/2026, modifica estatutos, vía INAP) no contiene cifras de presupuesto ni plantilla. Plantilla/RPT y liquidación 2025 no localizadas.</t>
  </si>
  <si>
    <t xml:space="preserve">Ley 5/2025 (DOCM 29/12/2025), art. 1.1.c.6º 'Agencia de Transformación Digital de Castilla-La Mancha'; art. 9.2.c.2º: 'Los créditos del capítulo 1 "Gastos de personal", de la sección 77'; Proyecto de Ley (Portal de Transparencia JCCM) p. 18 'de la sección 77 "Agencia de Transformación Digital de Castilla-La Mancha"'. Sin importes individuales en el articulado.
Resumen del Proyecto de Ley de Presupuestos CLM 2026 (PDF de castillalamancha.es, archivosnoticias 20251021), tabla 'GASTO POR SECCIONES': fila literal 'Agencia Transformación Digital 142,3 182,5 40,2 28,2' (columnas 2025, 2026, variación absoluta, variación %; unidad millones EUR según los totales de la tabla; 182,5-142,3=40,2 y 40,2/142,3=28,2 % cuadran). Documento sin numeración de página. Solo se usa en texto: es proyecto, no ley aprobada. Informe de ejecución julio 2026: el índice lista la Agencia, sin datos extraíbles.</t>
  </si>
  <si>
    <t xml:space="preserve">Crédito inicial 2026 de la sección 77, capítulo 1, ejecución 2026, liquidación 2025 y plantilla/RPT: no localizados en documento primario accesible (estado de gastos por secciones y anexo de personal JCCM 2026 no alcanzados; límite de búsquedas agotado).
Crédito inicial aprobado 2026 de la sección 77 (estado de gastos de la Ley 5/2025), cap.1, ejecución 2026 (informes mensuales de la Intervención no extraíbles más allá de la sección 11), liquidación 2025 y plantilla/RPT: no localizados en documento extraíble.</t>
  </si>
  <si>
    <t xml:space="preserve">Se alinea 'Estado de cuantificación' con lo que la propia hoja ya documenta (R y 'Estado legal y operativo': norma creadora derogada por Ley 13/2023 con efectos 1/01/2024). Corroboración: Ley 8/2025, art. 1.a y art. 2 (texto vía vLex; publicación BOR 252 de 30/12/2025 pág. 22598 según el Parlamento de La Rioja): ARTE no figura. No se añade cifra.</t>
  </si>
  <si>
    <t xml:space="preserve">No se pudo releer directamente la Ley 13/2023 (BOE-A-2024-1778): la consulta al BOE devolvió un documento distinto y no hubo más búsquedas disponibles. Constitución efectiva de ARTE antes de la derogación no verificada.</t>
  </si>
  <si>
    <t xml:space="preserve">Estatutos: Decreto n.º 46/2025, de 22 de mayo (BORM 27/05/2025), art. 1.1 'se configura como un organismo autónomo'; art. 12.3 personal del art. 40 del Decreto-ley 5/2022; art. 11 recursos del art. 41 del Decreto-ley (texto vía INAP). Ley 3/2025, art. 3 (p. 12): lista cerrada de OOAA con créditos sin esta agencia. Las Órdenes de 11 y 23/06/2026 de adecuación de la estructura presupuestaria prorrogada (BORM 145, 26/06/2026) no mencionan la agencia. No se añade cifra.
Sin cambios.</t>
  </si>
  <si>
    <t xml:space="preserve">Crédito o sección propia 2026 de la Agencia (por modificación de crédito durante la prórroga), nombramiento de dirección, RPT o personal adscrito. Límite de búsquedas web agotado.
No priorizado en esta ronda (cupo de búsquedas); crédito propio 2026 y personal siguen pendientes.</t>
  </si>
  <si>
    <t xml:space="preserve">Lei 4/2025, do 23 de decembro (DOG núm. 252, 31/12/2025), art. 2.Tres, cabecera 'Capítulos I II III IV V VI VII VIII IX Total'; fila 'Axencia Galega de Calidade Alimentaria 15.596.939 3.065.689 3.000 1.159.460 [V vacío] 14.260.250 6.651.609 [VIII y IX vacíos] 40.736.947', p. 66841 (EUR; texto de la Biblioteca de Leis do Parlamento; misma fila en lex.gal pp. 10-11/301 y LEI_I_2026 p. 23). Suma de capítulos = 40.736.947 (cuadra). 40.736.947 EUR = 40,736947 M; cap. I 15.596.939 EUR = 15,596939 M. Asignación de columnas: primera columna = cap. I según cabecera; confirmada por la suma.
Sin cambios.
Memoria/balance de actividade 2025 de AGACAL (Transparencia Xunta, https://ficheiros-web.xunta.gal/transparencia/memorias-balance-actividade/2025/agacal.pdf, p. 3): 'RECURSOS HUMANOS: 304', sin desglose por grupo, función ni régimen y sin fecha de referencia; no se usa como desglose.</t>
  </si>
  <si>
    <t xml:space="preserve">Ejecución cap. I 2026, Conta Xeral 2025 y plantilla ocupada/anexo de persoal de AGACAL: no localizados (DOG bloqueado a la herramienta; límite de búsquedas agotado).
Prazas orzamentadas 2026: el anexo de persoal de OOAA/axencias existe en la serie del Parlamento como PERS_OOAA_&lt;año&gt;.PDF (aparecen 2024 y 2025 en buscadores), pero PERS_OOAA_2026.PDF no aparece y WebFetch lo rechaza (PROVENANCE_REQUIRED). Ejecución cap. I 2026 y Conta Xeral 2025 no localizadas.
Anexo de persoal 2026 no accesible (ver ID 89); PERS_OOAA_2025 tiene AGACAL en p. 475, fuera del texto extraíble. RPT de AGACAL en DOG no accesible (robots). Sin altos cargos, eventuales ni libre designación verificados.</t>
  </si>
  <si>
    <t xml:space="preserve">Sin cambios.
Ley 1/2026 de Extremadura (PDF BOE-A-2026-15131): art. 1 (p. 96704) naturaleza EPE de la Junta y adscripción; art. 2.1 régimen; art. 6.5.b anteproyecto de presupuesto (p. 96707); art. 7 recursos y art. 8 personal (p. 96708); art. 12 régimen presupuestario y art. 13 control de la Intervención General (p. 96709); DA 1ª y 2ª (p. 96709); DT única (p. 96711); DF 2ª (p. 96712); exposición de motivos pp. 96701-96703 (socios del consorcio y disolución). Resolución de 18/02/2026 (DOE 38, 25/02/2026): AGENEX descrita como consorcio; sin cifras.</t>
  </si>
  <si>
    <t xml:space="preserve">No se pudo verificar la naturaleza/titularidad de AGENEX (Ley extremeña 1/2026, BOE-A-2026-15131 de la ficha, no accesible sin aparecer en resultados de búsqueda), ni el estado del presupuesto 2026 de Extremadura (ley o prórroga), ni presupuesto/PyG del consorcio o de la EPE: límite de búsquedas de la sesión agotado. Pendiente: confirmar extinción efectiva del consorcio, proyecto de cesión aprobado y si la EPE figura en presupuestos de la Junta o solo en cuentas del consorcio (gastos de personal de PyG, no cap.1).
Presupuesto 2026 (ley de presupuestos de Extremadura 2026 o prórroga) con dotación del consorcio/EPE, PyG/gastos de personal, plantilla y acto de extinción efectiva del consorcio/proyecto de cesión aprobado: no localizados (cupo de búsquedas agotado).</t>
  </si>
  <si>
    <t xml:space="preserve">Regla 6 aplicada. Los arts. 10 y 8.6 del Decreto 53/2020 son los que la ficha ya cita (verificación previa sobre el BOC, URL en 'Fuentes de la ficha'); en esta sesión no pude reabrir el BOC (boc.cantabria.es no accesible desde la herramienta). Sí verifiqué que el articulado de la Ley 4/2026 (pp. 2203-2225) no menciona el Observatorio ni le asigna dotación.</t>
  </si>
  <si>
    <t xml:space="preserve">Algún importe específico con su nombre (convenio, contrato o línea de programa) en el estado de gastos 2026: anexos del BOC no legibles; cupo de búsquedas agotado.</t>
  </si>
  <si>
    <t xml:space="preserve">Fila literal en 'Estados numéricos generales' de la prórroga 2026: '72 Agencia Balear de Digitalización, Ciberseguridad y Telec. 22.553.642 9.113.680 19.027.371 50.694.693' (euros); suma 50.694.693. Se mantiene la asignación de capítulos del cotejo visual anterior. Corrección: el corte pasa a prórroga 2026, sin ley aprobada. Ficha de transparencia del ente (16/09/2026): remite al tomo 4 y señala que los presupuestos 2025 están prorrogados; no da efectivos.
Sin cifras verificables.</t>
  </si>
  <si>
    <t xml:space="preserve">Ejecución 2026 del capítulo 1 y plantilla ocupada: no hay datos legibles por sección (serie de ejecución en fichero no legible) y la ficha de transparencia no da efectivos. Cuentas 2025 (todavía EPE IBETEC): Compte General 2025 en marcos no legibles.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ejecución 2026 ni plantilla de ABDigital (cuentas 2025 estarían en el apartado EPE, no legible).
Plantilla de ABDigital (creada por Decreto 63/2025 con subrogación de personal de IBIT/EPE): sin RPT ni plantilla publicada en resultados de búsqueda.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</si>
  <si>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Resolución del sector empresarial y fundacional, prórroga 2026 (firma electrónica 29/01/2026), p. 5/8, fila literal '19.E24 Institut Balear de l'Energia 1.221.805 2.068.125 495 0 0 22.051.192 3.000.000 0 0 28.341.617' (euros, caps. 1 a 9 y total). Ingresos p. 6/8: '19.E24 ... 0 0 600.000 1.249.083 0 0 4.336.274 22.156.260 0 28.341.617'. Conversión 28.341.617/1e6 = 28,341617; 1.221.805/1e6 = 1,221805. Sustituye la base 2025 (25,8955 M), que pasa a texto, porque ya hay cifra 2026.
Sin cifras verificables.</t>
  </si>
  <si>
    <t xml:space="preserve">Plantilla ocupada y ejecución 2026 o cuentas 2025 del IBE: la ficha de transparencia (13/03/2026) no da efectivos; Compte General 2025 no legible. La resolución no separa explotación y capital (no se calcula).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plantilla ni cuentas 2025 del IBE (apartado EPE no legible).
Plantilla del IBE por categorías: ficha de transparencia sin efectivos; sin cuentas anuales legibles.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</si>
  <si>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Alta del 14/10/2026. Por qué entra: Entra. (1) Unidad con nombre propio de la Dirección General de Tráfico (OA Jefatura Central de Tráfico). (2) Creado el 02/07/2004, después del 17/04/2004. (3) RD 1599/2004, de 2 de julio, art. 10.3: «Observatorio Nacional de Seguridad Vial, que se crea por este real decreto». Sigue vigente en la estructura de la DGT.
RD 1599/2004 (BOE-A-2004-12473, BOE 03/07/2004): art. 10.3 (creación, estructura en la RPT, ejerce las funciones del párrafo 1.b); DA 3.ª «no supondrá incremento de gasto público»; derogado 12/09/2006 por RD 991/2006. Web DGT «Estructura y funciones»: ONSV como órgano de la DGT, lista de funciones vigentes, remisión al RD 207/2024 modificado por RD 328/2026. Revista DGT n.º 270, pp. 4-5: «En 2004 se crea el Observatorio Nacional de Seguridad Vial».
Verificación independiente (encargo 31): norma COINCIDE, fecha COINCIDE, periodo COINCIDE, gasto COINCIDE, estado COINCIDE. Ninguna. RD 1599/2004, de 2 de julio (BOE núm. 160, 03/07/2004, BOE-A-2004-12473): el art. 10.3 dice que las funciones del párrafo b) se ejercen a través del ONSV, «que se crea por este real decreto», «cuya estructura se determinará en la correspondiente relación de puestos de trabajo». La DA 3.ª, «No incremento de gasto público», dice que su aplicación «no supondrá incremento de gasto público». Fue derogado el 12/09/2006 por el RD 991/2006. La web de la DGT incluye el ONSV entre sus órganos y cita el «Real Decreto 328/2026, de 22 de abril», que modifica el «Real Decreto 207/2024, de 27 de febrero». https://www.boe.es/eli/es/rd/2004/07/02/1599</t>
  </si>
  <si>
    <t xml:space="preserve">Artículo vigente del RD 207/2024 sobre la DGT y el ONSV (el consolidado del BOE se corta antes); rango orgánico actual (subdirección o unidad); número de puestos o efectivos.</t>
  </si>
  <si>
    <t xml:space="preserve">Alta del 14/10/2026. Por qué entra: Entra. (1) Órgano colegiado de la AGE (art. 22.3 Ley 40/2015) integrado en la Subsecretaría de Defensa. (2) Creado en 2005 como Observatorio de la Mujer en las FAS (Acuerdo del CM publicado por Orden PRE/525/2005, de 7 de marzo, apartado 1.6.a; Zapatero), renombrado por OM 51/2011 (28/07/2011) y regulado de nuevo por Orden DEF/111/2019 (08/02/2019). (3) Acuerdo del CM 2005, OM 51/2011 y Orden DEF/111/2019 (BOE-A-2019-1785).
Orden DEF/111/2019, BOE núm. 35, 09/02/2019, pp. 12403-12407: preámbulo (OM 51/2011 de 28 de julio cambió la denominación; RD 1399/2018 dependencia del Subsecretario); art. 1.1 (naturaleza y adscripción); art. 1.2-1.5 (composición); art. 2 (funciones a-g); art. 3 (funcionamiento, medios); art. 4 (Secretaría Permanente; 4.2 RPT; 4.3.n informe preceptivo de alzadas); disposición adicional única (gasto); disposición derogatoria (OM 51/2011). Orden PRE/525/2005, apartado 1.6.a (creación del Observatorio de la Mujer en las FAS). RED enero 2020 (pleno reciente; 650 consultas/año). LO 9/2011, art. 54.c (conciliación, para la duplicidad con ID9).
Verificación independiente (encargo 31): norma COINCIDE, fecha DISCREPA, periodo COINCIDE, gasto COINCIDE, estado COINCIDE. (1) Fecha legal: cambiar 2005-03-07 por 2005-03-04. El 07/03/2005 es la fecha de las órdenes de publicación; el Acuerdo del Consejo de Ministros es de 4 de marzo de 2005 (BOE núm. 57, 08/03/2005). El periodo no cambia (Zapatero). (2) Norma: además de la Orden PRE/525/2005 (apdo. 1.6.a: «Se crea el Observatorio de la Mujer en las Fuerzas Armadas»; verificado), conviene citar como norma principal la Orden DEF/524/2005, de 7 de marzo (BOE-A-2005-3769), que publica el Acuerdo del CM de 4 de marzo de 2005 sobre la incorporación y la integración de la mujer en las FAS. Su anexo I, punto 1, dice: «Se crea el Centro de estudio sobre la situación de la mujer en las Fuerzas Armadas (Observatorio de la Mujer en las FAS)», dependiente de la Subsecretaría de Defensa. Esto resuelve el «no encontrado» de la ficha sobre la norma que creó el «Centro de Estudio» citado en el preámbulo de 2019. (3) Gasto verificado en la Orden DEF/111/2019 (BOE-A-2019-1785): art. 3.2 («será atendido con los medios materiales y recursos humanos existentes en el Ministerio de Defensa»), art. 4.2 (RPT) y disposición adicional única («sin que la aprobación de esta norma suponga incremento de gasto público»). No hay mención a retribuciones de los vocales. https://www.boe.es/boe/dias/2005/03/08/pdfs/A08109-08110.pdf</t>
  </si>
  <si>
    <t xml:space="preserve">Texto de la OM 51/2011 (BOD); efectivos de la Secretaría Permanente de Igualdad.</t>
  </si>
  <si>
    <t xml:space="preserve">Alta del 14/10/2026. Por qué entra: Entra. (1) Órgano colegiado consultivo adscrito a Puertos del Estado, creado por ley estatal (art. 123 TRLPEMM). (2) La Ley 48/2003 ya preveía un observatorio, pero no se constituyó; el art. 123 del RDLeg 2/2011 (procedente de la Ley 33/2010) lo vuelve a crear y lo regula, y el Consejo Rector de Puertos del Estado lo constituyó el 29/06/2012 (primer pleno 11/12/2012): recreación y constitución efectiva después del 17/04/2004. (3) Actos oficiales: RDLeg 2/2011 y acuerdo del Consejo Rector. Periodo Zapatero por la norma de creación vigente (como ID9); constitución bajo Rajoy.
Art. 123 TRLPEMM: transcripción literal en la Memoria anual 2022, p. 6 (apdo. 1: «Se crea…adscrito a Puertos del Estado», composición por acuerdo del Consejo Rector; apdo. 2: informe anual de competitividad elevado al Ministerio). Constitución 29/06/2012 y primer pleno 11/12/2012: Memoria 2022 p. 2 y Memoria 2014 p. 3. Reglamento interno 11/12/2012 y remisión a la Ley 40/2015: Memoria 2022 p. 6. Mandato de vocales de 2 años: Memoria 2022 p. 7. Composición (recuento propio): Memoria 2022 pp. 7-9. Un pleno en 2022 (19.º, 13/12/2022): Memoria 2022 p. 11. Oficina Técnica: Memoria 2022 p. 20. Estudios: pp. 21-22. Antecedente Ley 48/2003 y mención a la Ley 33/2010: Memoria 2014 pp. 5 y 14. Dos plenos en 2014 (11/09 y 17/12): Memoria 2014.
Verificación independiente (encargo 31): norma DISCREPA, fecha DISCREPA, periodo COINCIDE, gasto COINCIDE, estado COINCIDE. (1) El RDLeg 2/2011 es un texto refundido: no crea el órgano, solo refunde normas anteriores. La creación legal original es la Ley 48/2003, de 26 de noviembre (BOE núm. 284, 27/11/2003, BOE-A-2003-21615). Su exposición de motivos dice que la ley instituye «un Observatorio Permanente del mercado de los servicios portuarios básicos, órgano adscrito a Puertos del Estado», y la Memoria 2014 del Observatorio dice que la Ley 48/2003 lo creó. La Ley 48/2003 es de la etapa Aznar, anterior al 17/04/2004. (2) No se ha podido comprobar en texto oficial que el observatorio de 2003 no llegara a constituirse ni que la Ley 33/2010, de 5 de agosto (BOE-A-2010-12703), lo «recreara»: los textos del BOE se cortan antes del articulado pertinente, y la Memoria 2022 no menciona ni la Ley 48/2003 ni la Ley 33/2010. Si se mantiene la tesis de la recreación, la fecha legal debe ser la de la Ley 33/2010 (2010-08-05, Zapatero) y no la del texto refundido (2011-09-05). Si no se acredita, la creación es de 2003 (fuera de rango) y lo único posterior es la constitución efectiva por el Consejo Rector el 29/06/2012 (Rajoy). Recomendación: reformular «Norma fundacional» como «Ley 48/2003 (creación); Ley 33/2010 (nueva redacción, pendiente de verificar); art. 123 TRLPEMM (refundición)» y revisar si la entrada procede. (3) Gasto: la transcripción del art. 123.1 en la Memoria 2022 («Se crea un Observatorio Permanente del Mercado de los Servicios Portuarios, adscrito a Puertos del Estado») no contiene cláusula de gasto, y las memorias no mencionan presupuesto ni dietas. Coincide. (4) Estado: la constitución el 29/06/2012 y el primer pleno el 11/12/2012 se confirman en las Memorias 2014 y 2022. https://www.boe.es/buscar/pdf/2003/BOE-A-2003-21615-consolidado.pdf</t>
  </si>
  <si>
    <t xml:space="preserve">Texto del art. 123 en la página del BOE (el consolidado se corta antes); texto de la Ley 33/2010; importes del contrato de la Oficina Técnica (los anuncios BOE-B revisados eran de otros contratos); memorias posteriores a 2022; dietas o retribución de los vocales.</t>
  </si>
  <si>
    <t xml:space="preserve">Alta del 14/10/2026. Por qué entra: Entra con reservas. (1) Órgano interno de la Corporación RTVE, sociedad mercantil estatal (sector público estatal). (2) Creado en febrero de 2018 (Rajoy), según el Diario de Sesiones de la Comisión Mixta de Control de RTVE (DSCG-14-CM-108, 14/02/2022, p. 4). (3) El acto de creación es un acuerdo interno de la Corporación que no se ha localizado ni está publicado en boletín: la condición 3 queda acreditada solo de forma indirecta. Si se exige leer el acto, debería excluirse o quedar pendiente.
DSCG-14-CM-108 (14/02/2022): p. 3 (creado en el marco del Pacto de Estado contra la violencia de género), p. 4 («en febrero de 2018 se creó el observatorio»; funciones de asesoramiento, evaluación, informes y propuestas; empezó a funcionar más tarde), p. 3 (comparecencia de su presidenta solicitada en mayo de 2021 y no celebrada). Resolución 2/2021 del Observatorio (copia alojada por observatorioviolencia.org): función de velar por los códigos éticos de igualdad, norma de funcionamiento, investigación de oficio. Composición y presidencia de julio de 2021: formulatv (prensa, solo pista).
Verificación independiente (encargo 31): norma NO VERIFICABLE, fecha COINCIDE, periodo COINCIDE, gasto COINCIDE, estado COINCIDE. No se ha localizado el acuerdo interno de creación, y la condición 3 sigue sin acreditarse con el acto. La fecha procede de una intervención parlamentaria, no de un acto oficial de RTVE. DSCG-14-CM-108 (14/02/2022): en la p. 4, la Sra. Guinart Moreno (GS) dice «en febrero de 2018 se creó el observatorio» y que «no fue hasta bastante tiempo más tarde cuando empezó realmente a funcionar»; en la p. 3 lo sitúa en el marco del Pacto de Estado de 2017; en la p. 7 la Sra. Salanueva (GP) afirma que se creó «aunque gobernaba entonces el Partido Popular», lo que es coherente con el periodo Rajoy. Estado: en la p. 3 consta que en mayo de 2021 se pidió la comparecencia de su presidenta sobre las memorias de 2018-2020, lo que respalda que estaba activo. Recomendación: mantener la reserva y redactar la fecha legal como «2018-02 (según intervención parlamentaria)». https://www.congreso.es/public_oficiales/L14/CORT/DS/CM/DSCG-14-CM-108.PDF</t>
  </si>
  <si>
    <t xml:space="preserve">Acuerdo de creación (catálogo: 31/01/2018) y norma de funcionamiento; página oficial en rtve.es; composición en fuente oficial; actividad posterior a 2022; cualquier partida en las cuentas de la Corporación.</t>
  </si>
  <si>
    <t xml:space="preserve">Alta del 14/10/2026. Por qué entra: Entra. (1) Órgano colegiado de la AGE (art. 22.3 Ley 40/2015) adscrito al Ministerio de Sanidad. (2) Recreado con nueva regulación y nombre el 01/03/2019 (Sánchez): el Observatorio de Salud de la Mujer de 05/03/2004 (anterior al 17/04/2004) fue suprimido por la Ley 15/2014 y recuperado tras el RD 1047/2018. (3) Acuerdo del Consejo de Ministros de 01/03/2019 publicado por Orden PCI/462/2019 (BOE de 23/04/2019).
Orden PCI/462/2019, BOE núm. 97, 23/04/2019, p. 41662: preámbulo (creación por ACM 05/03/2004; Ley 15/2014 DA 3ª supresión e integración, DT 2ª continuidad; RD 1047/2018 DF 3ª recuperación); apartado Tercero (naturaleza y adscripción); Cuarto (funciones); Quinto (composición); Sexto (Pleno, Equipo Técnico Permanente, grupos de trabajo, programa bienal); Séptimo (gasto y medios). La Moncloa, referencia CM 01/03/2019: 21 vocalías y acciones inmediatas.
Verificación independiente (encargo 31): norma COINCIDE, fecha COINCIDE, periodo COINCIDE, gasto COINCIDE, estado COINCIDE. Precisiones menores. (1) Adscripción literal en la Orden PCI/462/2019 (BOE núm. 97, 23/04/2019, pp. 41662-41666), apartado Tercero: «Ministerio de Sanidad, Consumo y Bienestar Social», a través de la DG de Salud Pública, Calidad e Innovación (la ficha dice «Ministerio de Sanidad»). (2) El preámbulo dice que el Acuerdo de 05/03/2004 «contemplaba la creación» del Observatorio de Salud de la Mujer y que la Ley 15/2014 estableció su «integración funcional» en el Observatorio de la Salud; conviene usar esta fórmula en lugar de «suprimido». (3) El apartado Séptimo (sin subapartados) dice que su funcionamiento «no supondrá incremento del gasto público» y se atiende con los medios existentes del Ministerio; no regula dietas. Coincide. (4) Estado: puede añadirse la respuesta parlamentaria del Gobierno de 08/10/2024, según la cual el Observatorio «sigue siendo parte de la estructura del Ministerio de Sanidad». No da fechas de reunión del Pleno. https://boe.es/boe/dias/2019/04/23/pdfs/BOE-A-2019-6060.pdf ; https://www.congreso.es/entradap/l15p/e4/e_0043016_n_000.pdf</t>
  </si>
  <si>
    <t xml:space="preserve">Reunión constitutiva del Pleno y actividad posterior a 2019; web observatoriosaludmujeres.es (no consultada); adscripción tras reestructuraciones posteriores del Ministerio; regulación de dietas.</t>
  </si>
  <si>
    <t xml:space="preserve">Alta del 14/10/2026. Por qué entra: Entra. (1) Órgano estatal creado por ley («Este órgano estará gestionado por la Secretaría para la Unidad de Mercado»). (2) Creado el 28/09/2022 (en vigor 19/10/2022). (3) Ley 18/2022, art. 6.Veintiuno, que añade la DA 9.ª a la Ley 20/2013 (la pista atribuía la DA 9.ª a la propia Ley 18/2022: en esa ley la DA 9.ª trata de CIRCE). Funcionamiento como órgano diferenciado no confirmado.
DA 9.ª Ley 20/2013 (art. 6.Veintiuno Ley 18/2022): creación en el marco de la Conferencia Sectorial, gestión por la Secretaría para la Unidad de Mercado, funciones a-d; leída en la reproducción de iberley (no oficial) y coincidente con la cita del BOE del catálogo de observatorios. Art. 11.b (gestión del Observatorio) y art. 10 (Conferencia Sectorial: composición) de la Ley 20/2013 en la redacción de los apartados Seis y Cinco del art. 6 Ley 18/2022: hacienda.gob.es (reproduce el BOE). Fecha y BOE n.º 234 de 29/09/2022, en vigor 19/10/2022: hacienda.gob.es. Catálogo aprobado el 18/07/2022: nota de La Moncloa.
Verificación independiente (encargo 31): norma COINCIDE, fecha COINCIDE, periodo COINCIDE, gasto COINCIDE, estado COINCIDE. Sin correcciones de fondo. En el BOE consolidado de la Ley 20/2013, la DA 9.ª («Creación del Observatorio de Buenas Prácticas Regulatorias») dice: «Se crea el Observatorio de Buenas Prácticas Regulatorias en el marco de la Conferencia Sectorial para la Mejora Regulatoria y el Clima de Negocios» y «Este órgano estará gestionado por la Secretaría para la Unidad de Mercado». No menciona composición, gasto, medios ni retribución. En el PDF del BOE de la Ley 18/2022 (BOE núm. 234, 29/09/2022), el art. 6.Seis da al art. 11.b de la Ley 20/2013 la redacción «Gestión del Observatorio de Buenas Prácticas Regulatorias.». Limitaciones: el número de apartado «Veintiuno» del art. 6 y la ausencia de cláusula general de no incremento de gasto en toda la Ley 18/2022 no se han podido leer en el texto oficial, porque se corta en el apartado Once. Conviene sustituir la cita de iberley por la URL ELI consolidada. https://www.boe.es/eli/es/l/2013/12/09/20/con</t>
  </si>
  <si>
    <t xml:space="preserve">Página del BOE de la Ley 18/2022 (bloqueada en esta sesión); cláusula de no incremento de gasto (no aparece en el índice de disposiciones de la ley, según resumen de ga-p.com, pista no oficial); actas de la Conferencia Sectorial posteriores a 2022 que acrediten actividad del Observatorio (solo un borrador de acta de 28/04/2023 publicado por prensa, no leído).</t>
  </si>
  <si>
    <t xml:space="preserve">Alta del 14/10/2026. Por qué entra: Entra. (1) Órgano colegiado de la AGE (art. 22.3 Ley 40/2015) adscrito al Ministerio de Sanidad a través de la DG de Salud Pública. (2) Creado el 18/07/2023 (Sánchez). (3) Acuerdo del Consejo de Ministros de 18/07/2023, con certificación de aprobación; activo (segunda reunión 12/02/2024).
Naturaleza y adscripción: acuerdo, apartado Segundo (p. 2). Funciones a)-m) y exclusión del art. 22.1 Ley 40/2015: apartado Tercero (pp. 2-3). Composición: apartado Cuarto.1-2 (pp. 3-4); secretaría Cuarto.6 (p. 5); reuniones Cuarto.7 (p. 5). Grupos de trabajo: apartado Quinto. Gasto, medios y no retribución: apartado Séptimo.1-2 (p. 5). Fecha de aprobación: certificación inicial y preámbulo (p. 2). Naturaleza «órgano colegiado intersectorial» y vínculo con PESMA/PNACC: nota MITECO de 18/07/2023. Segunda reunión 12/02/2024: nota MITECO de 13/02/2024.
Verificación independiente (encargo 31): norma COINCIDE, fecha COINCIDE, periodo COINCIDE, gasto COINCIDE, estado COINCIDE. Ninguna. Verificado en el PDF del acuerdo: certificación del Secretario del Consejo de Ministros («en la reunión del Consejo de Ministros celebrada el día dieciocho de julio de dos mil veintitrés se ha aprobado el Acuerdo por el que se crea el Observatorio de Salud y Cambio Climático»); apartado Segundo («órgano colegiado, de los previstos en el artículo 22.3 de la Ley 40/2015»; adscrito a Sanidad a través de la DG de Salud Pública); apartado Séptimo.1 («no supondrá incremento alguno del gasto público y funcionará con los medios personales y materiales de los Ministerios y organismos que participan en su composición») y Séptimo.2 («no percibirán remuneración ni dieta alguna por su pertenencia al grupo»); Cuarto.6 (secretaría del Ministerio de Sanidad). Nota MITECO de 13/02/2024: «la segunda reunión» celebrada «ayer lunes» (12/02/2024); no menciona la reunión constitutiva. https://www.sanidad.gob.es/areas/sanidadAmbiental/observatorioSaludCambioClimatico/docs/acuerdo_OSCC.pdf</t>
  </si>
  <si>
    <t xml:space="preserve">Publicación del acuerdo en BOE (no localizada); fecha de la reunión constitutiva; actividad posterior a febrero de 2024; personal de la secretaría. Las notas de Sanidad (notasPrensa.do) no se pudieron abrir (robots).</t>
  </si>
  <si>
    <t xml:space="preserve">Alta del 14/10/2026. Por qué entra: Entra como creación aprobada y no constituida. (1) Unidad prevista en la Secretaría de Estado de Turismo (AGE). (2) Aprobada el 21/10/2025. (3) El Consejo de Ministros aprobó su creación junto a la Estrategia España Turismo 2030 (nota oficial de Mintur). No se ha localizado norma de desarrollo ni constitución. Duda: si se materializa solo como atlas, sería una herramienta y debería excluirse.
Nota Mintur 21/10/2025 «El Gobierno aprueba la Estrategia España Turismo 2030»: «El Gobierno aprueba la creación de un Observatorio de la Vivienda Turística» para «elaborar un atlas de intensidad turística». La Moncloa 08/10/2025: «la creación de un Observatorio de Vivienda Turística en la Secretaría de Estado de Turismo», «atlas de intensidad turística por barrios». Ninguna fuente menciona presupuesto, composición ni plazos.
Verificación independiente (encargo 31): norma NO VERIFICABLE, fecha COINCIDE, periodo COINCIDE, gasto COINCIDE, estado COINCIDE. La nota de Mintur de 21/10/2025 dice «El Gobierno aprueba la creación de un Observatorio de la Vivienda Turística» para «elaborar un atlas de intensidad turística». Atribuye la aprobación al Gobierno, pero no dice de forma expresa que la acordara el Consejo de Ministros ni con qué instrumento. Solo la prensa (RTVC) habla de aprobación por el Consejo de Ministros. No se pudo abrir la Referencia del CM de 21/10/2025 en La Moncloa (permiso no concedido). La Moncloa (08/10/2025) lo sitúa «en la Secretaría de Estado de Turismo». Ninguna fuente menciona presupuesto. Estado: la nota de Mintur de 05/05/2026 sobre la Interministerial de Turismo no menciona el Observatorio y dice que «se está trabajando en el desarrollo de un Atlas de Intensidad Turística»; conviene añadirla como prueba de que no estaba constituido en mayo de 2026. Recomendación: redactar la norma como «aprobación anunciada por el Gobierno el 21/10/2025, junto a la Estrategia España Turismo 2030 (instrumento no identificado)». https://www.mintur.gob.es/es-es/gabineteprensa/notasprensa/2026/documents/20260505%20ndp%20interministerial%20de%20turismo%20y%20estrategia%202030.pdf</t>
  </si>
  <si>
    <t xml:space="preserve">Referencia del Consejo de Ministros de 21/10/2025 y texto de la Estrategia (forma jurídica de la aprobación); orden, resolución o constitución posterior; atlas publicado; cualquier dotación o contrato.</t>
  </si>
  <si>
    <t xml:space="preserve">Alta del 14/10/2026. Por qué entra: Entra con reserva, como «creación anunciada o en tramitación, no constituido» (el brief admite lo anunciado y no constituido). Condición 1: según el anuncio oficial, será un órgano técnico de análisis adscrito a la Secretaría de Estado de la Seguridad Social y Pensiones (MISSM). Condición 2: anuncio del 09/02/2026 (Sánchez). Condición 3, débil: el único acto oficial localizado es la nota de La Moncloa/MISSM del 09/02/2026, que anuncia una orden ministerial que «empezará a tramitarse de inmediato mediante una consulta pública previa». A 14/10/2026 no se ha localizado en el BOE ninguna orden de creación. La Resolución de 28/05/2026 (https://www.boe.es/eli/es/res/2026/05/28/(3), BOE-A-2026-12603, BOE de 10/06/2026) NO es su creación: es de la SESSP y crea un segundo equipo de valoración de incapacidades en la Dirección Provincial del INSS de Murcia. Si el coordinador exige una norma publicada, debe excluirse.
Fecha, naturaleza («órgano técnico estratégico de análisis», permanente), adscripción a la SESSP, instrumento (orden ministerial previa consulta pública), composición, funciones e «informes preceptivos»: nota de La Moncloa de 09/02/2026, coincidente con Revista Seguridad Social de 09/02/2026. Resolución de 28/05/2026: BOE-A-2026-12603, BOE núm. 141 de 10/06/2026, pp. 80273-80274, apartado Primero (segundo equipo de valoración de incapacidades del INSS en Murcia), sin relación con el Observatorio. Coste o financiación: no mencionados en la nota.
Verificación independiente (encargo 31): norma COINCIDE, fecha COINCIDE, periodo COINCIDE, gasto COINCIDE, estado COINCIDE. Ninguna. Nota de La Moncloa de 09/02/2026: puesta en marcha «de manera inminente»; orden ministerial que «empezará a tramitarse de inmediato mediante una consulta pública previa»; «órgano técnico estratégico de análisis» adscrito a la SESSP. No menciona financiación, medios ni retribución. Las búsquedas de esta verificación tampoco han encontrado orden de creación, consulta pública ni constitución hasta el 14/10/2026. Lo que sí apareció es la Orden ISM/541/2026, que trata de notificaciones electrónicas y no tiene relación. La entrada se sostiene solo si se aceptan creaciones anunciadas y no constituidas, porque no hay norma. https://www.lamoncloa.gob.es/serviciosdeprensa/notasprensa/inclusion/Paginas/2026/090226-observatorio-incapacidad-temporal.aspx</t>
  </si>
  <si>
    <t xml:space="preserve">Orden ministerial de creación en el BOE (búsquedas por «Orden… Observatorio Estatal de la Incapacidad Temporal», «se crea y regula», «proyecto de orden»): no localizada. Documento de consulta pública previa en inclusion.gob.es: no localizado (el resultado de expinterweb.mites.gob.es era una MAIN de 2018 sobre el RD 625/2014). Constitución o primera reunión: no localizada. Cualquier dato de gasto, medios o retribución: inexistente sin norma.</t>
  </si>
  <si>
    <t xml:space="preserve">Alta del 14/10/2026. Por qué entra: Entra como creación en tramitación, no constituido. (1) Órgano colegiado interadministrativo estatal previsto por ley estatal (Ministerio de Sanidad). (2) Creado originalmente por la Ley 28/2005, de 26/12/2005 (Zapatero), suprimido por la Ley 15/2014, y recreado con otra composición por el proyecto de ley aprobado por el Consejo de Ministros el 21/07/2026 (Sánchez). (3) Proyecto de ley publicado en BOCG-15-A-111-1 (11/09/2026), en tramitación en la Comisión de Sanidad con competencia legislativa plena. Periodo asignado: Sánchez (acto de recreación); el origen Zapatero consta en la ficha.
Proyecto: BOCG-15-A-111-1, p. 1 (publicación 11/09/2026, Mesa 08/09/2026, enmiendas hasta 29/09/2026); exposición de motivos p. 4 (suprimido por Ley 15/2014, se crea de nuevo con otra composición conforme al art. 22 Ley 40/2015); artículo único, apartado Once, pp. 11-12 (nuevo art. 16: naturaleza, composición, funciones a-d); art. 17 p. 11 (sanciones). Ley 28/2005: BOE ELI, art. 16 original (creado en el seno del Ministerio de Sanidad y Consumo; funciones) y nota de derogación por Ley 15/2014; BOE núm. 309 de 27/12/2005. Ley 15/2014: preámbulo (supresión e integración en el Observatorio de Salud). Fecha CM 21/07/2026: laboral-social.com («CONSEJO DE MINISTROS 21-7-2026») y legaltoday 21/07/2026 (prensa como pista).
Verificación independiente (encargo 31): norma COINCIDE, fecha COINCIDE, periodo COINCIDE, gasto COINCIDE, estado COINCIDE. Sin correcciones de fondo. BOCG Congreso, serie A, núm. 111-1, 11/09/2026, expte. 121/000110: el apartado «Once» del artículo único da nueva redacción al art. 16 y lo define como «órgano colegiado interadministrativo», sin adscripción expresa. La exposición de motivos dice que el Observatorio «fue suprimido mediante la Ley 15/2014, de 16 de septiembre». El proyecto no contiene cláusula de gasto, medios ni retribución; la única referencia económica es el art. 17 (sanciones). Competencia legislativa plena de la Comisión de Sanidad; enmiendas hasta el 29/09/2026. La fecha del Consejo de Ministros (21/07/2026) se confirma en fuente oficial (resumen de La Moncloa: aprobó remitir a las Cortes «el proyecto de ley que actualiza la normativa actual frente al tabaquismo, aprobada en 2005»), así que la cita de prensa se puede sustituir por esta. Matiz menor: el BOCG fecha el 08/09/2026 la certificación del Secretario General y no indica de forma expresa la fecha de la reunión de la Mesa.</t>
  </si>
  <si>
    <t xml:space="preserve">Disposición literal de la Ley 15/2014 que lo suprime (el lector del BOE truncó el texto); nota oficial de Sanidad del anteproyecto de 09/09/2025; MAIN del proyecto; actividad del órgano entre 2006 y 2014.</t>
  </si>
  <si>
    <t xml:space="preserve">Entidad</t>
  </si>
  <si>
    <t xml:space="preserve">Capítulo</t>
  </si>
  <si>
    <t xml:space="preserve">Crédito inicial 2026 (= PGE 2023 prorrogado), EUR millones</t>
  </si>
  <si>
    <t xml:space="preserve">Crédito actualizado a 31/08/2026, EUR millones</t>
  </si>
  <si>
    <t xml:space="preserve">A qué se destina</t>
  </si>
  <si>
    <t xml:space="preserve">¿Gasto propio o de paso?</t>
  </si>
  <si>
    <t xml:space="preserve">1 Gastos de personal</t>
  </si>
  <si>
    <t xml:space="preserve">Retribuciones y cotizaciones de la plantilla investigadora, técnica y de gestión (unas 17.100 personas según la EPSAP de enero de 2026).</t>
  </si>
  <si>
    <t xml:space="preserve">Propio</t>
  </si>
  <si>
    <t xml:space="preserve">2 a 9 (resto, en conjunto)</t>
  </si>
  <si>
    <t xml:space="preserve">Diferencia aritmética: 1.543,754 − 614,97. No se ha podido verificar cómo se reparte entre los capítulos 2 (bienes y servicios), 3, 4, 6 (inversiones reales: proyectos e infraestructuras), 7, 8 y 9.</t>
  </si>
  <si>
    <t xml:space="preserve">Sin desglosar</t>
  </si>
  <si>
    <t xml:space="preserve">Plantilla y Consejo. Desglose inicial: altos cargos 1,188; eventuales 0,160; funcionarios 9,638; laborales 16,946; incentivos 1,490; cuotas sociales 6,524.</t>
  </si>
  <si>
    <t xml:space="preserve">2 Gastos corrientes en bienes y servicios</t>
  </si>
  <si>
    <t xml:space="preserve">Funcionamiento ordinario. Lo mayor son estudios y trabajos técnicos externos (concepto 22706: 12,772 de inicial); luego seguridad 1,100, contenciosos 0,694, publicaciones 0,532, tributos locales 0,438, mantenimiento 1,011 y dietas/viajes 0,987.</t>
  </si>
  <si>
    <t xml:space="preserve">3 Gastos financieros</t>
  </si>
  <si>
    <t xml:space="preserve">Intereses de demora y otros gastos financieros (art. 35).</t>
  </si>
  <si>
    <t xml:space="preserve">4 Transferencias corrientes</t>
  </si>
  <si>
    <t xml:space="preserve">110,000 para financiar la prestación del Servicio Postal Universal (programa 491N, concepto 440, art. 44 'a sociedades... del sector público estatal'). Es dinero que solo pasa por la CNMC, no coste suyo. Los 0,690 restantes son becas, prácticas de doctorandos, indemnizaciones a expresidentes y exconsejeros y cuotas a organismos internacionales.</t>
  </si>
  <si>
    <t xml:space="preserve">De paso a terceros</t>
  </si>
  <si>
    <t xml:space="preserve">6 Inversiones reales</t>
  </si>
  <si>
    <t xml:space="preserve">Inversión propia: inmaterial, sobre todo informática (2,917); inversión nueva (1,048); reposición (0,115).</t>
  </si>
  <si>
    <t xml:space="preserve">7 Transferencias de capital</t>
  </si>
  <si>
    <t xml:space="preserve">Dinero que solo pasa por la CNMC: el MITECO lo transfiere y la CNMC lo aplica a los costes regulados del sistema eléctrico (art. 77 'a empresas privadas'). No es coste de funcionamiento. Detalle en 'explicacion_transferencias'.</t>
  </si>
  <si>
    <t xml:space="preserve">8 Activos financieros</t>
  </si>
  <si>
    <t xml:space="preserve">Préstamos fuera del sector público (anticipos al personal; art. 83).</t>
  </si>
  <si>
    <t xml:space="preserve">3+4+6+8 (crédito actualizado, en conjunto)</t>
  </si>
  <si>
    <t xml:space="preserve">Diferencia aritmética: 4.846,353 − 47,618 − 25,567 − 4.656,642. La IGAE no se ha podido releer para separarla por capítulos. Los 9 y 5 no tienen crédito inicial.</t>
  </si>
  <si>
    <t xml:space="preserve">CNMC: el capítulo 7 (y 110 M del capítulo 4, servicio postal universal) es dinero que el Estado le transfiere y ella aplica a costes regulados del sistema eléctrico (Ley 15/2012, subastas de CO2 de la Ley 7/2021, sobrecoste extrapeninsular de la Ley 24/2013). Fuente: presupuesto CNMC 2023 en su portal de transparencia e IGAE agosto 2026. CSIC: solo está verificado el capítulo 1; el reparto del resto entre capítulos no se pudo leer.</t>
  </si>
</sst>
</file>

<file path=xl/styles.xml><?xml version="1.0" encoding="utf-8"?>
<styleSheet xmlns="http://schemas.openxmlformats.org/spreadsheetml/2006/main">
  <numFmts count="5">
    <numFmt numFmtId="164" formatCode="General"/>
    <numFmt numFmtId="165" formatCode="#,##0.0"/>
    <numFmt numFmtId="166" formatCode="#,##0.0;[RED]\-#,##0.0"/>
    <numFmt numFmtId="167" formatCode="#,##0"/>
    <numFmt numFmtId="168" formatCode="#,##0.000"/>
  </numFmts>
  <fonts count="10">
    <font>
      <sz val="11"/>
      <color theme="1"/>
      <name val="Calibri"/>
      <family val="0"/>
      <charset val="1"/>
    </font>
    <font>
      <sz val="10"/>
      <name val="Arial"/>
      <family val="0"/>
    </font>
    <font>
      <sz val="10"/>
      <name val="Arial"/>
      <family val="0"/>
    </font>
    <font>
      <sz val="10"/>
      <name val="Arial"/>
      <family val="0"/>
    </font>
    <font>
      <b val="true"/>
      <sz val="15"/>
      <color rgb="FF251F21"/>
      <name val="Calibri"/>
      <family val="0"/>
      <charset val="1"/>
    </font>
    <font>
      <sz val="11"/>
      <color rgb="FF251F21"/>
      <name val="Calibri"/>
      <family val="0"/>
      <charset val="1"/>
    </font>
    <font>
      <b val="true"/>
      <sz val="11"/>
      <color rgb="FF251F21"/>
      <name val="Calibri"/>
      <family val="0"/>
      <charset val="1"/>
    </font>
    <font>
      <b val="true"/>
      <sz val="11"/>
      <color rgb="FF497E70"/>
      <name val="Calibri"/>
      <family val="0"/>
      <charset val="1"/>
    </font>
    <font>
      <u val="single"/>
      <sz val="11"/>
      <color rgb="FF251F21"/>
      <name val="Calibri"/>
      <family val="0"/>
      <charset val="1"/>
    </font>
    <font>
      <sz val="10"/>
      <name val="Arial"/>
      <family val="2"/>
    </font>
  </fonts>
  <fills count="7">
    <fill>
      <patternFill patternType="none"/>
    </fill>
    <fill>
      <patternFill patternType="gray125"/>
    </fill>
    <fill>
      <patternFill patternType="solid">
        <fgColor rgb="FFF4EFEC"/>
        <bgColor rgb="FFEDEDED"/>
      </patternFill>
    </fill>
    <fill>
      <patternFill patternType="solid">
        <fgColor rgb="FFF4CCCC"/>
        <bgColor rgb="FFCCCCFF"/>
      </patternFill>
    </fill>
    <fill>
      <patternFill patternType="solid">
        <fgColor rgb="FFE2EFDA"/>
        <bgColor rgb="FFEDEDED"/>
      </patternFill>
    </fill>
    <fill>
      <patternFill patternType="solid">
        <fgColor rgb="FFEDEDED"/>
        <bgColor rgb="FFF4EFEC"/>
      </patternFill>
    </fill>
    <fill>
      <patternFill patternType="solid">
        <fgColor rgb="FFFFF2CC"/>
        <bgColor rgb="FFF4EF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left"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5" fillId="6" borderId="0" xfId="0" applyFont="true" applyBorder="false" applyAlignment="true" applyProtection="false">
      <alignment horizontal="general" vertical="top" textRotation="0" wrapText="true" indent="0" shrinkToFit="false"/>
      <protection locked="true" hidden="false"/>
    </xf>
    <xf numFmtId="167" fontId="5" fillId="6" borderId="0" xfId="0" applyFont="true" applyBorder="fals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6" fontId="7" fillId="6"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6" fontId="5" fillId="4"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F4EFEC"/>
          <bgColor rgb="FF000000"/>
        </patternFill>
      </fill>
    </dxf>
    <dxf>
      <fill>
        <patternFill patternType="solid">
          <bgColor rgb="FF000000"/>
        </patternFill>
      </fill>
    </dxf>
    <dxf>
      <fill>
        <patternFill patternType="solid">
          <fgColor rgb="FF251F21"/>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497E70"/>
          <bgColor rgb="FF000000"/>
        </patternFill>
      </fill>
    </dxf>
    <dxf>
      <fill>
        <patternFill patternType="solid">
          <fgColor rgb="FFFF0000"/>
          <bgColor rgb="FF000000"/>
        </patternFill>
      </fill>
    </dxf>
    <dxf>
      <fill>
        <patternFill patternType="solid">
          <fgColor rgb="FF000000"/>
          <bgColor rgb="FF000000"/>
        </patternFill>
      </fill>
    </dxf>
  </dxfs>
  <colors>
    <indexedColors>
      <rgbColor rgb="FF000000"/>
      <rgbColor rgb="FFF4EF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497E70"/>
      <rgbColor rgb="FF003300"/>
      <rgbColor rgb="FF333300"/>
      <rgbColor rgb="FF993300"/>
      <rgbColor rgb="FF993366"/>
      <rgbColor rgb="FF333399"/>
      <rgbColor rgb="FF251F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InventarioEntidades" displayName="InventarioEntidades" ref="A1:BU126" headerRowCount="1" totalsRowCount="0" totalsRowShown="0">
  <autoFilter ref="A1:BU126"/>
  <tableColumns count="73">
    <tableColumn id="1" name="ID"/>
    <tableColumn id="2" name="Ámbito"/>
    <tableColumn id="3" name="Comunidad autónoma"/>
    <tableColumn id="4" name="Periodo presidencial"/>
    <tableColumn id="5" name="Nombre"/>
    <tableColumn id="6" name="Tipo de creación / transformación"/>
    <tableColumn id="7" name="Fecha legal"/>
    <tableColumn id="8" name="Norma fundacional"/>
    <tableColumn id="9" name="Mandato en teoría"/>
    <tableColumn id="10" name="Poder real: juicio basado en evidencia"/>
    <tableColumn id="11" name="Presupuesto propio (EUR millones)"/>
    <tableColumn id="12" name="Año del presupuesto"/>
    <tableColumn id="13" name="Base del presupuesto numérico"/>
    <tableColumn id="14" name="Corte del presupuesto numérico"/>
    <tableColumn id="15" name="Estado de cuantificación"/>
    <tableColumn id="16" name="Crédito inicial (EUR millones)"/>
    <tableColumn id="17" name="Modificación neta (EUR millones)"/>
    <tableColumn id="18" name="Presupuesto: texto completo"/>
    <tableColumn id="19" name="Corte: texto completo"/>
    <tableColumn id="20" name="Estado legal y operativo"/>
    <tableColumn id="21" name="Límites del juicio"/>
    <tableColumn id="22" name="Duplicidades: clasificación (juicio)"/>
    <tableColumn id="23" name="IDs relacionados"/>
    <tableColumn id="24" name="Duplicidades: explicación y límite"/>
    <tableColumn id="25" name="Fuentes de duplicidad"/>
    <tableColumn id="26" name="Fuentes de la ficha"/>
    <tableColumn id="27" name="Importe contextual (EUR millones; NO sumar)"/>
    <tableColumn id="28" name="Año / periodo contextual"/>
    <tableColumn id="29" name="Base contextual"/>
    <tableColumn id="30" name="Nombre del titular del importe"/>
    <tableColumn id="31" name="URL del documento"/>
    <tableColumn id="32" name="Fecha de revisión"/>
    <tableColumn id="33" name="Personal: personas (ocupadas)"/>
    <tableColumn id="34" name="Año del personal"/>
    <tableColumn id="35" name="Base del personal"/>
    <tableColumn id="36" name="Estado de verificación del personal"/>
    <tableColumn id="37" name="Fuente del personal"/>
    <tableColumn id="38" name="Crédito de personal (EUR millones)"/>
    <tableColumn id="39" name="Año del coste de personal"/>
    <tableColumn id="40" name="Base del coste de personal"/>
    <tableColumn id="41" name="Estado de verificación del coste"/>
    <tableColumn id="42" name="Fuente del coste"/>
    <tableColumn id="43" name="Gasto de personal ejecutado (EUR millones)"/>
    <tableColumn id="44" name="Año del gasto de personal"/>
    <tableColumn id="45" name="Corte de ejecución de personal"/>
    <tableColumn id="46" name="Base de ejecución de personal"/>
    <tableColumn id="47" name="Fuente de ejecución de personal"/>
    <tableColumn id="48" name="Estado de verificación de ejecución"/>
    <tableColumn id="49" name="Cobertura presupuesto / personal / salarios"/>
    <tableColumn id="50" name="Puestos aprobados / presupuestados"/>
    <tableColumn id="51" name="Fecha puestos aprobados"/>
    <tableColumn id="52" name="Base de puestos aprobados"/>
    <tableColumn id="53" name="Fuente puestos aprobados"/>
    <tableColumn id="54" name="Notas de personal y apoyo ministerial"/>
    <tableColumn id="55" name="Papel en leyes / reglamentos: verificación"/>
    <tableColumn id="56" name="Informe obligatorio (preceptivo): ámbito"/>
    <tableColumn id="57" name="Informe vinculante / consentimiento requerido"/>
    <tableColumn id="58" name="Bloqueo o demora: alcance y límite"/>
    <tableColumn id="59" name="Norma / artículo sobre consulta"/>
    <tableColumn id="60" name="Fuente legal de consulta normativa"/>
    <tableColumn id="61" name="Pagos de personal 2026 hasta 31/08 (EUR millones)"/>
    <tableColumn id="62" name="Crédito personal comparativo2025, edición08.2026 (EUR millones)"/>
    <tableColumn id="63" name="Obligaciones personal comparativo2025, edición08.2026 (EUR millones)"/>
    <tableColumn id="64" name="Crédito personal inicial / otra base (EUR millones; NO sumar)"/>
    <tableColumn id="65" name="Base / fecha del crédito alternativo"/>
    <tableColumn id="66" name="Notas de conciliación de crédito y ejecución"/>
    <tableColumn id="67" name="Crédito personal 2025 cierre (EUR millones)"/>
    <tableColumn id="68" name="Gasto personal 2025 reconocido anual (EUR millones)"/>
    <tableColumn id="69" name="Pagos personal 2025 anual (EUR millones)"/>
    <tableColumn id="70" name="Año y corte anual personal"/>
    <tableColumn id="71" name="Base anual de personal"/>
    <tableColumn id="72" name="Fuente anual de personal"/>
    <tableColumn id="73" name="Verificación anual / conciliación"/>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files.instinct.com/q91pr53q4umo-entidades-publicas-poder-y-presupuesto" TargetMode="External"/><Relationship Id="rId3" Type="http://schemas.openxmlformats.org/officeDocument/2006/relationships/hyperlink" Target="https://files.instinct.com/q91pr53q4umo-entidades-publicas-poder-y-presupuesto" TargetMode="External"/><Relationship Id="rId4" Type="http://schemas.openxmlformats.org/officeDocument/2006/relationships/hyperlink" Target="https://files.instinct.com/q91pr53q4umo-entidades-publicas-poder-y-presupuesto" TargetMode="External"/><Relationship Id="rId5" Type="http://schemas.openxmlformats.org/officeDocument/2006/relationships/hyperlink" Target="https://files.instinct.com/q91pr53q4umo-entidades-publicas-poder-y-presupuesto" TargetMode="External"/><Relationship Id="rId6" Type="http://schemas.openxmlformats.org/officeDocument/2006/relationships/hyperlink" Target="https://files.instinct.com/q91pr53q4umo-entidades-publicas-poder-y-presupuesto" TargetMode="External"/><Relationship Id="rId7" Type="http://schemas.openxmlformats.org/officeDocument/2006/relationships/hyperlink" Target="https://files.instinct.com/q91pr53q4umo-entidades-publicas-poder-y-presupuesto" TargetMode="External"/><Relationship Id="rId8" Type="http://schemas.openxmlformats.org/officeDocument/2006/relationships/hyperlink" Target="https://files.instinct.com/q91pr53q4umo-entidades-publicas-poder-y-presupuesto" TargetMode="External"/><Relationship Id="rId9" Type="http://schemas.openxmlformats.org/officeDocument/2006/relationships/hyperlink" Target="https://files.instinct.com/q91pr53q4umo-entidades-publicas-poder-y-presupuesto" TargetMode="External"/><Relationship Id="rId10" Type="http://schemas.openxmlformats.org/officeDocument/2006/relationships/hyperlink" Target="https://files.instinct.com/q91pr53q4umo-entidades-publicas-poder-y-presupuesto" TargetMode="External"/><Relationship Id="rId11" Type="http://schemas.openxmlformats.org/officeDocument/2006/relationships/hyperlink" Target="https://files.instinct.com/q91pr53q4umo-entidades-publicas-poder-y-presupuesto" TargetMode="External"/><Relationship Id="rId12" Type="http://schemas.openxmlformats.org/officeDocument/2006/relationships/hyperlink" Target="https://files.instinct.com/q91pr53q4umo-entidades-publicas-poder-y-presupuesto" TargetMode="External"/><Relationship Id="rId13" Type="http://schemas.openxmlformats.org/officeDocument/2006/relationships/hyperlink" Target="https://files.instinct.com/q91pr53q4umo-entidades-publicas-poder-y-presupuesto" TargetMode="External"/><Relationship Id="rId14" Type="http://schemas.openxmlformats.org/officeDocument/2006/relationships/hyperlink" Target="https://files.instinct.com/q91pr53q4umo-entidades-publicas-poder-y-presupuesto" TargetMode="External"/><Relationship Id="rId15" Type="http://schemas.openxmlformats.org/officeDocument/2006/relationships/hyperlink" Target="https://files.instinct.com/q91pr53q4umo-entidades-publicas-poder-y-presupuesto" TargetMode="External"/><Relationship Id="rId16" Type="http://schemas.openxmlformats.org/officeDocument/2006/relationships/hyperlink" Target="https://files.instinct.com/q91pr53q4umo-entidades-publicas-poder-y-presupuesto" TargetMode="External"/><Relationship Id="rId17" Type="http://schemas.openxmlformats.org/officeDocument/2006/relationships/hyperlink" Target="https://files.instinct.com/q91pr53q4umo-entidades-publicas-poder-y-presupuesto" TargetMode="External"/><Relationship Id="rId18" Type="http://schemas.openxmlformats.org/officeDocument/2006/relationships/hyperlink" Target="https://files.instinct.com/q91pr53q4umo-entidades-publicas-poder-y-presupuesto" TargetMode="External"/><Relationship Id="rId19" Type="http://schemas.openxmlformats.org/officeDocument/2006/relationships/hyperlink" Target="https://files.instinct.com/q91pr53q4umo-entidades-publicas-poder-y-presupuesto" TargetMode="External"/><Relationship Id="rId20" Type="http://schemas.openxmlformats.org/officeDocument/2006/relationships/hyperlink" Target="https://files.instinct.com/q91pr53q4umo-entidades-publicas-poder-y-presupuesto" TargetMode="External"/><Relationship Id="rId21" Type="http://schemas.openxmlformats.org/officeDocument/2006/relationships/hyperlink" Target="https://files.instinct.com/q91pr53q4umo-entidades-publicas-poder-y-presupuesto" TargetMode="External"/><Relationship Id="rId22" Type="http://schemas.openxmlformats.org/officeDocument/2006/relationships/hyperlink" Target="https://files.instinct.com/q91pr53q4umo-entidades-publicas-poder-y-presupuesto" TargetMode="External"/><Relationship Id="rId23" Type="http://schemas.openxmlformats.org/officeDocument/2006/relationships/hyperlink" Target="https://files.instinct.com/q91pr53q4umo-entidades-publicas-poder-y-presupuesto" TargetMode="External"/><Relationship Id="rId24" Type="http://schemas.openxmlformats.org/officeDocument/2006/relationships/hyperlink" Target="https://files.instinct.com/q91pr53q4umo-entidades-publicas-poder-y-presupuesto" TargetMode="External"/><Relationship Id="rId25" Type="http://schemas.openxmlformats.org/officeDocument/2006/relationships/hyperlink" Target="https://files.instinct.com/q91pr53q4umo-entidades-publicas-poder-y-presupuesto" TargetMode="External"/><Relationship Id="rId26" Type="http://schemas.openxmlformats.org/officeDocument/2006/relationships/hyperlink" Target="https://files.instinct.com/q91pr53q4umo-entidades-publicas-poder-y-presupuesto" TargetMode="External"/><Relationship Id="rId27" Type="http://schemas.openxmlformats.org/officeDocument/2006/relationships/hyperlink" Target="https://files.instinct.com/q91pr53q4umo-entidades-publicas-poder-y-presupuesto" TargetMode="External"/><Relationship Id="rId28" Type="http://schemas.openxmlformats.org/officeDocument/2006/relationships/hyperlink" Target="https://files.instinct.com/q91pr53q4umo-entidades-publicas-poder-y-presupuesto" TargetMode="External"/><Relationship Id="rId29" Type="http://schemas.openxmlformats.org/officeDocument/2006/relationships/hyperlink" Target="https://files.instinct.com/q91pr53q4umo-entidades-publicas-poder-y-presupuesto" TargetMode="External"/><Relationship Id="rId30" Type="http://schemas.openxmlformats.org/officeDocument/2006/relationships/hyperlink" Target="https://files.instinct.com/q91pr53q4umo-entidades-publicas-poder-y-presupuesto" TargetMode="External"/><Relationship Id="rId31" Type="http://schemas.openxmlformats.org/officeDocument/2006/relationships/hyperlink" Target="https://files.instinct.com/q91pr53q4umo-entidades-publicas-poder-y-presupuesto" TargetMode="External"/><Relationship Id="rId32" Type="http://schemas.openxmlformats.org/officeDocument/2006/relationships/hyperlink" Target="https://files.instinct.com/q91pr53q4umo-entidades-publicas-poder-y-presupuesto" TargetMode="External"/><Relationship Id="rId33" Type="http://schemas.openxmlformats.org/officeDocument/2006/relationships/hyperlink" Target="https://files.instinct.com/q91pr53q4umo-entidades-publicas-poder-y-presupuesto" TargetMode="External"/><Relationship Id="rId34" Type="http://schemas.openxmlformats.org/officeDocument/2006/relationships/hyperlink" Target="https://files.instinct.com/q91pr53q4umo-entidades-publicas-poder-y-presupuesto" TargetMode="External"/><Relationship Id="rId35" Type="http://schemas.openxmlformats.org/officeDocument/2006/relationships/hyperlink" Target="https://files.instinct.com/q91pr53q4umo-entidades-publicas-poder-y-presupuesto" TargetMode="External"/><Relationship Id="rId36" Type="http://schemas.openxmlformats.org/officeDocument/2006/relationships/hyperlink" Target="https://files.instinct.com/q91pr53q4umo-entidades-publicas-poder-y-presupuesto" TargetMode="External"/><Relationship Id="rId37" Type="http://schemas.openxmlformats.org/officeDocument/2006/relationships/hyperlink" Target="https://files.instinct.com/q91pr53q4umo-entidades-publicas-poder-y-presupuesto" TargetMode="External"/><Relationship Id="rId38" Type="http://schemas.openxmlformats.org/officeDocument/2006/relationships/hyperlink" Target="https://files.instinct.com/q91pr53q4umo-entidades-publicas-poder-y-presupuesto" TargetMode="External"/><Relationship Id="rId39" Type="http://schemas.openxmlformats.org/officeDocument/2006/relationships/hyperlink" Target="https://files.instinct.com/q91pr53q4umo-entidades-publicas-poder-y-presupuesto" TargetMode="External"/><Relationship Id="rId40" Type="http://schemas.openxmlformats.org/officeDocument/2006/relationships/hyperlink" Target="https://files.instinct.com/q91pr53q4umo-entidades-publicas-poder-y-presupuesto" TargetMode="External"/><Relationship Id="rId41" Type="http://schemas.openxmlformats.org/officeDocument/2006/relationships/hyperlink" Target="https://files.instinct.com/q91pr53q4umo-entidades-publicas-poder-y-presupuesto" TargetMode="External"/><Relationship Id="rId42" Type="http://schemas.openxmlformats.org/officeDocument/2006/relationships/hyperlink" Target="https://files.instinct.com/q91pr53q4umo-entidades-publicas-poder-y-presupuesto" TargetMode="External"/><Relationship Id="rId43" Type="http://schemas.openxmlformats.org/officeDocument/2006/relationships/hyperlink" Target="https://files.instinct.com/q91pr53q4umo-entidades-publicas-poder-y-presupuesto" TargetMode="External"/><Relationship Id="rId44" Type="http://schemas.openxmlformats.org/officeDocument/2006/relationships/hyperlink" Target="https://files.instinct.com/q91pr53q4umo-entidades-publicas-poder-y-presupuesto" TargetMode="External"/><Relationship Id="rId45" Type="http://schemas.openxmlformats.org/officeDocument/2006/relationships/hyperlink" Target="https://files.instinct.com/q91pr53q4umo-entidades-publicas-poder-y-presupuesto" TargetMode="External"/><Relationship Id="rId46" Type="http://schemas.openxmlformats.org/officeDocument/2006/relationships/hyperlink" Target="https://files.instinct.com/q91pr53q4umo-entidades-publicas-poder-y-presupuesto" TargetMode="External"/><Relationship Id="rId47" Type="http://schemas.openxmlformats.org/officeDocument/2006/relationships/hyperlink" Target="https://files.instinct.com/q91pr53q4umo-entidades-publicas-poder-y-presupuesto" TargetMode="External"/><Relationship Id="rId48" Type="http://schemas.openxmlformats.org/officeDocument/2006/relationships/hyperlink" Target="https://files.instinct.com/q91pr53q4umo-entidades-publicas-poder-y-presupuesto" TargetMode="External"/><Relationship Id="rId49" Type="http://schemas.openxmlformats.org/officeDocument/2006/relationships/hyperlink" Target="https://files.instinct.com/q91pr53q4umo-entidades-publicas-poder-y-presupuesto" TargetMode="External"/><Relationship Id="rId50" Type="http://schemas.openxmlformats.org/officeDocument/2006/relationships/hyperlink" Target="https://files.instinct.com/q91pr53q4umo-entidades-publicas-poder-y-presupuesto" TargetMode="External"/><Relationship Id="rId51" Type="http://schemas.openxmlformats.org/officeDocument/2006/relationships/hyperlink" Target="https://files.instinct.com/q91pr53q4umo-entidades-publicas-poder-y-presupuesto" TargetMode="External"/><Relationship Id="rId52" Type="http://schemas.openxmlformats.org/officeDocument/2006/relationships/hyperlink" Target="https://files.instinct.com/q91pr53q4umo-entidades-publicas-poder-y-presupuesto" TargetMode="External"/><Relationship Id="rId53" Type="http://schemas.openxmlformats.org/officeDocument/2006/relationships/hyperlink" Target="https://files.instinct.com/q91pr53q4umo-entidades-publicas-poder-y-presupuesto" TargetMode="External"/><Relationship Id="rId54" Type="http://schemas.openxmlformats.org/officeDocument/2006/relationships/hyperlink" Target="https://files.instinct.com/q91pr53q4umo-entidades-publicas-poder-y-presupuesto" TargetMode="External"/><Relationship Id="rId55" Type="http://schemas.openxmlformats.org/officeDocument/2006/relationships/hyperlink" Target="https://files.instinct.com/q91pr53q4umo-entidades-publicas-poder-y-presupuesto" TargetMode="External"/><Relationship Id="rId56" Type="http://schemas.openxmlformats.org/officeDocument/2006/relationships/hyperlink" Target="https://files.instinct.com/q91pr53q4umo-entidades-publicas-poder-y-presupuesto" TargetMode="External"/><Relationship Id="rId57" Type="http://schemas.openxmlformats.org/officeDocument/2006/relationships/hyperlink" Target="https://files.instinct.com/q91pr53q4umo-entidades-publicas-poder-y-presupuesto" TargetMode="External"/><Relationship Id="rId58" Type="http://schemas.openxmlformats.org/officeDocument/2006/relationships/hyperlink" Target="https://files.instinct.com/q91pr53q4umo-entidades-publicas-poder-y-presupuesto" TargetMode="External"/><Relationship Id="rId59" Type="http://schemas.openxmlformats.org/officeDocument/2006/relationships/hyperlink" Target="https://files.instinct.com/q91pr53q4umo-entidades-publicas-poder-y-presupuesto" TargetMode="External"/><Relationship Id="rId60" Type="http://schemas.openxmlformats.org/officeDocument/2006/relationships/hyperlink" Target="https://files.instinct.com/q91pr53q4umo-entidades-publicas-poder-y-presupuesto" TargetMode="External"/><Relationship Id="rId61" Type="http://schemas.openxmlformats.org/officeDocument/2006/relationships/hyperlink" Target="https://files.instinct.com/q91pr53q4umo-entidades-publicas-poder-y-presupuesto" TargetMode="External"/><Relationship Id="rId62" Type="http://schemas.openxmlformats.org/officeDocument/2006/relationships/hyperlink" Target="https://files.instinct.com/q91pr53q4umo-entidades-publicas-poder-y-presupuesto" TargetMode="External"/><Relationship Id="rId63" Type="http://schemas.openxmlformats.org/officeDocument/2006/relationships/hyperlink" Target="https://files.instinct.com/q91pr53q4umo-entidades-publicas-poder-y-presupuesto" TargetMode="External"/><Relationship Id="rId64" Type="http://schemas.openxmlformats.org/officeDocument/2006/relationships/hyperlink" Target="https://files.instinct.com/q91pr53q4umo-entidades-publicas-poder-y-presupuesto" TargetMode="External"/><Relationship Id="rId65" Type="http://schemas.openxmlformats.org/officeDocument/2006/relationships/hyperlink" Target="https://files.instinct.com/q91pr53q4umo-entidades-publicas-poder-y-presupuesto" TargetMode="External"/><Relationship Id="rId66" Type="http://schemas.openxmlformats.org/officeDocument/2006/relationships/hyperlink" Target="https://files.instinct.com/q91pr53q4umo-entidades-publicas-poder-y-presupuesto" TargetMode="External"/><Relationship Id="rId67" Type="http://schemas.openxmlformats.org/officeDocument/2006/relationships/hyperlink" Target="https://files.instinct.com/q91pr53q4umo-entidades-publicas-poder-y-presupuesto" TargetMode="External"/><Relationship Id="rId68" Type="http://schemas.openxmlformats.org/officeDocument/2006/relationships/hyperlink" Target="https://files.instinct.com/q91pr53q4umo-entidades-publicas-poder-y-presupuesto" TargetMode="External"/><Relationship Id="rId69" Type="http://schemas.openxmlformats.org/officeDocument/2006/relationships/hyperlink" Target="https://files.instinct.com/q91pr53q4umo-entidades-publicas-poder-y-presupuesto" TargetMode="External"/><Relationship Id="rId70" Type="http://schemas.openxmlformats.org/officeDocument/2006/relationships/hyperlink" Target="https://files.instinct.com/q91pr53q4umo-entidades-publicas-poder-y-presupuesto" TargetMode="External"/><Relationship Id="rId71" Type="http://schemas.openxmlformats.org/officeDocument/2006/relationships/hyperlink" Target="https://files.instinct.com/q91pr53q4umo-entidades-publicas-poder-y-presupuesto" TargetMode="External"/><Relationship Id="rId72" Type="http://schemas.openxmlformats.org/officeDocument/2006/relationships/hyperlink" Target="https://files.instinct.com/q91pr53q4umo-entidades-publicas-poder-y-presupuesto" TargetMode="External"/><Relationship Id="rId73" Type="http://schemas.openxmlformats.org/officeDocument/2006/relationships/hyperlink" Target="https://files.instinct.com/q91pr53q4umo-entidades-publicas-poder-y-presupuesto" TargetMode="External"/><Relationship Id="rId74" Type="http://schemas.openxmlformats.org/officeDocument/2006/relationships/hyperlink" Target="https://files.instinct.com/q91pr53q4umo-entidades-publicas-poder-y-presupuesto" TargetMode="External"/><Relationship Id="rId75" Type="http://schemas.openxmlformats.org/officeDocument/2006/relationships/hyperlink" Target="https://files.instinct.com/q91pr53q4umo-entidades-publicas-poder-y-presupuesto" TargetMode="External"/><Relationship Id="rId76" Type="http://schemas.openxmlformats.org/officeDocument/2006/relationships/hyperlink" Target="https://files.instinct.com/q91pr53q4umo-entidades-publicas-poder-y-presupuesto" TargetMode="External"/><Relationship Id="rId77" Type="http://schemas.openxmlformats.org/officeDocument/2006/relationships/hyperlink" Target="https://files.instinct.com/q91pr53q4umo-entidades-publicas-poder-y-presupuesto" TargetMode="External"/><Relationship Id="rId78" Type="http://schemas.openxmlformats.org/officeDocument/2006/relationships/hyperlink" Target="https://files.instinct.com/q91pr53q4umo-entidades-publicas-poder-y-presupuesto" TargetMode="External"/><Relationship Id="rId79" Type="http://schemas.openxmlformats.org/officeDocument/2006/relationships/hyperlink" Target="https://files.instinct.com/q91pr53q4umo-entidades-publicas-poder-y-presupuesto" TargetMode="External"/><Relationship Id="rId80" Type="http://schemas.openxmlformats.org/officeDocument/2006/relationships/hyperlink" Target="https://files.instinct.com/q91pr53q4umo-entidades-publicas-poder-y-presupuesto" TargetMode="External"/><Relationship Id="rId81" Type="http://schemas.openxmlformats.org/officeDocument/2006/relationships/hyperlink" Target="https://files.instinct.com/q91pr53q4umo-entidades-publicas-poder-y-presupuesto" TargetMode="External"/><Relationship Id="rId82" Type="http://schemas.openxmlformats.org/officeDocument/2006/relationships/hyperlink" Target="https://files.instinct.com/q91pr53q4umo-entidades-publicas-poder-y-presupuesto" TargetMode="External"/><Relationship Id="rId83" Type="http://schemas.openxmlformats.org/officeDocument/2006/relationships/hyperlink" Target="https://files.instinct.com/q91pr53q4umo-entidades-publicas-poder-y-presupuesto" TargetMode="External"/><Relationship Id="rId84" Type="http://schemas.openxmlformats.org/officeDocument/2006/relationships/hyperlink" Target="https://files.instinct.com/q91pr53q4umo-entidades-publicas-poder-y-presupuesto" TargetMode="External"/><Relationship Id="rId85" Type="http://schemas.openxmlformats.org/officeDocument/2006/relationships/hyperlink" Target="https://files.instinct.com/q91pr53q4umo-entidades-publicas-poder-y-presupuesto" TargetMode="External"/><Relationship Id="rId86" Type="http://schemas.openxmlformats.org/officeDocument/2006/relationships/hyperlink" Target="https://files.instinct.com/q91pr53q4umo-entidades-publicas-poder-y-presupuesto" TargetMode="External"/><Relationship Id="rId87" Type="http://schemas.openxmlformats.org/officeDocument/2006/relationships/hyperlink" Target="https://files.instinct.com/q91pr53q4umo-entidades-publicas-poder-y-presupuesto" TargetMode="External"/><Relationship Id="rId88" Type="http://schemas.openxmlformats.org/officeDocument/2006/relationships/hyperlink" Target="https://files.instinct.com/q91pr53q4umo-entidades-publicas-poder-y-presupuesto" TargetMode="External"/><Relationship Id="rId89" Type="http://schemas.openxmlformats.org/officeDocument/2006/relationships/hyperlink" Target="https://files.instinct.com/q91pr53q4umo-entidades-publicas-poder-y-presupuesto" TargetMode="External"/><Relationship Id="rId90" Type="http://schemas.openxmlformats.org/officeDocument/2006/relationships/hyperlink" Target="https://files.instinct.com/q91pr53q4umo-entidades-publicas-poder-y-presupuesto" TargetMode="External"/><Relationship Id="rId91" Type="http://schemas.openxmlformats.org/officeDocument/2006/relationships/hyperlink" Target="https://files.instinct.com/q91pr53q4umo-entidades-publicas-poder-y-presupuesto" TargetMode="External"/><Relationship Id="rId92" Type="http://schemas.openxmlformats.org/officeDocument/2006/relationships/hyperlink" Target="https://files.instinct.com/q91pr53q4umo-entidades-publicas-poder-y-presupuesto" TargetMode="External"/><Relationship Id="rId93" Type="http://schemas.openxmlformats.org/officeDocument/2006/relationships/hyperlink" Target="https://files.instinct.com/q91pr53q4umo-entidades-publicas-poder-y-presupuesto" TargetMode="External"/><Relationship Id="rId94" Type="http://schemas.openxmlformats.org/officeDocument/2006/relationships/hyperlink" Target="https://files.instinct.com/q91pr53q4umo-entidades-publicas-poder-y-presupuesto" TargetMode="External"/><Relationship Id="rId95" Type="http://schemas.openxmlformats.org/officeDocument/2006/relationships/hyperlink" Target="https://files.instinct.com/q91pr53q4umo-entidades-publicas-poder-y-presupuesto" TargetMode="External"/><Relationship Id="rId96" Type="http://schemas.openxmlformats.org/officeDocument/2006/relationships/hyperlink" Target="https://files.instinct.com/q91pr53q4umo-entidades-publicas-poder-y-presupuesto" TargetMode="External"/><Relationship Id="rId97" Type="http://schemas.openxmlformats.org/officeDocument/2006/relationships/hyperlink" Target="https://files.instinct.com/q91pr53q4umo-entidades-publicas-poder-y-presupuesto" TargetMode="External"/><Relationship Id="rId98" Type="http://schemas.openxmlformats.org/officeDocument/2006/relationships/hyperlink" Target="https://files.instinct.com/q91pr53q4umo-entidades-publicas-poder-y-presupuesto" TargetMode="External"/><Relationship Id="rId99" Type="http://schemas.openxmlformats.org/officeDocument/2006/relationships/hyperlink" Target="https://files.instinct.com/q91pr53q4umo-entidades-publicas-poder-y-presupuesto" TargetMode="External"/><Relationship Id="rId100" Type="http://schemas.openxmlformats.org/officeDocument/2006/relationships/hyperlink" Target="https://files.instinct.com/q91pr53q4umo-entidades-publicas-poder-y-presupuesto" TargetMode="External"/><Relationship Id="rId101" Type="http://schemas.openxmlformats.org/officeDocument/2006/relationships/hyperlink" Target="https://files.instinct.com/q91pr53q4umo-entidades-publicas-poder-y-presupuesto" TargetMode="External"/><Relationship Id="rId102" Type="http://schemas.openxmlformats.org/officeDocument/2006/relationships/hyperlink" Target="https://files.instinct.com/q91pr53q4umo-entidades-publicas-poder-y-presupuesto" TargetMode="External"/><Relationship Id="rId103" Type="http://schemas.openxmlformats.org/officeDocument/2006/relationships/hyperlink" Target="https://files.instinct.com/q91pr53q4umo-entidades-publicas-poder-y-presupuesto" TargetMode="External"/><Relationship Id="rId104" Type="http://schemas.openxmlformats.org/officeDocument/2006/relationships/hyperlink" Target="https://files.instinct.com/q91pr53q4umo-entidades-publicas-poder-y-presupuesto" TargetMode="External"/><Relationship Id="rId105" Type="http://schemas.openxmlformats.org/officeDocument/2006/relationships/hyperlink" Target="https://files.instinct.com/q91pr53q4umo-entidades-publicas-poder-y-presupuesto" TargetMode="External"/><Relationship Id="rId106" Type="http://schemas.openxmlformats.org/officeDocument/2006/relationships/hyperlink" Target="https://files.instinct.com/q91pr53q4umo-entidades-publicas-poder-y-presupuesto" TargetMode="External"/><Relationship Id="rId107" Type="http://schemas.openxmlformats.org/officeDocument/2006/relationships/hyperlink" Target="https://files.instinct.com/q91pr53q4umo-entidades-publicas-poder-y-presupuesto" TargetMode="External"/><Relationship Id="rId108" Type="http://schemas.openxmlformats.org/officeDocument/2006/relationships/hyperlink" Target="https://files.instinct.com/q91pr53q4umo-entidades-publicas-poder-y-presupuesto" TargetMode="External"/><Relationship Id="rId109" Type="http://schemas.openxmlformats.org/officeDocument/2006/relationships/hyperlink" Target="https://files.instinct.com/q91pr53q4umo-entidades-publicas-poder-y-presupuesto" TargetMode="External"/><Relationship Id="rId110" Type="http://schemas.openxmlformats.org/officeDocument/2006/relationships/hyperlink" Target="https://files.instinct.com/q91pr53q4umo-entidades-publicas-poder-y-presupuesto" TargetMode="External"/><Relationship Id="rId111" Type="http://schemas.openxmlformats.org/officeDocument/2006/relationships/hyperlink" Target="https://files.instinct.com/q91pr53q4umo-entidades-publicas-poder-y-presupuesto" TargetMode="External"/><Relationship Id="rId112" Type="http://schemas.openxmlformats.org/officeDocument/2006/relationships/hyperlink" Target="https://files.instinct.com/q91pr53q4umo-entidades-publicas-poder-y-presupuesto" TargetMode="External"/><Relationship Id="rId113" Type="http://schemas.openxmlformats.org/officeDocument/2006/relationships/hyperlink" Target="https://files.instinct.com/q91pr53q4umo-entidades-publicas-poder-y-presupuesto" TargetMode="External"/><Relationship Id="rId114" Type="http://schemas.openxmlformats.org/officeDocument/2006/relationships/hyperlink" Target="https://files.instinct.com/q91pr53q4umo-entidades-publicas-poder-y-presupuesto" TargetMode="External"/><Relationship Id="rId115" Type="http://schemas.openxmlformats.org/officeDocument/2006/relationships/hyperlink" Target="https://files.instinct.com/q91pr53q4umo-entidades-publicas-poder-y-presupuesto" TargetMode="External"/><Relationship Id="rId116" Type="http://schemas.openxmlformats.org/officeDocument/2006/relationships/hyperlink" Target="https://files.instinct.com/q91pr53q4umo-entidades-publicas-poder-y-presupuesto" TargetMode="External"/><Relationship Id="rId117" Type="http://schemas.openxmlformats.org/officeDocument/2006/relationships/hyperlink" Target="https://files.instinct.com/q91pr53q4umo-entidades-publicas-poder-y-presupuesto" TargetMode="External"/><Relationship Id="rId118" Type="http://schemas.openxmlformats.org/officeDocument/2006/relationships/hyperlink" Target="https://files.instinct.com/q91pr53q4umo-entidades-publicas-poder-y-presupuesto" TargetMode="External"/><Relationship Id="rId119" Type="http://schemas.openxmlformats.org/officeDocument/2006/relationships/hyperlink" Target="https://files.instinct.com/q91pr53q4umo-entidades-publicas-poder-y-presupuesto" TargetMode="External"/><Relationship Id="rId120" Type="http://schemas.openxmlformats.org/officeDocument/2006/relationships/hyperlink" Target="https://files.instinct.com/q91pr53q4umo-entidades-publicas-poder-y-presupuesto" TargetMode="External"/><Relationship Id="rId121" Type="http://schemas.openxmlformats.org/officeDocument/2006/relationships/hyperlink" Target="https://files.instinct.com/q91pr53q4umo-entidades-publicas-poder-y-presupuesto" TargetMode="External"/><Relationship Id="rId122" Type="http://schemas.openxmlformats.org/officeDocument/2006/relationships/hyperlink" Target="https://files.instinct.com/q91pr53q4umo-entidades-publicas-poder-y-presupuesto" TargetMode="External"/><Relationship Id="rId123" Type="http://schemas.openxmlformats.org/officeDocument/2006/relationships/hyperlink" Target="https://files.instinct.com/q91pr53q4umo-entidades-publicas-poder-y-presupuesto" TargetMode="External"/><Relationship Id="rId124" Type="http://schemas.openxmlformats.org/officeDocument/2006/relationships/hyperlink" Target="https://files.instinct.com/q91pr53q4umo-entidades-publicas-poder-y-presupuesto" TargetMode="External"/><Relationship Id="rId125" Type="http://schemas.openxmlformats.org/officeDocument/2006/relationships/drawing" Target="../drawings/drawing2.xml"/><Relationship Id="rId126" Type="http://schemas.openxmlformats.org/officeDocument/2006/relationships/vmlDrawing" Target="../drawings/vmlDrawing1.vml"/><Relationship Id="rId127"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J2" activeCellId="0" sqref="J2"/>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8"/>
    <col collapsed="false" customWidth="true" hidden="false" outlineLevel="0" max="4" min="4" style="0" width="20"/>
    <col collapsed="false" customWidth="true" hidden="false" outlineLevel="0" max="5" min="5" style="0" width="48"/>
    <col collapsed="false" customWidth="true" hidden="false" outlineLevel="0" max="6" min="6" style="0" width="38"/>
    <col collapsed="false" customWidth="true" hidden="false" outlineLevel="0" max="7" min="7" style="0" width="18"/>
    <col collapsed="false" customWidth="true" hidden="false" outlineLevel="0" max="8" min="8" style="0" width="38"/>
    <col collapsed="false" customWidth="true" hidden="false" outlineLevel="0" max="9" min="9" style="0" width="60"/>
    <col collapsed="false" customWidth="true" hidden="false" outlineLevel="0" max="10" min="10" style="0" width="62"/>
    <col collapsed="false" customWidth="true" hidden="false" outlineLevel="0" max="11" min="11" style="0" width="22"/>
    <col collapsed="false" customWidth="true" hidden="false" outlineLevel="0" max="12" min="12" style="0" width="16"/>
    <col collapsed="false" customWidth="true" hidden="false" outlineLevel="0" max="13" min="13" style="0" width="28"/>
    <col collapsed="false" customWidth="true" hidden="false" outlineLevel="0" max="14" min="14" style="0" width="22"/>
    <col collapsed="false" customWidth="true" hidden="false" outlineLevel="0" max="15" min="15" style="0" width="38"/>
    <col collapsed="false" customWidth="true" hidden="false" outlineLevel="0" max="17" min="16" style="0" width="22"/>
    <col collapsed="false" customWidth="true" hidden="false" outlineLevel="0" max="18" min="18" style="0" width="75"/>
    <col collapsed="false" customWidth="true" hidden="false" outlineLevel="0" max="19" min="19" style="0" width="38"/>
    <col collapsed="false" customWidth="true" hidden="false" outlineLevel="0" max="20" min="20" style="0" width="60"/>
    <col collapsed="false" customWidth="true" hidden="false" outlineLevel="0" max="21" min="21" style="0" width="62"/>
    <col collapsed="false" customWidth="true" hidden="false" outlineLevel="0" max="22" min="22" style="0" width="42"/>
    <col collapsed="false" customWidth="true" hidden="false" outlineLevel="0" max="23" min="23" style="0" width="16"/>
    <col collapsed="false" customWidth="true" hidden="false" outlineLevel="0" max="24" min="24" style="0" width="85"/>
    <col collapsed="false" customWidth="true" hidden="false" outlineLevel="0" max="26" min="25" style="0" width="70"/>
    <col collapsed="false" customWidth="true" hidden="false" outlineLevel="0" max="28" min="27" style="0" width="24"/>
    <col collapsed="false" customWidth="true" hidden="false" outlineLevel="0" max="29" min="29" style="0" width="52"/>
    <col collapsed="false" customWidth="true" hidden="false" outlineLevel="0" max="30" min="30" style="0" width="48"/>
    <col collapsed="false" customWidth="true" hidden="false" outlineLevel="0" max="31" min="31" style="0" width="90"/>
    <col collapsed="false" customWidth="true" hidden="false" outlineLevel="0" max="32" min="32" style="0" width="18"/>
    <col collapsed="false" customWidth="true" hidden="false" outlineLevel="0" max="33" min="33" style="0" width="20"/>
    <col collapsed="false" customWidth="true" hidden="false" outlineLevel="0" max="34" min="34" style="0" width="18"/>
    <col collapsed="false" customWidth="true" hidden="false" outlineLevel="0" max="35" min="35" style="0" width="55"/>
    <col collapsed="false" customWidth="true" hidden="false" outlineLevel="0" max="37" min="36" style="0" width="65"/>
    <col collapsed="false" customWidth="true" hidden="false" outlineLevel="0" max="38" min="38" style="0" width="24"/>
    <col collapsed="false" customWidth="true" hidden="false" outlineLevel="0" max="39" min="39" style="0" width="20"/>
    <col collapsed="false" customWidth="true" hidden="false" outlineLevel="0" max="40" min="40" style="0" width="45"/>
    <col collapsed="false" customWidth="true" hidden="false" outlineLevel="0" max="42" min="41" style="0" width="65"/>
    <col collapsed="false" customWidth="true" hidden="false" outlineLevel="0" max="46" min="43" style="0" width="42"/>
    <col collapsed="false" customWidth="true" hidden="false" outlineLevel="0" max="47" min="47" style="0" width="70"/>
    <col collapsed="false" customWidth="true" hidden="false" outlineLevel="0" max="49" min="48" style="0" width="42"/>
    <col collapsed="false" customWidth="true" hidden="false" outlineLevel="0" max="54" min="50" style="0" width="55"/>
    <col collapsed="false" customWidth="true" hidden="false" outlineLevel="0" max="60" min="55" style="0" width="60"/>
    <col collapsed="false" customWidth="true" hidden="false" outlineLevel="0" max="73" min="61" style="0" width="55"/>
  </cols>
  <sheetData>
    <row r="1" customFormat="false" ht="34.5" hidden="false" customHeight="true" outlineLevel="0" collapsed="false">
      <c r="A1" s="1" t="s">
        <v>0</v>
      </c>
      <c r="B1" s="1"/>
      <c r="C1" s="1"/>
      <c r="D1" s="1"/>
      <c r="E1" s="1"/>
      <c r="F1" s="1"/>
    </row>
    <row r="2" customFormat="false" ht="45" hidden="false" customHeight="true" outlineLevel="0" collapsed="false">
      <c r="A2" s="2" t="s">
        <v>1</v>
      </c>
      <c r="B2" s="2"/>
      <c r="C2" s="2"/>
      <c r="D2" s="2"/>
      <c r="E2" s="2"/>
      <c r="F2" s="2"/>
    </row>
    <row r="3" customFormat="false" ht="214.5" hidden="false" customHeight="true" outlineLevel="0" collapsed="false">
      <c r="A3" s="2" t="s">
        <v>2</v>
      </c>
      <c r="B3" s="2"/>
      <c r="C3" s="2"/>
      <c r="D3" s="2"/>
      <c r="E3" s="2"/>
      <c r="F3" s="2"/>
    </row>
    <row r="4" customFormat="false" ht="39.75" hidden="false" customHeight="true" outlineLevel="0" collapsed="false">
      <c r="A4" s="3" t="s">
        <v>3</v>
      </c>
      <c r="B4" s="3"/>
      <c r="C4" s="3"/>
      <c r="D4" s="3"/>
      <c r="E4" s="3"/>
      <c r="F4" s="3"/>
    </row>
    <row r="5" customFormat="false" ht="60" hidden="false" customHeight="true" outlineLevel="0" collapsed="false">
      <c r="A5" s="4"/>
      <c r="B5" s="4" t="s">
        <v>4</v>
      </c>
      <c r="C5" s="5" t="n">
        <f aca="false">SUMIFS('Hoja 1'!K2:K136,'Hoja 1'!L2:L136,2026,'Hoja 1'!M2:M136,B5)</f>
        <v>10829.238521</v>
      </c>
      <c r="D5" s="4" t="n">
        <f aca="false">COUNTIFS('Hoja 1'!L2:L136,2026,'Hoja 1'!M2:M136,B5,'Hoja 1'!K2:K136,"&gt;0")</f>
        <v>24</v>
      </c>
      <c r="E5" s="4" t="str">
        <f aca="false">"Personal 2026 reconocido hasta 31/08 (IGAE), EUR millones ("&amp;COUNTIFS('Hoja 1'!AQ2:AQ136,"&lt;&gt;",'Hoja 1'!AS2:AS136,"Hasta 31/08/2026:8 meses, NO año completo")&amp;" entidades; NO salarios puros; otros cortes en Hoja 1, no se suman)"</f>
        <v>Personal 2026 reconocido hasta 31/08 (IGAE), EUR millones (22 entidades; NO salarios puros; otros cortes en Hoja 1, no se suman)</v>
      </c>
      <c r="F5" s="6" t="n">
        <f aca="false">SUMIFS('Hoja 1'!AQ2:AQ136,'Hoja 1'!AR2:AR136,2026,'Hoja 1'!AS2:AS136,"Hasta 31/08/2026:8 meses, NO año completo")</f>
        <v>737.209</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row>
    <row r="6" customFormat="false" ht="60" hidden="false" customHeight="true" outlineLevel="0" collapsed="false">
      <c r="A6" s="4"/>
      <c r="B6" s="4" t="s">
        <v>5</v>
      </c>
      <c r="C6" s="5" t="n">
        <f aca="false">SUMIFS('Hoja 1'!K2:K136,'Hoja 1'!L2:L136,2026,'Hoja 1'!M2:M136,B6)</f>
        <v>1002.092048</v>
      </c>
      <c r="D6" s="4" t="n">
        <f aca="false">COUNTIFS('Hoja 1'!L2:L136,2026,'Hoja 1'!M2:M136,B6,'Hoja 1'!K2:K136,"&gt;0")</f>
        <v>15</v>
      </c>
      <c r="E6" s="4" t="str">
        <f aca="false">"Pagos personal 2026 hasta 31/08, EUR millones ("&amp;COUNT('Hoja 1'!BI2:BI136)&amp;" entidades)"</f>
        <v>Pagos personal 2026 hasta 31/08, EUR millones (22 entidades)</v>
      </c>
      <c r="F6" s="6" t="n">
        <f aca="false">SUM('Hoja 1'!BI2:BI136)</f>
        <v>736.825</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row>
    <row r="7" customFormat="false" ht="60" hidden="false" customHeight="true" outlineLevel="0" collapsed="false">
      <c r="A7" s="4"/>
      <c r="B7" s="4" t="s">
        <v>6</v>
      </c>
      <c r="C7" s="5" t="n">
        <f aca="false">SUMIFS('Hoja 1'!K2:K136,'Hoja 1'!L2:L136,2026,'Hoja 1'!M2:M136,B7)</f>
        <v>792.46273848</v>
      </c>
      <c r="D7" s="4" t="n">
        <f aca="false">COUNTIFS('Hoja 1'!L2:L136,2026,'Hoja 1'!M2:M136,B7,'Hoja 1'!K2:K136,"&gt;0")</f>
        <v>20</v>
      </c>
      <c r="E7" s="4" t="str">
        <f aca="false">"Gasto de personal 2025, año completo (cap.1 obligaciones; gastos de personal de cuentas en fundaciones/entes): "&amp;COUNT('Hoja 1'!BP2:BP136)&amp;" entidades, EUR millones; NO sumar con parcial 2026"</f>
        <v>Gasto de personal 2025, año completo (cap.1 obligaciones; gastos de personal de cuentas en fundaciones/entes): 27 entidades, EUR millones; NO sumar con parcial 2026</v>
      </c>
      <c r="F7" s="7" t="n">
        <f aca="false">SUM('Hoja 1'!BP2:BP136)</f>
        <v>1144.575867</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customFormat="false" ht="63.75" hidden="false" customHeight="true" outlineLevel="0" collapsed="false"/>
    <row r="9" customFormat="false" ht="90" hidden="false" customHeight="true" outlineLevel="0" collapsed="false">
      <c r="A9" s="8" t="s">
        <v>7</v>
      </c>
    </row>
    <row r="10" customFormat="false" ht="90" hidden="false" customHeight="true" outlineLevel="0" collapsed="false">
      <c r="B10" s="9" t="s">
        <v>8</v>
      </c>
      <c r="C10" s="9" t="n">
        <f aca="false">COUNT('Hoja 1'!K2:K136)</f>
        <v>61</v>
      </c>
    </row>
    <row r="11" customFormat="false" ht="90" hidden="false" customHeight="true" outlineLevel="0" collapsed="false">
      <c r="B11" s="9" t="s">
        <v>9</v>
      </c>
      <c r="C11" s="9" t="n">
        <f aca="false">COUNTIF('Hoja 1'!O2:O136,"Sin presupuesto propio: órgano*")</f>
        <v>45</v>
      </c>
    </row>
    <row r="12" customFormat="false" ht="97.5" hidden="false" customHeight="true" outlineLevel="0" collapsed="false">
      <c r="B12" s="9" t="s">
        <v>10</v>
      </c>
      <c r="C12" s="9" t="n">
        <f aca="false">COUNTIF('Hoja 1'!O2:O136,"Sin presupuesto propio actual: supresión*")</f>
        <v>10</v>
      </c>
    </row>
    <row r="13" customFormat="false" ht="90" hidden="false" customHeight="true" outlineLevel="0" collapsed="false">
      <c r="B13" s="9" t="s">
        <v>11</v>
      </c>
      <c r="C13" s="9" t="n">
        <f aca="false">COUNTIF('Hoja 1'!O2:O136,"Sin cifra propia actual verificada")</f>
        <v>14</v>
      </c>
    </row>
    <row r="14" customFormat="false" ht="97.5" hidden="false" customHeight="true" outlineLevel="0" collapsed="false">
      <c r="B14" s="9" t="s">
        <v>12</v>
      </c>
      <c r="C14" s="9" t="n">
        <f aca="false">COUNT('Hoja 1'!AL2:AL136)</f>
        <v>44</v>
      </c>
    </row>
    <row r="15" customFormat="false" ht="90" hidden="false" customHeight="true" outlineLevel="0" collapsed="false">
      <c r="B15" s="9" t="s">
        <v>13</v>
      </c>
      <c r="C15" s="9" t="n">
        <f aca="false">COUNT('Hoja 1'!AQ2:AQ136)</f>
        <v>33</v>
      </c>
    </row>
    <row r="16" customFormat="false" ht="90" hidden="false" customHeight="true" outlineLevel="0" collapsed="false">
      <c r="B16" s="9" t="s">
        <v>14</v>
      </c>
      <c r="C16" s="9" t="n">
        <f aca="false">COUNT('Hoja 1'!BP2:BP136)</f>
        <v>27</v>
      </c>
    </row>
    <row r="17" customFormat="false" ht="90" hidden="false" customHeight="true" outlineLevel="0" collapsed="false">
      <c r="B17" s="9" t="s">
        <v>15</v>
      </c>
      <c r="C17" s="9" t="n">
        <f aca="false">COUNT('Hoja 1'!AG2:AG136)</f>
        <v>29</v>
      </c>
    </row>
    <row r="18" customFormat="false" ht="90" hidden="false" customHeight="true" outlineLevel="0" collapsed="false">
      <c r="B18" s="9" t="s">
        <v>16</v>
      </c>
      <c r="C18" s="9" t="n">
        <f aca="false">COUNT('Hoja 1'!AX2:AX136)</f>
        <v>22</v>
      </c>
    </row>
    <row r="19" customFormat="false" ht="90" hidden="false" customHeight="true" outlineLevel="0" collapsed="false"/>
    <row r="20" customFormat="false" ht="45" hidden="false" customHeight="true" outlineLevel="0" collapsed="false">
      <c r="A20" s="2" t="s">
        <v>17</v>
      </c>
      <c r="B20" s="2"/>
      <c r="C20" s="2"/>
      <c r="D20" s="2"/>
      <c r="E20" s="2"/>
      <c r="F20" s="2"/>
    </row>
    <row r="21" customFormat="false" ht="90" hidden="false" customHeight="true" outlineLevel="0" collapsed="false"/>
    <row r="22" customFormat="false" ht="90" hidden="false" customHeight="true" outlineLevel="0" collapsed="false">
      <c r="A22" s="8" t="s">
        <v>18</v>
      </c>
    </row>
    <row r="23" customFormat="false" ht="90" hidden="false" customHeight="true" outlineLevel="0" collapsed="false">
      <c r="C23" s="4" t="s">
        <v>19</v>
      </c>
      <c r="D23" s="4" t="s">
        <v>20</v>
      </c>
      <c r="E23" s="4" t="s">
        <v>21</v>
      </c>
    </row>
    <row r="24" customFormat="false" ht="90" hidden="false" customHeight="true" outlineLevel="0" collapsed="false">
      <c r="A24" s="9" t="s">
        <v>22</v>
      </c>
      <c r="B24" s="9" t="s">
        <v>23</v>
      </c>
      <c r="C24" s="9" t="n">
        <f aca="false">COUNTIF('Hoja 1'!BV2:BV136,B24)</f>
        <v>32</v>
      </c>
      <c r="D24" s="9" t="n">
        <f aca="false">COUNTIFS('Hoja 1'!BV2:BV136,B24,'Hoja 1'!L2:L136,2026,'Hoja 1'!K2:K136,"&gt;0")</f>
        <v>29</v>
      </c>
      <c r="E24" s="10" t="n">
        <f aca="false">SUMIFS('Hoja 1'!K2:K136,'Hoja 1'!BV2:BV136,B24,'Hoja 1'!L2:L136,2026)</f>
        <v>10202.390669</v>
      </c>
    </row>
    <row r="25" customFormat="false" ht="90" hidden="false" customHeight="true" outlineLevel="0" collapsed="false">
      <c r="A25" s="9"/>
      <c r="B25" s="9" t="s">
        <v>24</v>
      </c>
      <c r="C25" s="9" t="n">
        <f aca="false">COUNTIF('Hoja 1'!BV2:BV136,B25)</f>
        <v>86</v>
      </c>
      <c r="D25" s="9" t="n">
        <f aca="false">COUNTIFS('Hoja 1'!BV2:BV136,B25,'Hoja 1'!L2:L136,2026,'Hoja 1'!K2:K136,"&gt;0")</f>
        <v>29</v>
      </c>
      <c r="E25" s="10" t="n">
        <f aca="false">SUMIFS('Hoja 1'!K2:K136,'Hoja 1'!BV2:BV136,B25,'Hoja 1'!L2:L136,2026)</f>
        <v>2340.39341848</v>
      </c>
    </row>
    <row r="26" customFormat="false" ht="90" hidden="false" customHeight="true" outlineLevel="0" collapsed="false">
      <c r="A26" s="9"/>
      <c r="B26" s="9" t="s">
        <v>25</v>
      </c>
      <c r="C26" s="9" t="n">
        <f aca="false">COUNTIF('Hoja 1'!BV2:BV136,B26)</f>
        <v>4</v>
      </c>
      <c r="D26" s="9" t="n">
        <f aca="false">COUNTIFS('Hoja 1'!BV2:BV136,B26,'Hoja 1'!L2:L136,2026,'Hoja 1'!K2:K136,"&gt;0")</f>
        <v>1</v>
      </c>
      <c r="E26" s="10" t="n">
        <f aca="false">SUMIFS('Hoja 1'!K2:K136,'Hoja 1'!BV2:BV136,B26,'Hoja 1'!L2:L136,2026)</f>
        <v>81.00922</v>
      </c>
    </row>
    <row r="27" customFormat="false" ht="90" hidden="false" customHeight="true" outlineLevel="0" collapsed="false">
      <c r="A27" s="9"/>
      <c r="B27" s="9" t="s">
        <v>26</v>
      </c>
      <c r="C27" s="9" t="n">
        <f aca="false">COUNTIF('Hoja 1'!BV2:BV136,B27)</f>
        <v>13</v>
      </c>
      <c r="D27" s="9" t="n">
        <f aca="false">COUNTIFS('Hoja 1'!BV2:BV136,B27,'Hoja 1'!L2:L136,2026,'Hoja 1'!K2:K136,"&gt;0")</f>
        <v>0</v>
      </c>
      <c r="E27" s="10" t="n">
        <f aca="false">SUMIFS('Hoja 1'!K2:K136,'Hoja 1'!BV2:BV136,B27,'Hoja 1'!L2:L136,2026)</f>
        <v>0</v>
      </c>
    </row>
    <row r="28" customFormat="false" ht="90" hidden="false" customHeight="true" outlineLevel="0" collapsed="false">
      <c r="A28" s="9" t="s">
        <v>27</v>
      </c>
      <c r="B28" s="9" t="s">
        <v>28</v>
      </c>
      <c r="C28" s="9" t="n">
        <f aca="false">COUNTIF('Hoja 1'!BW2:BW136,B28)</f>
        <v>28</v>
      </c>
      <c r="D28" s="9" t="n">
        <f aca="false">COUNTIFS('Hoja 1'!BW2:BW136,B28,'Hoja 1'!L2:L136,2026,'Hoja 1'!K2:K136,"&gt;0")</f>
        <v>25</v>
      </c>
      <c r="E28" s="10" t="n">
        <f aca="false">SUMIFS('Hoja 1'!K2:K136,'Hoja 1'!BW2:BW136,B28,'Hoja 1'!L2:L136,2026)</f>
        <v>9098.993789</v>
      </c>
    </row>
    <row r="29" customFormat="false" ht="90" hidden="false" customHeight="true" outlineLevel="0" collapsed="false">
      <c r="A29" s="9"/>
      <c r="B29" s="9" t="s">
        <v>29</v>
      </c>
      <c r="C29" s="9" t="n">
        <f aca="false">COUNTIF('Hoja 1'!BW2:BW136,B29)</f>
        <v>4</v>
      </c>
      <c r="D29" s="9" t="n">
        <f aca="false">COUNTIFS('Hoja 1'!BW2:BW136,B29,'Hoja 1'!L2:L136,2026,'Hoja 1'!K2:K136,"&gt;0")</f>
        <v>4</v>
      </c>
      <c r="E29" s="10" t="n">
        <f aca="false">SUMIFS('Hoja 1'!K2:K136,'Hoja 1'!BW2:BW136,B29,'Hoja 1'!L2:L136,2026)</f>
        <v>1103.39688</v>
      </c>
    </row>
    <row r="30" customFormat="false" ht="90" hidden="false" customHeight="true" outlineLevel="0" collapsed="false">
      <c r="A30" s="9"/>
      <c r="B30" s="9" t="s">
        <v>30</v>
      </c>
      <c r="C30" s="9" t="n">
        <f aca="false">COUNTIF('Hoja 1'!BW2:BW136,B30)</f>
        <v>34</v>
      </c>
      <c r="D30" s="9" t="n">
        <f aca="false">COUNTIFS('Hoja 1'!BW2:BW136,B30,'Hoja 1'!L2:L136,2026,'Hoja 1'!K2:K136,"&gt;0")</f>
        <v>27</v>
      </c>
      <c r="E30" s="10" t="n">
        <f aca="false">SUMIFS('Hoja 1'!K2:K136,'Hoja 1'!BW2:BW136,B30,'Hoja 1'!L2:L136,2026)</f>
        <v>2263.52327848</v>
      </c>
    </row>
    <row r="31" customFormat="false" ht="90" hidden="false" customHeight="true" outlineLevel="0" collapsed="false">
      <c r="A31" s="9"/>
      <c r="B31" s="9" t="s">
        <v>31</v>
      </c>
      <c r="C31" s="9" t="n">
        <f aca="false">COUNTIF('Hoja 1'!BW2:BW136,B31)</f>
        <v>52</v>
      </c>
      <c r="D31" s="9" t="n">
        <f aca="false">COUNTIFS('Hoja 1'!BW2:BW136,B31,'Hoja 1'!L2:L136,2026,'Hoja 1'!K2:K136,"&gt;0")</f>
        <v>2</v>
      </c>
      <c r="E31" s="10" t="n">
        <f aca="false">SUMIFS('Hoja 1'!K2:K136,'Hoja 1'!BW2:BW136,B31,'Hoja 1'!L2:L136,2026)</f>
        <v>76.87014</v>
      </c>
    </row>
    <row r="32" customFormat="false" ht="210" hidden="false" customHeight="true" outlineLevel="0" collapsed="false">
      <c r="A32" s="9"/>
      <c r="B32" s="9" t="s">
        <v>32</v>
      </c>
      <c r="C32" s="9" t="n">
        <f aca="false">COUNTIF('Hoja 1'!BW2:BW136,B32)</f>
        <v>4</v>
      </c>
      <c r="D32" s="9" t="n">
        <f aca="false">COUNTIFS('Hoja 1'!BW2:BW136,B32,'Hoja 1'!L2:L136,2026,'Hoja 1'!K2:K136,"&gt;0")</f>
        <v>1</v>
      </c>
      <c r="E32" s="10" t="n">
        <f aca="false">SUMIFS('Hoja 1'!K2:K136,'Hoja 1'!BW2:BW136,B32,'Hoja 1'!L2:L136,2026)</f>
        <v>81.00922</v>
      </c>
    </row>
    <row r="33" customFormat="false" ht="97.5" hidden="false" customHeight="true" outlineLevel="0" collapsed="false">
      <c r="A33" s="9"/>
      <c r="B33" s="9" t="s">
        <v>26</v>
      </c>
      <c r="C33" s="9" t="n">
        <f aca="false">COUNTIF('Hoja 1'!BW2:BW136,B33)</f>
        <v>13</v>
      </c>
      <c r="D33" s="9" t="n">
        <f aca="false">COUNTIFS('Hoja 1'!BW2:BW136,B33,'Hoja 1'!L2:L136,2026,'Hoja 1'!K2:K136,"&gt;0")</f>
        <v>0</v>
      </c>
      <c r="E33" s="10" t="n">
        <f aca="false">SUMIFS('Hoja 1'!K2:K136,'Hoja 1'!BW2:BW136,B33,'Hoja 1'!L2:L136,2026)</f>
        <v>0</v>
      </c>
    </row>
    <row r="34" customFormat="false" ht="97.5" hidden="false" customHeight="true" outlineLevel="0" collapsed="false">
      <c r="A34" s="9" t="s">
        <v>33</v>
      </c>
      <c r="B34" s="9" t="s">
        <v>34</v>
      </c>
      <c r="C34" s="9" t="n">
        <f aca="false">COUNTIF('Hoja 1'!BX2:BX136,B34)</f>
        <v>31</v>
      </c>
      <c r="D34" s="9" t="n">
        <f aca="false">COUNTIFS('Hoja 1'!BX2:BX136,B34,'Hoja 1'!L2:L136,2026,'Hoja 1'!K2:K136,"&gt;0")</f>
        <v>24</v>
      </c>
      <c r="E34" s="10" t="n">
        <f aca="false">SUMIFS('Hoja 1'!K2:K136,'Hoja 1'!BX2:BX136,B34,'Hoja 1'!L2:L136,2026)</f>
        <v>3739.00189448</v>
      </c>
    </row>
    <row r="35" customFormat="false" ht="90" hidden="false" customHeight="true" outlineLevel="0" collapsed="false">
      <c r="A35" s="9"/>
      <c r="B35" s="9" t="s">
        <v>35</v>
      </c>
      <c r="C35" s="9" t="n">
        <f aca="false">COUNTIF('Hoja 1'!BX2:BX136,B35)</f>
        <v>15</v>
      </c>
      <c r="D35" s="9" t="n">
        <f aca="false">COUNTIFS('Hoja 1'!BX2:BX136,B35,'Hoja 1'!L2:L136,2026,'Hoja 1'!K2:K136,"&gt;0")</f>
        <v>15</v>
      </c>
      <c r="E35" s="10" t="n">
        <f aca="false">SUMIFS('Hoja 1'!K2:K136,'Hoja 1'!BX2:BX136,B35,'Hoja 1'!L2:L136,2026)</f>
        <v>5433.336261</v>
      </c>
    </row>
    <row r="36" customFormat="false" ht="90" hidden="false" customHeight="true" outlineLevel="0" collapsed="false">
      <c r="A36" s="9"/>
      <c r="B36" s="9" t="s">
        <v>36</v>
      </c>
      <c r="C36" s="9" t="n">
        <f aca="false">COUNTIF('Hoja 1'!BX2:BX136,B36)</f>
        <v>14</v>
      </c>
      <c r="D36" s="9" t="n">
        <f aca="false">COUNTIFS('Hoja 1'!BX2:BX136,B36,'Hoja 1'!L2:L136,2026,'Hoja 1'!K2:K136,"&gt;0")</f>
        <v>11</v>
      </c>
      <c r="E36" s="10" t="n">
        <f aca="false">SUMIFS('Hoja 1'!K2:K136,'Hoja 1'!BX2:BX136,B36,'Hoja 1'!L2:L136,2026)</f>
        <v>3405.56171</v>
      </c>
    </row>
    <row r="37" customFormat="false" ht="90" hidden="false" customHeight="true" outlineLevel="0" collapsed="false">
      <c r="A37" s="9"/>
      <c r="B37" s="9" t="s">
        <v>37</v>
      </c>
      <c r="C37" s="9" t="n">
        <f aca="false">COUNTIF('Hoja 1'!BX2:BX136,B37)</f>
        <v>13</v>
      </c>
      <c r="D37" s="9" t="n">
        <f aca="false">COUNTIFS('Hoja 1'!BX2:BX136,B37,'Hoja 1'!L2:L136,2026,'Hoja 1'!K2:K136,"&gt;0")</f>
        <v>9</v>
      </c>
      <c r="E37" s="10" t="n">
        <f aca="false">SUMIFS('Hoja 1'!K2:K136,'Hoja 1'!BX2:BX136,B37,'Hoja 1'!L2:L136,2026)</f>
        <v>45.893442</v>
      </c>
    </row>
    <row r="38" customFormat="false" ht="90" hidden="false" customHeight="true" outlineLevel="0" collapsed="false">
      <c r="A38" s="9"/>
      <c r="B38" s="9" t="s">
        <v>38</v>
      </c>
      <c r="C38" s="9" t="n">
        <f aca="false">COUNTIF('Hoja 1'!BX2:BX136,B38)</f>
        <v>46</v>
      </c>
      <c r="D38" s="9" t="n">
        <f aca="false">COUNTIFS('Hoja 1'!BX2:BX136,B38,'Hoja 1'!L2:L136,2026,'Hoja 1'!K2:K136,"&gt;0")</f>
        <v>0</v>
      </c>
      <c r="E38" s="10" t="n">
        <f aca="false">SUMIFS('Hoja 1'!K2:K136,'Hoja 1'!BX2:BX136,B38,'Hoja 1'!L2:L136,2026)</f>
        <v>0</v>
      </c>
    </row>
    <row r="39" customFormat="false" ht="90" hidden="false" customHeight="true" outlineLevel="0" collapsed="false">
      <c r="A39" s="9"/>
      <c r="B39" s="9" t="s">
        <v>39</v>
      </c>
      <c r="C39" s="9" t="n">
        <f aca="false">COUNTIF('Hoja 1'!BX2:BX136,B39)</f>
        <v>16</v>
      </c>
      <c r="D39" s="9" t="n">
        <f aca="false">COUNTIFS('Hoja 1'!BX2:BX136,B39,'Hoja 1'!L2:L136,2026,'Hoja 1'!K2:K136,"&gt;0")</f>
        <v>0</v>
      </c>
      <c r="E39" s="10" t="n">
        <f aca="false">SUMIFS('Hoja 1'!K2:K136,'Hoja 1'!BX2:BX136,B39,'Hoja 1'!L2:L136,2026)</f>
        <v>0</v>
      </c>
    </row>
    <row r="40" customFormat="false" ht="90" hidden="false" customHeight="true" outlineLevel="0" collapsed="false">
      <c r="A40" s="9" t="s">
        <v>40</v>
      </c>
    </row>
    <row r="41" customFormat="false" ht="97.5" hidden="false" customHeight="true" outlineLevel="0" collapsed="false">
      <c r="B41" s="9" t="s">
        <v>41</v>
      </c>
      <c r="C41" s="9" t="n">
        <f aca="false">COUNTIF('Hoja 1'!CC2:CC136,"Explícito*")</f>
        <v>63</v>
      </c>
    </row>
    <row r="42" customFormat="false" ht="90" hidden="false" customHeight="true" outlineLevel="0" collapsed="false">
      <c r="B42" s="9" t="s">
        <v>42</v>
      </c>
      <c r="C42" s="9" t="n">
        <f aca="false">COUNTIF('Hoja 1'!CC2:CC136,"Aplicando*")</f>
        <v>55</v>
      </c>
    </row>
    <row r="43" customFormat="false" ht="90" hidden="false" customHeight="true" outlineLevel="0" collapsed="false">
      <c r="B43" s="9" t="s">
        <v>43</v>
      </c>
      <c r="C43" s="9" t="n">
        <f aca="false">COUNTIF('Hoja 1'!CC2:CC136,"El P100*")</f>
        <v>4</v>
      </c>
    </row>
    <row r="44" customFormat="false" ht="90" hidden="false" customHeight="true" outlineLevel="0" collapsed="false"/>
    <row r="45" customFormat="false" ht="229.5" hidden="false" customHeight="true" outlineLevel="0" collapsed="false">
      <c r="A45" s="2" t="s">
        <v>44</v>
      </c>
      <c r="B45" s="2"/>
      <c r="C45" s="2"/>
      <c r="D45" s="2"/>
      <c r="E45" s="2"/>
      <c r="F45" s="2"/>
    </row>
    <row r="46" customFormat="false" ht="90" hidden="false" customHeight="true" outlineLevel="0" collapsed="false"/>
    <row r="47" customFormat="false" ht="90" hidden="false" customHeight="true" outlineLevel="0" collapsed="false">
      <c r="A47" s="8" t="s">
        <v>45</v>
      </c>
    </row>
    <row r="48" customFormat="false" ht="90" hidden="false" customHeight="true" outlineLevel="0" collapsed="false">
      <c r="B48" s="9" t="s">
        <v>46</v>
      </c>
      <c r="C48" s="9" t="n">
        <f aca="false">COUNTIF('Hoja 1'!BX2:BX136,"Consultivo o participación")</f>
        <v>46</v>
      </c>
    </row>
    <row r="49" customFormat="false" ht="126" hidden="false" customHeight="true" outlineLevel="0" collapsed="false">
      <c r="B49" s="9" t="s">
        <v>47</v>
      </c>
      <c r="C49" s="11" t="n">
        <f aca="false">MEDIAN('Hoja 1'!CH2:CH136)</f>
        <v>56222.2222222222</v>
      </c>
    </row>
    <row r="50" customFormat="false" ht="90" hidden="false" customHeight="true" outlineLevel="0" collapsed="false">
      <c r="B50" s="9" t="s">
        <v>48</v>
      </c>
      <c r="C50" s="9" t="n">
        <f aca="false">COUNT('Hoja 1'!CH2:CH136)</f>
        <v>21</v>
      </c>
    </row>
    <row r="51" customFormat="false" ht="139.5" hidden="false" customHeight="true" outlineLevel="0" collapsed="false">
      <c r="B51" s="9" t="s">
        <v>49</v>
      </c>
      <c r="C51" s="10" t="n">
        <f aca="false">C48*C49*1/1000000</f>
        <v>2.58622222222222</v>
      </c>
    </row>
    <row r="52" customFormat="false" ht="90" hidden="false" customHeight="true" outlineLevel="0" collapsed="false">
      <c r="B52" s="9" t="s">
        <v>50</v>
      </c>
      <c r="C52" s="10" t="n">
        <f aca="false">C48*C49*2/1000000</f>
        <v>5.17244444444444</v>
      </c>
    </row>
    <row r="53" customFormat="false" ht="90" hidden="false" customHeight="true" outlineLevel="0" collapsed="false">
      <c r="B53" s="9" t="s">
        <v>51</v>
      </c>
      <c r="C53" s="10" t="n">
        <f aca="false">C48*C49*3/1000000</f>
        <v>7.75866666666667</v>
      </c>
    </row>
    <row r="54" customFormat="false" ht="75" hidden="false" customHeight="true" outlineLevel="0" collapsed="false">
      <c r="A54" s="2" t="s">
        <v>52</v>
      </c>
      <c r="B54" s="2"/>
      <c r="C54" s="2"/>
      <c r="D54" s="2"/>
      <c r="E54" s="2"/>
      <c r="F54" s="2"/>
    </row>
    <row r="55" customFormat="false" ht="90" hidden="false" customHeight="true" outlineLevel="0" collapsed="false"/>
    <row r="56" customFormat="false" ht="90" hidden="false" customHeight="true" outlineLevel="0" collapsed="false"/>
    <row r="57" customFormat="false" ht="90" hidden="false" customHeight="true" outlineLevel="0" collapsed="false"/>
    <row r="58" customFormat="false" ht="90" hidden="false" customHeight="true" outlineLevel="0" collapsed="false"/>
    <row r="59" customFormat="false" ht="90" hidden="false" customHeight="true" outlineLevel="0" collapsed="false"/>
    <row r="60" customFormat="false" ht="90" hidden="false" customHeight="true" outlineLevel="0" collapsed="false"/>
    <row r="61" customFormat="false" ht="90" hidden="false" customHeight="true" outlineLevel="0" collapsed="false"/>
    <row r="62" customFormat="false" ht="90" hidden="false" customHeight="true" outlineLevel="0" collapsed="false"/>
    <row r="63" customFormat="false" ht="90" hidden="false" customHeight="true" outlineLevel="0" collapsed="false"/>
    <row r="64" customFormat="false" ht="139.5" hidden="false" customHeight="true" outlineLevel="0" collapsed="false"/>
    <row r="65" customFormat="false" ht="90" hidden="false" customHeight="true" outlineLevel="0" collapsed="false"/>
    <row r="66" customFormat="false" ht="90" hidden="false" customHeight="true" outlineLevel="0" collapsed="false"/>
    <row r="67" customFormat="false" ht="90" hidden="false" customHeight="true" outlineLevel="0" collapsed="false"/>
    <row r="68" customFormat="false" ht="90" hidden="false" customHeight="true" outlineLevel="0" collapsed="false"/>
    <row r="69" customFormat="false" ht="90" hidden="false" customHeight="true" outlineLevel="0" collapsed="false"/>
    <row r="70" customFormat="false" ht="90" hidden="false" customHeight="true" outlineLevel="0" collapsed="false"/>
    <row r="71" customFormat="false" ht="90" hidden="false" customHeight="true" outlineLevel="0" collapsed="false"/>
    <row r="72" customFormat="false" ht="90" hidden="false" customHeight="true" outlineLevel="0" collapsed="false"/>
    <row r="73" customFormat="false" ht="90" hidden="false" customHeight="true" outlineLevel="0" collapsed="false"/>
    <row r="74" customFormat="false" ht="90" hidden="false" customHeight="true" outlineLevel="0" collapsed="false"/>
    <row r="75" customFormat="false" ht="90" hidden="false" customHeight="true" outlineLevel="0" collapsed="false"/>
    <row r="76" customFormat="false" ht="90" hidden="false" customHeight="true" outlineLevel="0" collapsed="false"/>
    <row r="77" customFormat="false" ht="90" hidden="false" customHeight="true" outlineLevel="0" collapsed="false"/>
    <row r="78" customFormat="false" ht="126" hidden="false" customHeight="true" outlineLevel="0" collapsed="false"/>
    <row r="79" customFormat="false" ht="97.5" hidden="false" customHeight="true" outlineLevel="0" collapsed="false"/>
    <row r="80" customFormat="false" ht="126" hidden="false" customHeight="true" outlineLevel="0" collapsed="false"/>
    <row r="81" customFormat="false" ht="90" hidden="false" customHeight="true" outlineLevel="0" collapsed="false"/>
    <row r="82" customFormat="false" ht="139.5" hidden="false" customHeight="true" outlineLevel="0" collapsed="false"/>
    <row r="83" customFormat="false" ht="90" hidden="false" customHeight="true" outlineLevel="0" collapsed="false"/>
    <row r="84" customFormat="false" ht="90" hidden="false" customHeight="true" outlineLevel="0" collapsed="false"/>
    <row r="85" customFormat="false" ht="90" hidden="false" customHeight="true" outlineLevel="0" collapsed="false"/>
    <row r="86" customFormat="false" ht="90" hidden="false" customHeight="true" outlineLevel="0" collapsed="false"/>
    <row r="87" customFormat="false" ht="90" hidden="false" customHeight="true" outlineLevel="0" collapsed="false"/>
    <row r="88" customFormat="false" ht="90" hidden="false" customHeight="true" outlineLevel="0" collapsed="false"/>
    <row r="89" customFormat="false" ht="90" hidden="false" customHeight="true" outlineLevel="0" collapsed="false"/>
    <row r="90" customFormat="false" ht="90" hidden="false" customHeight="true" outlineLevel="0" collapsed="false"/>
    <row r="91" customFormat="false" ht="90" hidden="false" customHeight="true" outlineLevel="0" collapsed="false"/>
    <row r="92" customFormat="false" ht="90" hidden="false" customHeight="true" outlineLevel="0" collapsed="false"/>
    <row r="93" customFormat="false" ht="90" hidden="false" customHeight="true" outlineLevel="0" collapsed="false"/>
    <row r="94" customFormat="false" ht="90" hidden="false" customHeight="true" outlineLevel="0" collapsed="false"/>
    <row r="95" customFormat="false" ht="90" hidden="false" customHeight="true" outlineLevel="0" collapsed="false"/>
    <row r="96" customFormat="false" ht="90" hidden="false" customHeight="true" outlineLevel="0" collapsed="false"/>
    <row r="97" customFormat="false" ht="97.5" hidden="false" customHeight="true" outlineLevel="0" collapsed="false"/>
    <row r="98" customFormat="false" ht="90" hidden="false" customHeight="true" outlineLevel="0" collapsed="false"/>
    <row r="99" customFormat="false" ht="90" hidden="false" customHeight="true" outlineLevel="0" collapsed="false"/>
    <row r="100" customFormat="false" ht="90" hidden="false" customHeight="true" outlineLevel="0" collapsed="false"/>
    <row r="101" customFormat="false" ht="139.5" hidden="false" customHeight="true" outlineLevel="0" collapsed="false"/>
    <row r="102" customFormat="false" ht="90" hidden="false" customHeight="true" outlineLevel="0" collapsed="false"/>
    <row r="103" customFormat="false" ht="139.5" hidden="false" customHeight="true" outlineLevel="0" collapsed="false"/>
    <row r="104" customFormat="false" ht="199.5" hidden="false" customHeight="true" outlineLevel="0" collapsed="false"/>
    <row r="105" customFormat="false" ht="199.5" hidden="false" customHeight="true" outlineLevel="0" collapsed="false"/>
    <row r="106" customFormat="false" ht="199.5" hidden="false" customHeight="true" outlineLevel="0" collapsed="false"/>
    <row r="107" customFormat="false" ht="199.5" hidden="false" customHeight="true" outlineLevel="0" collapsed="false"/>
    <row r="108" customFormat="false" ht="199.5" hidden="false" customHeight="true" outlineLevel="0" collapsed="false"/>
    <row r="109" customFormat="false" ht="199.5" hidden="false" customHeight="true" outlineLevel="0" collapsed="false"/>
    <row r="110" customFormat="false" ht="199.5" hidden="false" customHeight="true" outlineLevel="0" collapsed="false"/>
    <row r="111" customFormat="false" ht="199.5" hidden="false" customHeight="true" outlineLevel="0" collapsed="false"/>
    <row r="112" customFormat="false" ht="199.5" hidden="false" customHeight="true" outlineLevel="0" collapsed="false"/>
    <row r="113" customFormat="false" ht="199.5" hidden="false" customHeight="true" outlineLevel="0" collapsed="false"/>
    <row r="114" customFormat="false" ht="199.5" hidden="false" customHeight="true" outlineLevel="0" collapsed="false"/>
    <row r="115" customFormat="false" ht="199.5" hidden="false" customHeight="true" outlineLevel="0" collapsed="false"/>
    <row r="116" customFormat="false" ht="199.5" hidden="false" customHeight="true" outlineLevel="0" collapsed="false"/>
    <row r="117" customFormat="false" ht="199.5" hidden="false" customHeight="true" outlineLevel="0" collapsed="false"/>
    <row r="118" customFormat="false" ht="199.5" hidden="false" customHeight="true" outlineLevel="0" collapsed="false"/>
    <row r="119" customFormat="false" ht="199.5" hidden="false" customHeight="true" outlineLevel="0" collapsed="false"/>
    <row r="120" customFormat="false" ht="199.5" hidden="false" customHeight="true" outlineLevel="0" collapsed="false"/>
    <row r="121" customFormat="false" ht="199.5" hidden="false" customHeight="true" outlineLevel="0" collapsed="false"/>
    <row r="122" customFormat="false" ht="199.5" hidden="false" customHeight="true" outlineLevel="0" collapsed="false"/>
    <row r="123" customFormat="false" ht="199.5" hidden="false" customHeight="true" outlineLevel="0" collapsed="false"/>
    <row r="124" customFormat="false" ht="199.5" hidden="false" customHeight="true" outlineLevel="0" collapsed="false"/>
    <row r="125" customFormat="false" ht="199.5" hidden="false" customHeight="true" outlineLevel="0" collapsed="false"/>
    <row r="126" customFormat="false" ht="199.5" hidden="false" customHeight="true" outlineLevel="0" collapsed="false"/>
    <row r="127" customFormat="false" ht="199.5" hidden="false" customHeight="true" outlineLevel="0" collapsed="false"/>
    <row r="128" customFormat="false" ht="199.5" hidden="false" customHeight="true" outlineLevel="0" collapsed="false"/>
    <row r="129" customFormat="false" ht="199.5" hidden="false" customHeight="true" outlineLevel="0" collapsed="false"/>
    <row r="130" customFormat="false" ht="199.5" hidden="false" customHeight="true" outlineLevel="0" collapsed="false"/>
    <row r="131" customFormat="false" ht="199.5" hidden="false" customHeight="true" outlineLevel="0" collapsed="false"/>
    <row r="132" customFormat="false" ht="199.5" hidden="false" customHeight="true" outlineLevel="0" collapsed="false"/>
    <row r="133" customFormat="false" ht="199.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F1"/>
    <mergeCell ref="A2:F2"/>
    <mergeCell ref="A3:F3"/>
    <mergeCell ref="A4:F4"/>
    <mergeCell ref="A20:F20"/>
    <mergeCell ref="A45:F45"/>
    <mergeCell ref="A54:F54"/>
  </mergeCells>
  <printOptions headings="false" gridLines="false" gridLinesSet="true" horizontalCentered="false" verticalCentered="false"/>
  <pageMargins left="0.75" right="0.75" top="1" bottom="1" header="0.511811023622047" footer="0"/>
  <pageSetup paperSize="8" scale="100" fitToWidth="1" fitToHeight="1" pageOrder="downThenOver" orientation="landscape" blackAndWhite="false" draft="false" cellComments="none" horizontalDpi="300" verticalDpi="300" copies="1"/>
  <headerFooter differentFirst="false" differentOddEven="false">
    <oddHeader/>
    <oddFooter>&amp;CInventario parcial | 11/10/2026 | Página &amp;P de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19" min="3" style="0" width="18"/>
    <col collapsed="false" customWidth="true" hidden="false" outlineLevel="0" max="25" min="20" style="0" width="24"/>
  </cols>
  <sheetData>
    <row r="1" customFormat="false" ht="41.75" hidden="false" customHeight="false" outlineLevel="0" collapsed="false">
      <c r="A1" s="12" t="s">
        <v>53</v>
      </c>
      <c r="B1" s="12" t="s">
        <v>54</v>
      </c>
      <c r="C1" s="12" t="s">
        <v>55</v>
      </c>
      <c r="D1" s="12" t="s">
        <v>56</v>
      </c>
      <c r="E1" s="12" t="s">
        <v>57</v>
      </c>
      <c r="F1" s="12" t="s">
        <v>58</v>
      </c>
      <c r="G1" s="12" t="s">
        <v>59</v>
      </c>
      <c r="H1" s="12" t="s">
        <v>60</v>
      </c>
      <c r="I1" s="12" t="s">
        <v>61</v>
      </c>
      <c r="J1" s="12" t="s">
        <v>62</v>
      </c>
      <c r="K1" s="12" t="s">
        <v>63</v>
      </c>
      <c r="L1" s="12" t="s">
        <v>64</v>
      </c>
      <c r="M1" s="12" t="s">
        <v>65</v>
      </c>
      <c r="N1" s="12" t="s">
        <v>66</v>
      </c>
      <c r="O1" s="12" t="s">
        <v>67</v>
      </c>
      <c r="P1" s="12" t="s">
        <v>68</v>
      </c>
      <c r="Q1" s="12" t="s">
        <v>69</v>
      </c>
      <c r="R1" s="12" t="s">
        <v>70</v>
      </c>
      <c r="S1" s="12" t="s">
        <v>71</v>
      </c>
      <c r="T1" s="12" t="s">
        <v>72</v>
      </c>
      <c r="U1" s="12" t="s">
        <v>73</v>
      </c>
      <c r="V1" s="12" t="s">
        <v>74</v>
      </c>
      <c r="W1" s="12" t="s">
        <v>75</v>
      </c>
      <c r="X1" s="12" t="s">
        <v>76</v>
      </c>
      <c r="Y1" s="12" t="s">
        <v>77</v>
      </c>
    </row>
    <row r="2" customFormat="false" ht="833.55" hidden="false" customHeight="false" outlineLevel="0" collapsed="false">
      <c r="A2" s="4" t="s">
        <v>78</v>
      </c>
      <c r="B2" s="4" t="s">
        <v>79</v>
      </c>
      <c r="C2" s="13" t="s">
        <v>80</v>
      </c>
      <c r="D2" s="14" t="s">
        <v>81</v>
      </c>
      <c r="E2" s="13" t="s">
        <v>82</v>
      </c>
      <c r="F2" s="13" t="s">
        <v>83</v>
      </c>
      <c r="G2" s="13" t="s">
        <v>84</v>
      </c>
      <c r="H2" s="13" t="s">
        <v>85</v>
      </c>
      <c r="I2" s="14" t="s">
        <v>81</v>
      </c>
      <c r="J2" s="14" t="s">
        <v>81</v>
      </c>
      <c r="K2" s="13" t="s">
        <v>86</v>
      </c>
      <c r="L2" s="13" t="s">
        <v>87</v>
      </c>
      <c r="M2" s="14" t="s">
        <v>81</v>
      </c>
      <c r="N2" s="13" t="s">
        <v>88</v>
      </c>
      <c r="O2" s="14" t="s">
        <v>81</v>
      </c>
      <c r="P2" s="13" t="s">
        <v>89</v>
      </c>
      <c r="Q2" s="13" t="s">
        <v>90</v>
      </c>
      <c r="R2" s="13" t="s">
        <v>91</v>
      </c>
      <c r="S2" s="14" t="s">
        <v>81</v>
      </c>
      <c r="T2" s="4" t="n">
        <f aca="false">COUNTIF(C2:S2,"Propio*")</f>
        <v>11</v>
      </c>
      <c r="U2" s="4" t="n">
        <f aca="false">COUNTIF(C2:S2,"Sin verificar")</f>
        <v>0</v>
      </c>
      <c r="V2" s="4" t="n">
        <f aca="false">1+T2</f>
        <v>12</v>
      </c>
      <c r="W2" s="4" t="s">
        <v>92</v>
      </c>
      <c r="X2" s="4" t="s">
        <v>93</v>
      </c>
      <c r="Y2" s="4" t="s">
        <v>94</v>
      </c>
    </row>
    <row r="3" customFormat="false" ht="605.95" hidden="false" customHeight="false" outlineLevel="0" collapsed="false">
      <c r="A3" s="4" t="s">
        <v>95</v>
      </c>
      <c r="B3" s="4" t="s">
        <v>96</v>
      </c>
      <c r="C3" s="13" t="s">
        <v>97</v>
      </c>
      <c r="D3" s="13" t="s">
        <v>98</v>
      </c>
      <c r="E3" s="14" t="s">
        <v>99</v>
      </c>
      <c r="F3" s="14" t="s">
        <v>99</v>
      </c>
      <c r="G3" s="13" t="s">
        <v>100</v>
      </c>
      <c r="H3" s="14" t="s">
        <v>99</v>
      </c>
      <c r="I3" s="13" t="s">
        <v>101</v>
      </c>
      <c r="J3" s="13" t="s">
        <v>102</v>
      </c>
      <c r="K3" s="13" t="s">
        <v>103</v>
      </c>
      <c r="L3" s="13" t="s">
        <v>104</v>
      </c>
      <c r="M3" s="14" t="s">
        <v>99</v>
      </c>
      <c r="N3" s="13" t="s">
        <v>105</v>
      </c>
      <c r="O3" s="13" t="s">
        <v>106</v>
      </c>
      <c r="P3" s="13" t="s">
        <v>107</v>
      </c>
      <c r="Q3" s="13" t="s">
        <v>108</v>
      </c>
      <c r="R3" s="13" t="s">
        <v>109</v>
      </c>
      <c r="S3" s="14" t="s">
        <v>99</v>
      </c>
      <c r="T3" s="4" t="n">
        <f aca="false">COUNTIF(C3:S3,"Propio*")</f>
        <v>12</v>
      </c>
      <c r="U3" s="4" t="n">
        <f aca="false">COUNTIF(C3:S3,"Sin verificar")</f>
        <v>0</v>
      </c>
      <c r="V3" s="4" t="n">
        <f aca="false">1+T3</f>
        <v>13</v>
      </c>
      <c r="W3" s="4" t="s">
        <v>110</v>
      </c>
      <c r="X3" s="4" t="s">
        <v>111</v>
      </c>
      <c r="Y3" s="4" t="s">
        <v>112</v>
      </c>
    </row>
    <row r="4" customFormat="false" ht="243.25" hidden="false" customHeight="false" outlineLevel="0" collapsed="false">
      <c r="A4" s="4" t="s">
        <v>113</v>
      </c>
      <c r="B4" s="4" t="s">
        <v>114</v>
      </c>
      <c r="C4" s="13" t="s">
        <v>97</v>
      </c>
      <c r="D4" s="14" t="s">
        <v>99</v>
      </c>
      <c r="E4" s="14" t="s">
        <v>99</v>
      </c>
      <c r="F4" s="14" t="s">
        <v>99</v>
      </c>
      <c r="G4" s="14" t="s">
        <v>99</v>
      </c>
      <c r="H4" s="14" t="s">
        <v>99</v>
      </c>
      <c r="I4" s="14" t="s">
        <v>99</v>
      </c>
      <c r="J4" s="14" t="s">
        <v>99</v>
      </c>
      <c r="K4" s="13" t="s">
        <v>115</v>
      </c>
      <c r="L4" s="14" t="s">
        <v>99</v>
      </c>
      <c r="M4" s="14" t="s">
        <v>99</v>
      </c>
      <c r="N4" s="14" t="s">
        <v>99</v>
      </c>
      <c r="O4" s="14" t="s">
        <v>99</v>
      </c>
      <c r="P4" s="14" t="s">
        <v>99</v>
      </c>
      <c r="Q4" s="14" t="s">
        <v>99</v>
      </c>
      <c r="R4" s="13" t="s">
        <v>116</v>
      </c>
      <c r="S4" s="14" t="s">
        <v>99</v>
      </c>
      <c r="T4" s="4" t="n">
        <f aca="false">COUNTIF(C4:S4,"Propio*")</f>
        <v>3</v>
      </c>
      <c r="U4" s="4" t="n">
        <f aca="false">COUNTIF(C4:S4,"Sin verificar")</f>
        <v>0</v>
      </c>
      <c r="V4" s="4" t="n">
        <f aca="false">1+T4</f>
        <v>4</v>
      </c>
      <c r="W4" s="4" t="s">
        <v>117</v>
      </c>
      <c r="X4" s="4" t="s">
        <v>118</v>
      </c>
      <c r="Y4" s="4" t="s">
        <v>119</v>
      </c>
    </row>
    <row r="5" customFormat="false" ht="404.45" hidden="false" customHeight="false" outlineLevel="0" collapsed="false">
      <c r="A5" s="4" t="s">
        <v>120</v>
      </c>
      <c r="B5" s="4" t="s">
        <v>121</v>
      </c>
      <c r="C5" s="13" t="s">
        <v>122</v>
      </c>
      <c r="D5" s="13" t="s">
        <v>123</v>
      </c>
      <c r="E5" s="14" t="s">
        <v>99</v>
      </c>
      <c r="F5" s="14" t="s">
        <v>99</v>
      </c>
      <c r="G5" s="13" t="s">
        <v>124</v>
      </c>
      <c r="H5" s="14" t="s">
        <v>99</v>
      </c>
      <c r="I5" s="14" t="s">
        <v>99</v>
      </c>
      <c r="J5" s="13" t="s">
        <v>125</v>
      </c>
      <c r="K5" s="13" t="s">
        <v>126</v>
      </c>
      <c r="L5" s="13" t="s">
        <v>127</v>
      </c>
      <c r="M5" s="13" t="s">
        <v>128</v>
      </c>
      <c r="N5" s="13" t="s">
        <v>129</v>
      </c>
      <c r="O5" s="14" t="s">
        <v>81</v>
      </c>
      <c r="P5" s="14" t="s">
        <v>81</v>
      </c>
      <c r="Q5" s="14" t="s">
        <v>81</v>
      </c>
      <c r="R5" s="13" t="s">
        <v>130</v>
      </c>
      <c r="S5" s="14" t="s">
        <v>99</v>
      </c>
      <c r="T5" s="4" t="n">
        <f aca="false">COUNTIF(C5:S5,"Propio*")</f>
        <v>9</v>
      </c>
      <c r="U5" s="4" t="n">
        <f aca="false">COUNTIF(C5:S5,"Sin verificar")</f>
        <v>0</v>
      </c>
      <c r="V5" s="4" t="n">
        <f aca="false">1+T5</f>
        <v>10</v>
      </c>
      <c r="W5" s="4" t="s">
        <v>131</v>
      </c>
      <c r="X5" s="4" t="s">
        <v>132</v>
      </c>
      <c r="Y5" s="4" t="s">
        <v>133</v>
      </c>
    </row>
    <row r="6" customFormat="false" ht="364.15" hidden="false" customHeight="false" outlineLevel="0" collapsed="false">
      <c r="A6" s="4" t="s">
        <v>134</v>
      </c>
      <c r="B6" s="4" t="s">
        <v>135</v>
      </c>
      <c r="C6" s="13" t="s">
        <v>136</v>
      </c>
      <c r="D6" s="14" t="s">
        <v>137</v>
      </c>
      <c r="E6" s="13" t="s">
        <v>138</v>
      </c>
      <c r="F6" s="14" t="s">
        <v>137</v>
      </c>
      <c r="G6" s="14" t="s">
        <v>137</v>
      </c>
      <c r="H6" s="14" t="s">
        <v>137</v>
      </c>
      <c r="I6" s="14" t="s">
        <v>137</v>
      </c>
      <c r="J6" s="13" t="s">
        <v>139</v>
      </c>
      <c r="K6" s="13" t="s">
        <v>140</v>
      </c>
      <c r="L6" s="13" t="s">
        <v>141</v>
      </c>
      <c r="M6" s="14" t="s">
        <v>137</v>
      </c>
      <c r="N6" s="13" t="s">
        <v>142</v>
      </c>
      <c r="O6" s="13" t="s">
        <v>143</v>
      </c>
      <c r="P6" s="14" t="s">
        <v>137</v>
      </c>
      <c r="Q6" s="13" t="s">
        <v>144</v>
      </c>
      <c r="R6" s="13" t="s">
        <v>145</v>
      </c>
      <c r="S6" s="14" t="s">
        <v>137</v>
      </c>
      <c r="T6" s="4" t="n">
        <f aca="false">COUNTIF(C6:S6,"Propio*")</f>
        <v>9</v>
      </c>
      <c r="U6" s="4" t="n">
        <f aca="false">COUNTIF(C6:S6,"Sin verificar")</f>
        <v>0</v>
      </c>
      <c r="V6" s="4" t="n">
        <f aca="false">1+T6</f>
        <v>10</v>
      </c>
      <c r="W6" s="4" t="s">
        <v>146</v>
      </c>
      <c r="X6" s="4" t="s">
        <v>147</v>
      </c>
      <c r="Y6" s="4" t="s">
        <v>148</v>
      </c>
    </row>
    <row r="7" customFormat="false" ht="189.55" hidden="false" customHeight="false" outlineLevel="0" collapsed="false">
      <c r="A7" s="4" t="s">
        <v>149</v>
      </c>
      <c r="B7" s="4" t="s">
        <v>150</v>
      </c>
      <c r="C7" s="13" t="s">
        <v>151</v>
      </c>
      <c r="D7" s="13" t="s">
        <v>152</v>
      </c>
      <c r="E7" s="14" t="s">
        <v>99</v>
      </c>
      <c r="F7" s="13" t="s">
        <v>153</v>
      </c>
      <c r="G7" s="13" t="s">
        <v>154</v>
      </c>
      <c r="H7" s="14" t="s">
        <v>99</v>
      </c>
      <c r="I7" s="14" t="s">
        <v>99</v>
      </c>
      <c r="J7" s="13" t="s">
        <v>155</v>
      </c>
      <c r="K7" s="13" t="s">
        <v>156</v>
      </c>
      <c r="L7" s="13" t="s">
        <v>157</v>
      </c>
      <c r="M7" s="14" t="s">
        <v>99</v>
      </c>
      <c r="N7" s="13" t="s">
        <v>158</v>
      </c>
      <c r="O7" s="13" t="s">
        <v>159</v>
      </c>
      <c r="P7" s="14" t="s">
        <v>99</v>
      </c>
      <c r="Q7" s="14" t="s">
        <v>99</v>
      </c>
      <c r="R7" s="13" t="s">
        <v>160</v>
      </c>
      <c r="S7" s="14" t="s">
        <v>99</v>
      </c>
      <c r="T7" s="4" t="n">
        <f aca="false">COUNTIF(C7:S7,"Propio*")</f>
        <v>10</v>
      </c>
      <c r="U7" s="4" t="n">
        <f aca="false">COUNTIF(C7:S7,"Sin verificar")</f>
        <v>0</v>
      </c>
      <c r="V7" s="4" t="n">
        <f aca="false">1+T7</f>
        <v>11</v>
      </c>
      <c r="W7" s="4" t="s">
        <v>161</v>
      </c>
      <c r="X7" s="4" t="s">
        <v>162</v>
      </c>
      <c r="Y7" s="4" t="s">
        <v>163</v>
      </c>
    </row>
    <row r="8" customFormat="false" ht="350.7" hidden="false" customHeight="false" outlineLevel="0" collapsed="false">
      <c r="A8" s="4" t="s">
        <v>164</v>
      </c>
      <c r="B8" s="4" t="s">
        <v>165</v>
      </c>
      <c r="C8" s="14" t="s">
        <v>81</v>
      </c>
      <c r="D8" s="15" t="s">
        <v>166</v>
      </c>
      <c r="E8" s="15" t="s">
        <v>166</v>
      </c>
      <c r="F8" s="15" t="s">
        <v>166</v>
      </c>
      <c r="G8" s="15" t="s">
        <v>166</v>
      </c>
      <c r="H8" s="15" t="s">
        <v>166</v>
      </c>
      <c r="I8" s="15" t="s">
        <v>166</v>
      </c>
      <c r="J8" s="14" t="s">
        <v>81</v>
      </c>
      <c r="K8" s="13" t="s">
        <v>167</v>
      </c>
      <c r="L8" s="15" t="s">
        <v>166</v>
      </c>
      <c r="M8" s="15" t="s">
        <v>166</v>
      </c>
      <c r="N8" s="15" t="s">
        <v>166</v>
      </c>
      <c r="O8" s="15" t="s">
        <v>166</v>
      </c>
      <c r="P8" s="15" t="s">
        <v>166</v>
      </c>
      <c r="Q8" s="13" t="s">
        <v>168</v>
      </c>
      <c r="R8" s="15" t="s">
        <v>166</v>
      </c>
      <c r="S8" s="15" t="s">
        <v>166</v>
      </c>
      <c r="T8" s="4" t="n">
        <f aca="false">COUNTIF(C8:S8,"Propio*")</f>
        <v>2</v>
      </c>
      <c r="U8" s="4" t="n">
        <f aca="false">COUNTIF(C8:S8,"Sin verificar")</f>
        <v>13</v>
      </c>
      <c r="V8" s="4" t="n">
        <f aca="false">1+T8</f>
        <v>3</v>
      </c>
      <c r="W8" s="4" t="s">
        <v>169</v>
      </c>
      <c r="X8" s="4" t="s">
        <v>170</v>
      </c>
      <c r="Y8" s="4" t="s">
        <v>171</v>
      </c>
    </row>
    <row r="9" customFormat="false" ht="135.8" hidden="false" customHeight="false" outlineLevel="0" collapsed="false">
      <c r="A9" s="4" t="s">
        <v>172</v>
      </c>
      <c r="B9" s="4" t="s">
        <v>173</v>
      </c>
      <c r="C9" s="13" t="s">
        <v>174</v>
      </c>
      <c r="D9" s="13" t="s">
        <v>175</v>
      </c>
      <c r="E9" s="13" t="s">
        <v>176</v>
      </c>
      <c r="F9" s="13" t="s">
        <v>177</v>
      </c>
      <c r="G9" s="15" t="s">
        <v>166</v>
      </c>
      <c r="H9" s="13" t="s">
        <v>178</v>
      </c>
      <c r="I9" s="13" t="s">
        <v>179</v>
      </c>
      <c r="J9" s="13" t="s">
        <v>180</v>
      </c>
      <c r="K9" s="13" t="s">
        <v>181</v>
      </c>
      <c r="L9" s="15" t="s">
        <v>166</v>
      </c>
      <c r="M9" s="15" t="s">
        <v>166</v>
      </c>
      <c r="N9" s="13" t="s">
        <v>182</v>
      </c>
      <c r="O9" s="15" t="s">
        <v>166</v>
      </c>
      <c r="P9" s="13" t="s">
        <v>183</v>
      </c>
      <c r="Q9" s="14" t="s">
        <v>81</v>
      </c>
      <c r="R9" s="13" t="s">
        <v>184</v>
      </c>
      <c r="S9" s="13" t="s">
        <v>185</v>
      </c>
      <c r="T9" s="4" t="n">
        <f aca="false">COUNTIF(C9:S9,"Propio*")</f>
        <v>12</v>
      </c>
      <c r="U9" s="4" t="n">
        <f aca="false">COUNTIF(C9:S9,"Sin verificar")</f>
        <v>4</v>
      </c>
      <c r="V9" s="4" t="n">
        <f aca="false">1+T9</f>
        <v>13</v>
      </c>
      <c r="W9" s="4" t="s">
        <v>186</v>
      </c>
      <c r="X9" s="4" t="s">
        <v>187</v>
      </c>
      <c r="Y9" s="4" t="s">
        <v>188</v>
      </c>
    </row>
    <row r="10" customFormat="false" ht="431.3" hidden="false" customHeight="false" outlineLevel="0" collapsed="false">
      <c r="A10" s="4" t="s">
        <v>189</v>
      </c>
      <c r="B10" s="4" t="s">
        <v>190</v>
      </c>
      <c r="C10" s="13" t="s">
        <v>191</v>
      </c>
      <c r="D10" s="15" t="s">
        <v>166</v>
      </c>
      <c r="E10" s="15" t="s">
        <v>166</v>
      </c>
      <c r="F10" s="13" t="s">
        <v>192</v>
      </c>
      <c r="G10" s="15" t="s">
        <v>166</v>
      </c>
      <c r="H10" s="15" t="s">
        <v>166</v>
      </c>
      <c r="I10" s="15" t="s">
        <v>166</v>
      </c>
      <c r="J10" s="15" t="s">
        <v>166</v>
      </c>
      <c r="K10" s="13" t="s">
        <v>193</v>
      </c>
      <c r="L10" s="13" t="s">
        <v>194</v>
      </c>
      <c r="M10" s="15" t="s">
        <v>166</v>
      </c>
      <c r="N10" s="13" t="s">
        <v>195</v>
      </c>
      <c r="O10" s="13" t="s">
        <v>196</v>
      </c>
      <c r="P10" s="15" t="s">
        <v>166</v>
      </c>
      <c r="Q10" s="15" t="s">
        <v>166</v>
      </c>
      <c r="R10" s="13" t="s">
        <v>197</v>
      </c>
      <c r="S10" s="15" t="s">
        <v>166</v>
      </c>
      <c r="T10" s="4" t="n">
        <f aca="false">COUNTIF(C10:S10,"Propio*")</f>
        <v>7</v>
      </c>
      <c r="U10" s="4" t="n">
        <f aca="false">COUNTIF(C10:S10,"Sin verificar")</f>
        <v>10</v>
      </c>
      <c r="V10" s="4" t="n">
        <f aca="false">2+T10</f>
        <v>9</v>
      </c>
      <c r="W10" s="4" t="s">
        <v>198</v>
      </c>
      <c r="X10" s="4" t="s">
        <v>199</v>
      </c>
      <c r="Y10" s="4" t="s">
        <v>200</v>
      </c>
    </row>
    <row r="11" customFormat="false" ht="552.2" hidden="false" customHeight="false" outlineLevel="0" collapsed="false">
      <c r="A11" s="4" t="s">
        <v>201</v>
      </c>
      <c r="B11" s="4" t="s">
        <v>202</v>
      </c>
      <c r="C11" s="13" t="s">
        <v>203</v>
      </c>
      <c r="D11" s="13" t="s">
        <v>204</v>
      </c>
      <c r="E11" s="15" t="s">
        <v>166</v>
      </c>
      <c r="F11" s="13" t="s">
        <v>192</v>
      </c>
      <c r="G11" s="15" t="s">
        <v>166</v>
      </c>
      <c r="H11" s="15" t="s">
        <v>166</v>
      </c>
      <c r="I11" s="13" t="s">
        <v>205</v>
      </c>
      <c r="J11" s="15" t="s">
        <v>166</v>
      </c>
      <c r="K11" s="13" t="s">
        <v>206</v>
      </c>
      <c r="L11" s="14" t="s">
        <v>81</v>
      </c>
      <c r="M11" s="15" t="s">
        <v>166</v>
      </c>
      <c r="N11" s="13" t="s">
        <v>207</v>
      </c>
      <c r="O11" s="13" t="s">
        <v>208</v>
      </c>
      <c r="P11" s="13" t="s">
        <v>209</v>
      </c>
      <c r="Q11" s="15" t="s">
        <v>166</v>
      </c>
      <c r="R11" s="13" t="s">
        <v>210</v>
      </c>
      <c r="S11" s="15" t="s">
        <v>166</v>
      </c>
      <c r="T11" s="4" t="n">
        <f aca="false">COUNTIF(C11:S11,"Propio*")</f>
        <v>9</v>
      </c>
      <c r="U11" s="4" t="n">
        <f aca="false">COUNTIF(C11:S11,"Sin verificar")</f>
        <v>7</v>
      </c>
      <c r="V11" s="4" t="n">
        <f aca="false">1+T11</f>
        <v>10</v>
      </c>
      <c r="W11" s="4" t="s">
        <v>211</v>
      </c>
      <c r="X11" s="4" t="s">
        <v>212</v>
      </c>
      <c r="Y11" s="4" t="s">
        <v>213</v>
      </c>
    </row>
    <row r="12" customFormat="false" ht="605.95" hidden="false" customHeight="false" outlineLevel="0" collapsed="false">
      <c r="A12" s="4" t="s">
        <v>214</v>
      </c>
      <c r="B12" s="4" t="s">
        <v>215</v>
      </c>
      <c r="C12" s="14" t="s">
        <v>81</v>
      </c>
      <c r="D12" s="13" t="s">
        <v>216</v>
      </c>
      <c r="E12" s="13" t="s">
        <v>217</v>
      </c>
      <c r="F12" s="15" t="s">
        <v>166</v>
      </c>
      <c r="G12" s="13" t="s">
        <v>218</v>
      </c>
      <c r="H12" s="15" t="s">
        <v>166</v>
      </c>
      <c r="I12" s="13" t="s">
        <v>219</v>
      </c>
      <c r="J12" s="15" t="s">
        <v>166</v>
      </c>
      <c r="K12" s="13" t="s">
        <v>220</v>
      </c>
      <c r="L12" s="13" t="s">
        <v>221</v>
      </c>
      <c r="M12" s="15" t="s">
        <v>166</v>
      </c>
      <c r="N12" s="13" t="s">
        <v>222</v>
      </c>
      <c r="O12" s="15" t="s">
        <v>166</v>
      </c>
      <c r="P12" s="13" t="s">
        <v>223</v>
      </c>
      <c r="Q12" s="15" t="s">
        <v>166</v>
      </c>
      <c r="R12" s="15" t="s">
        <v>166</v>
      </c>
      <c r="S12" s="15" t="s">
        <v>166</v>
      </c>
      <c r="T12" s="4" t="n">
        <f aca="false">COUNTIF(C12:S12,"Propio*")</f>
        <v>8</v>
      </c>
      <c r="U12" s="4" t="n">
        <f aca="false">COUNTIF(C12:S12,"Sin verificar")</f>
        <v>8</v>
      </c>
      <c r="V12" s="4" t="n">
        <f aca="false">2+T12</f>
        <v>10</v>
      </c>
      <c r="W12" s="4" t="s">
        <v>224</v>
      </c>
      <c r="X12" s="4" t="s">
        <v>225</v>
      </c>
      <c r="Y12" s="4" t="s">
        <v>226</v>
      </c>
    </row>
    <row r="13" customFormat="false" ht="511.9" hidden="false" customHeight="false" outlineLevel="0" collapsed="false">
      <c r="A13" s="4" t="s">
        <v>227</v>
      </c>
      <c r="B13" s="4" t="s">
        <v>228</v>
      </c>
      <c r="C13" s="13" t="s">
        <v>229</v>
      </c>
      <c r="D13" s="14" t="s">
        <v>81</v>
      </c>
      <c r="E13" s="13" t="s">
        <v>230</v>
      </c>
      <c r="F13" s="13" t="s">
        <v>231</v>
      </c>
      <c r="G13" s="14" t="s">
        <v>81</v>
      </c>
      <c r="H13" s="15" t="s">
        <v>166</v>
      </c>
      <c r="I13" s="15" t="s">
        <v>166</v>
      </c>
      <c r="J13" s="13" t="s">
        <v>232</v>
      </c>
      <c r="K13" s="13" t="s">
        <v>233</v>
      </c>
      <c r="L13" s="13" t="s">
        <v>234</v>
      </c>
      <c r="M13" s="13" t="s">
        <v>235</v>
      </c>
      <c r="N13" s="13" t="s">
        <v>236</v>
      </c>
      <c r="O13" s="13" t="s">
        <v>237</v>
      </c>
      <c r="P13" s="14" t="s">
        <v>81</v>
      </c>
      <c r="Q13" s="14" t="s">
        <v>81</v>
      </c>
      <c r="R13" s="13" t="s">
        <v>238</v>
      </c>
      <c r="S13" s="14" t="s">
        <v>81</v>
      </c>
      <c r="T13" s="4" t="n">
        <f aca="false">COUNTIF(C13:S13,"Propio*")</f>
        <v>10</v>
      </c>
      <c r="U13" s="4" t="n">
        <f aca="false">COUNTIF(C13:S13,"Sin verificar")</f>
        <v>2</v>
      </c>
      <c r="V13" s="4" t="n">
        <f aca="false">1+T13</f>
        <v>11</v>
      </c>
      <c r="W13" s="4" t="s">
        <v>239</v>
      </c>
      <c r="X13" s="4" t="s">
        <v>240</v>
      </c>
      <c r="Y13" s="4" t="s">
        <v>241</v>
      </c>
    </row>
    <row r="14" customFormat="false" ht="283.55" hidden="false" customHeight="false" outlineLevel="0" collapsed="false">
      <c r="A14" s="4" t="s">
        <v>242</v>
      </c>
      <c r="B14" s="4" t="s">
        <v>243</v>
      </c>
      <c r="C14" s="15" t="s">
        <v>166</v>
      </c>
      <c r="D14" s="14" t="s">
        <v>99</v>
      </c>
      <c r="E14" s="14" t="s">
        <v>99</v>
      </c>
      <c r="F14" s="15" t="s">
        <v>166</v>
      </c>
      <c r="G14" s="14" t="s">
        <v>137</v>
      </c>
      <c r="H14" s="14" t="s">
        <v>99</v>
      </c>
      <c r="I14" s="14" t="s">
        <v>99</v>
      </c>
      <c r="J14" s="14" t="s">
        <v>99</v>
      </c>
      <c r="K14" s="14" t="s">
        <v>81</v>
      </c>
      <c r="L14" s="13" t="s">
        <v>244</v>
      </c>
      <c r="M14" s="14" t="s">
        <v>99</v>
      </c>
      <c r="N14" s="14" t="s">
        <v>99</v>
      </c>
      <c r="O14" s="15" t="s">
        <v>166</v>
      </c>
      <c r="P14" s="14" t="s">
        <v>99</v>
      </c>
      <c r="Q14" s="14" t="s">
        <v>99</v>
      </c>
      <c r="R14" s="14" t="s">
        <v>137</v>
      </c>
      <c r="S14" s="14" t="s">
        <v>99</v>
      </c>
      <c r="T14" s="4" t="n">
        <f aca="false">COUNTIF(C14:S14,"Propio*")</f>
        <v>1</v>
      </c>
      <c r="U14" s="4" t="n">
        <f aca="false">COUNTIF(C14:S14,"Sin verificar")</f>
        <v>3</v>
      </c>
      <c r="V14" s="4" t="n">
        <f aca="false">1+T14</f>
        <v>2</v>
      </c>
      <c r="W14" s="4" t="s">
        <v>245</v>
      </c>
      <c r="X14" s="4" t="s">
        <v>246</v>
      </c>
      <c r="Y14" s="4" t="s">
        <v>247</v>
      </c>
    </row>
    <row r="15" customFormat="false" ht="350.7" hidden="false" customHeight="false" outlineLevel="0" collapsed="false">
      <c r="A15" s="4" t="s">
        <v>248</v>
      </c>
      <c r="B15" s="4" t="s">
        <v>249</v>
      </c>
      <c r="C15" s="14" t="s">
        <v>81</v>
      </c>
      <c r="D15" s="14" t="s">
        <v>81</v>
      </c>
      <c r="E15" s="14" t="s">
        <v>81</v>
      </c>
      <c r="F15" s="13" t="s">
        <v>250</v>
      </c>
      <c r="G15" s="14" t="s">
        <v>81</v>
      </c>
      <c r="H15" s="14" t="s">
        <v>81</v>
      </c>
      <c r="I15" s="14" t="s">
        <v>81</v>
      </c>
      <c r="J15" s="14" t="s">
        <v>81</v>
      </c>
      <c r="K15" s="13" t="s">
        <v>251</v>
      </c>
      <c r="L15" s="14" t="s">
        <v>81</v>
      </c>
      <c r="M15" s="14" t="s">
        <v>81</v>
      </c>
      <c r="N15" s="14" t="s">
        <v>81</v>
      </c>
      <c r="O15" s="14" t="s">
        <v>81</v>
      </c>
      <c r="P15" s="14" t="s">
        <v>81</v>
      </c>
      <c r="Q15" s="13" t="s">
        <v>252</v>
      </c>
      <c r="R15" s="13" t="s">
        <v>253</v>
      </c>
      <c r="S15" s="14" t="s">
        <v>81</v>
      </c>
      <c r="T15" s="4" t="n">
        <f aca="false">COUNTIF(C15:S15,"Propio*")</f>
        <v>4</v>
      </c>
      <c r="U15" s="4" t="n">
        <f aca="false">COUNTIF(C15:S15,"Sin verificar")</f>
        <v>0</v>
      </c>
      <c r="V15" s="4" t="n">
        <f aca="false">1+T15</f>
        <v>5</v>
      </c>
      <c r="W15" s="4" t="s">
        <v>254</v>
      </c>
      <c r="X15" s="4" t="s">
        <v>255</v>
      </c>
      <c r="Y15" s="4" t="s">
        <v>256</v>
      </c>
    </row>
    <row r="16" customFormat="false" ht="202.95" hidden="false" customHeight="false" outlineLevel="0" collapsed="false">
      <c r="A16" s="4" t="s">
        <v>257</v>
      </c>
      <c r="B16" s="4" t="s">
        <v>258</v>
      </c>
      <c r="C16" s="13" t="s">
        <v>259</v>
      </c>
      <c r="D16" s="15" t="s">
        <v>166</v>
      </c>
      <c r="E16" s="13" t="s">
        <v>260</v>
      </c>
      <c r="F16" s="15" t="s">
        <v>166</v>
      </c>
      <c r="G16" s="15" t="s">
        <v>166</v>
      </c>
      <c r="H16" s="15" t="s">
        <v>166</v>
      </c>
      <c r="I16" s="15" t="s">
        <v>166</v>
      </c>
      <c r="J16" s="15" t="s">
        <v>166</v>
      </c>
      <c r="K16" s="13" t="s">
        <v>261</v>
      </c>
      <c r="L16" s="15" t="s">
        <v>166</v>
      </c>
      <c r="M16" s="13" t="s">
        <v>262</v>
      </c>
      <c r="N16" s="15" t="s">
        <v>166</v>
      </c>
      <c r="O16" s="15" t="s">
        <v>166</v>
      </c>
      <c r="P16" s="15" t="s">
        <v>166</v>
      </c>
      <c r="Q16" s="15" t="s">
        <v>166</v>
      </c>
      <c r="R16" s="13" t="s">
        <v>263</v>
      </c>
      <c r="S16" s="15" t="s">
        <v>166</v>
      </c>
      <c r="T16" s="4" t="n">
        <f aca="false">COUNTIF(C16:S16,"Propio*")</f>
        <v>5</v>
      </c>
      <c r="U16" s="4" t="n">
        <f aca="false">COUNTIF(C16:S16,"Sin verificar")</f>
        <v>12</v>
      </c>
      <c r="V16" s="4" t="n">
        <f aca="false">1+T16</f>
        <v>6</v>
      </c>
      <c r="W16" s="4" t="s">
        <v>264</v>
      </c>
      <c r="X16" s="4" t="s">
        <v>265</v>
      </c>
      <c r="Y16" s="4" t="s">
        <v>266</v>
      </c>
    </row>
    <row r="17" customFormat="false" ht="310.4" hidden="false" customHeight="false" outlineLevel="0" collapsed="false">
      <c r="A17" s="4" t="s">
        <v>267</v>
      </c>
      <c r="B17" s="4" t="s">
        <v>268</v>
      </c>
      <c r="C17" s="13" t="s">
        <v>269</v>
      </c>
      <c r="D17" s="13" t="s">
        <v>270</v>
      </c>
      <c r="E17" s="13" t="s">
        <v>271</v>
      </c>
      <c r="F17" s="13" t="s">
        <v>272</v>
      </c>
      <c r="G17" s="13" t="s">
        <v>273</v>
      </c>
      <c r="H17" s="13" t="s">
        <v>274</v>
      </c>
      <c r="I17" s="14" t="s">
        <v>81</v>
      </c>
      <c r="J17" s="14" t="s">
        <v>81</v>
      </c>
      <c r="K17" s="14" t="s">
        <v>81</v>
      </c>
      <c r="L17" s="13" t="s">
        <v>275</v>
      </c>
      <c r="M17" s="14" t="s">
        <v>81</v>
      </c>
      <c r="N17" s="13" t="s">
        <v>276</v>
      </c>
      <c r="O17" s="13" t="s">
        <v>277</v>
      </c>
      <c r="P17" s="13" t="s">
        <v>278</v>
      </c>
      <c r="Q17" s="13" t="s">
        <v>252</v>
      </c>
      <c r="R17" s="13" t="s">
        <v>279</v>
      </c>
      <c r="S17" s="14" t="s">
        <v>81</v>
      </c>
      <c r="T17" s="4" t="n">
        <f aca="false">COUNTIF(C17:S17,"Propio*")</f>
        <v>12</v>
      </c>
      <c r="U17" s="4" t="n">
        <f aca="false">COUNTIF(C17:S17,"Sin verificar")</f>
        <v>0</v>
      </c>
      <c r="V17" s="4" t="n">
        <f aca="false">1+T17</f>
        <v>13</v>
      </c>
      <c r="W17" s="4" t="s">
        <v>280</v>
      </c>
      <c r="X17" s="4" t="s">
        <v>281</v>
      </c>
      <c r="Y17" s="4" t="s">
        <v>282</v>
      </c>
    </row>
    <row r="18" customFormat="false" ht="377.6" hidden="false" customHeight="false" outlineLevel="0" collapsed="false">
      <c r="A18" s="4" t="s">
        <v>283</v>
      </c>
      <c r="B18" s="4" t="s">
        <v>284</v>
      </c>
      <c r="C18" s="13" t="s">
        <v>285</v>
      </c>
      <c r="D18" s="15" t="s">
        <v>166</v>
      </c>
      <c r="E18" s="13" t="s">
        <v>286</v>
      </c>
      <c r="F18" s="13" t="s">
        <v>287</v>
      </c>
      <c r="G18" s="13" t="s">
        <v>288</v>
      </c>
      <c r="H18" s="13" t="s">
        <v>289</v>
      </c>
      <c r="I18" s="15" t="s">
        <v>166</v>
      </c>
      <c r="J18" s="14" t="s">
        <v>81</v>
      </c>
      <c r="K18" s="13" t="s">
        <v>290</v>
      </c>
      <c r="L18" s="13" t="s">
        <v>291</v>
      </c>
      <c r="M18" s="15" t="s">
        <v>166</v>
      </c>
      <c r="N18" s="13" t="s">
        <v>292</v>
      </c>
      <c r="O18" s="13" t="s">
        <v>293</v>
      </c>
      <c r="P18" s="15" t="s">
        <v>166</v>
      </c>
      <c r="Q18" s="14" t="s">
        <v>81</v>
      </c>
      <c r="R18" s="15" t="s">
        <v>166</v>
      </c>
      <c r="S18" s="15" t="s">
        <v>166</v>
      </c>
      <c r="T18" s="4" t="n">
        <f aca="false">COUNTIF(C18:S18,"Propio*")</f>
        <v>9</v>
      </c>
      <c r="U18" s="4" t="n">
        <f aca="false">COUNTIF(C18:S18,"Sin verificar")</f>
        <v>6</v>
      </c>
      <c r="V18" s="4" t="n">
        <f aca="false">0+T18</f>
        <v>9</v>
      </c>
      <c r="W18" s="4" t="s">
        <v>294</v>
      </c>
      <c r="X18" s="4" t="s">
        <v>295</v>
      </c>
      <c r="Y18" s="4" t="s">
        <v>296</v>
      </c>
    </row>
    <row r="19" customFormat="false" ht="364.15" hidden="false" customHeight="false" outlineLevel="0" collapsed="false">
      <c r="A19" s="4" t="s">
        <v>297</v>
      </c>
      <c r="B19" s="4" t="s">
        <v>298</v>
      </c>
      <c r="C19" s="13" t="s">
        <v>299</v>
      </c>
      <c r="D19" s="13" t="s">
        <v>300</v>
      </c>
      <c r="E19" s="13" t="s">
        <v>301</v>
      </c>
      <c r="F19" s="13" t="s">
        <v>302</v>
      </c>
      <c r="G19" s="15" t="s">
        <v>166</v>
      </c>
      <c r="H19" s="13" t="s">
        <v>303</v>
      </c>
      <c r="I19" s="13" t="s">
        <v>304</v>
      </c>
      <c r="J19" s="13" t="s">
        <v>305</v>
      </c>
      <c r="K19" s="15" t="s">
        <v>166</v>
      </c>
      <c r="L19" s="13" t="s">
        <v>306</v>
      </c>
      <c r="M19" s="13" t="s">
        <v>307</v>
      </c>
      <c r="N19" s="13" t="s">
        <v>308</v>
      </c>
      <c r="O19" s="13" t="s">
        <v>309</v>
      </c>
      <c r="P19" s="13" t="s">
        <v>310</v>
      </c>
      <c r="Q19" s="15" t="s">
        <v>166</v>
      </c>
      <c r="R19" s="13" t="s">
        <v>311</v>
      </c>
      <c r="S19" s="13" t="s">
        <v>312</v>
      </c>
      <c r="T19" s="4" t="n">
        <f aca="false">COUNTIF(C19:S19,"Propio*")</f>
        <v>14</v>
      </c>
      <c r="U19" s="4" t="n">
        <f aca="false">COUNTIF(C19:S19,"Sin verificar")</f>
        <v>3</v>
      </c>
      <c r="V19" s="4" t="n">
        <f aca="false">1+T19</f>
        <v>15</v>
      </c>
      <c r="W19" s="4" t="s">
        <v>313</v>
      </c>
      <c r="X19" s="4" t="s">
        <v>314</v>
      </c>
      <c r="Y19" s="4" t="s">
        <v>315</v>
      </c>
    </row>
    <row r="20" customFormat="false" ht="552.2" hidden="false" customHeight="false" outlineLevel="0" collapsed="false">
      <c r="A20" s="4" t="s">
        <v>316</v>
      </c>
      <c r="B20" s="4" t="s">
        <v>317</v>
      </c>
      <c r="C20" s="13" t="s">
        <v>318</v>
      </c>
      <c r="D20" s="13" t="s">
        <v>319</v>
      </c>
      <c r="E20" s="13" t="s">
        <v>320</v>
      </c>
      <c r="F20" s="15" t="s">
        <v>166</v>
      </c>
      <c r="G20" s="15" t="s">
        <v>166</v>
      </c>
      <c r="H20" s="13" t="s">
        <v>321</v>
      </c>
      <c r="I20" s="13" t="s">
        <v>322</v>
      </c>
      <c r="J20" s="13" t="s">
        <v>323</v>
      </c>
      <c r="K20" s="15" t="s">
        <v>166</v>
      </c>
      <c r="L20" s="15" t="s">
        <v>166</v>
      </c>
      <c r="M20" s="13" t="s">
        <v>324</v>
      </c>
      <c r="N20" s="13" t="s">
        <v>325</v>
      </c>
      <c r="O20" s="13" t="s">
        <v>326</v>
      </c>
      <c r="P20" s="15" t="s">
        <v>166</v>
      </c>
      <c r="Q20" s="13" t="s">
        <v>327</v>
      </c>
      <c r="R20" s="15" t="s">
        <v>166</v>
      </c>
      <c r="S20" s="13" t="s">
        <v>328</v>
      </c>
      <c r="T20" s="4" t="n">
        <f aca="false">COUNTIF(C20:S20,"Propio*")</f>
        <v>11</v>
      </c>
      <c r="U20" s="4" t="n">
        <f aca="false">COUNTIF(C20:S20,"Sin verificar")</f>
        <v>6</v>
      </c>
      <c r="V20" s="4" t="n">
        <f aca="false">1+T20</f>
        <v>12</v>
      </c>
      <c r="W20" s="4" t="s">
        <v>329</v>
      </c>
      <c r="X20" s="4" t="s">
        <v>330</v>
      </c>
      <c r="Y20" s="4" t="s">
        <v>331</v>
      </c>
    </row>
    <row r="21" customFormat="false" ht="673.1" hidden="false" customHeight="false" outlineLevel="0" collapsed="false">
      <c r="A21" s="4" t="s">
        <v>332</v>
      </c>
      <c r="B21" s="4" t="s">
        <v>333</v>
      </c>
      <c r="C21" s="13" t="s">
        <v>334</v>
      </c>
      <c r="D21" s="13" t="s">
        <v>335</v>
      </c>
      <c r="E21" s="15" t="s">
        <v>166</v>
      </c>
      <c r="F21" s="13" t="s">
        <v>336</v>
      </c>
      <c r="G21" s="13" t="s">
        <v>337</v>
      </c>
      <c r="H21" s="13" t="s">
        <v>338</v>
      </c>
      <c r="I21" s="15" t="s">
        <v>166</v>
      </c>
      <c r="J21" s="13" t="s">
        <v>339</v>
      </c>
      <c r="K21" s="13" t="s">
        <v>340</v>
      </c>
      <c r="L21" s="15" t="s">
        <v>166</v>
      </c>
      <c r="M21" s="15" t="s">
        <v>166</v>
      </c>
      <c r="N21" s="13" t="s">
        <v>341</v>
      </c>
      <c r="O21" s="13" t="s">
        <v>342</v>
      </c>
      <c r="P21" s="13" t="s">
        <v>343</v>
      </c>
      <c r="Q21" s="15" t="s">
        <v>166</v>
      </c>
      <c r="R21" s="15" t="s">
        <v>166</v>
      </c>
      <c r="S21" s="15" t="s">
        <v>166</v>
      </c>
      <c r="T21" s="4" t="n">
        <f aca="false">COUNTIF(C21:S21,"Propio*")</f>
        <v>10</v>
      </c>
      <c r="U21" s="4" t="n">
        <f aca="false">COUNTIF(C21:S21,"Sin verificar")</f>
        <v>7</v>
      </c>
      <c r="V21" s="4" t="n">
        <f aca="false">1+T21</f>
        <v>11</v>
      </c>
      <c r="W21" s="4" t="s">
        <v>344</v>
      </c>
      <c r="X21" s="4" t="s">
        <v>345</v>
      </c>
      <c r="Y21" s="4" t="s">
        <v>346</v>
      </c>
    </row>
    <row r="22" customFormat="false" ht="337.3" hidden="false" customHeight="false" outlineLevel="0" collapsed="false">
      <c r="A22" s="4" t="s">
        <v>347</v>
      </c>
      <c r="B22" s="4" t="s">
        <v>121</v>
      </c>
      <c r="C22" s="13" t="s">
        <v>348</v>
      </c>
      <c r="D22" s="15" t="s">
        <v>166</v>
      </c>
      <c r="E22" s="15" t="s">
        <v>166</v>
      </c>
      <c r="F22" s="15" t="s">
        <v>166</v>
      </c>
      <c r="G22" s="15" t="s">
        <v>166</v>
      </c>
      <c r="H22" s="15" t="s">
        <v>166</v>
      </c>
      <c r="I22" s="15" t="s">
        <v>166</v>
      </c>
      <c r="J22" s="15" t="s">
        <v>166</v>
      </c>
      <c r="K22" s="13" t="s">
        <v>349</v>
      </c>
      <c r="L22" s="13" t="s">
        <v>350</v>
      </c>
      <c r="M22" s="15" t="s">
        <v>166</v>
      </c>
      <c r="N22" s="15" t="s">
        <v>166</v>
      </c>
      <c r="O22" s="14" t="s">
        <v>81</v>
      </c>
      <c r="P22" s="15" t="s">
        <v>166</v>
      </c>
      <c r="Q22" s="14" t="s">
        <v>81</v>
      </c>
      <c r="R22" s="15" t="s">
        <v>166</v>
      </c>
      <c r="S22" s="15" t="s">
        <v>166</v>
      </c>
      <c r="T22" s="4" t="n">
        <f aca="false">COUNTIF(C22:S22,"Propio*")</f>
        <v>3</v>
      </c>
      <c r="U22" s="4" t="n">
        <f aca="false">COUNTIF(C22:S22,"Sin verificar")</f>
        <v>12</v>
      </c>
      <c r="V22" s="4" t="n">
        <f aca="false">1+T22</f>
        <v>4</v>
      </c>
      <c r="W22" s="4" t="s">
        <v>351</v>
      </c>
      <c r="X22" s="4" t="s">
        <v>352</v>
      </c>
      <c r="Y22" s="4" t="s">
        <v>353</v>
      </c>
    </row>
    <row r="24" customFormat="false" ht="45" hidden="false" customHeight="true" outlineLevel="0" collapsed="false">
      <c r="A24" s="2" t="s">
        <v>354</v>
      </c>
      <c r="B24" s="2"/>
      <c r="C24" s="2"/>
      <c r="D24" s="2"/>
      <c r="E24" s="2"/>
      <c r="F24" s="2"/>
      <c r="G24" s="2"/>
      <c r="H24" s="2"/>
      <c r="I24" s="2"/>
      <c r="J24" s="2"/>
    </row>
  </sheetData>
  <autoFilter ref="A1:Y22"/>
  <mergeCells count="1">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S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79" min="74" style="0" width="16"/>
    <col collapsed="false" customWidth="true" hidden="false" outlineLevel="0" max="82" min="80" style="0" width="44"/>
    <col collapsed="false" customWidth="true" hidden="false" outlineLevel="0" max="93" min="83" style="0" width="16"/>
    <col collapsed="false" customWidth="true" hidden="false" outlineLevel="0" max="95" min="94" style="0" width="44"/>
    <col collapsed="false" customWidth="true" hidden="false" outlineLevel="0" max="96" min="96" style="0" width="16"/>
    <col collapsed="false" customWidth="true" hidden="false" outlineLevel="0" max="97" min="97" style="0" width="44"/>
  </cols>
  <sheetData>
    <row r="1" customFormat="false" ht="95.5" hidden="false" customHeight="false" outlineLevel="0" collapsed="false">
      <c r="A1" s="16" t="s">
        <v>355</v>
      </c>
      <c r="B1" s="16" t="s">
        <v>356</v>
      </c>
      <c r="C1" s="16" t="s">
        <v>357</v>
      </c>
      <c r="D1" s="16" t="s">
        <v>358</v>
      </c>
      <c r="E1" s="16" t="s">
        <v>359</v>
      </c>
      <c r="F1" s="16" t="s">
        <v>360</v>
      </c>
      <c r="G1" s="16" t="s">
        <v>361</v>
      </c>
      <c r="H1" s="16" t="s">
        <v>362</v>
      </c>
      <c r="I1" s="16" t="s">
        <v>363</v>
      </c>
      <c r="J1" s="16" t="s">
        <v>364</v>
      </c>
      <c r="K1" s="16" t="s">
        <v>365</v>
      </c>
      <c r="L1" s="16" t="s">
        <v>366</v>
      </c>
      <c r="M1" s="16" t="s">
        <v>367</v>
      </c>
      <c r="N1" s="16" t="s">
        <v>368</v>
      </c>
      <c r="O1" s="16" t="s">
        <v>369</v>
      </c>
      <c r="P1" s="16" t="s">
        <v>370</v>
      </c>
      <c r="Q1" s="16" t="s">
        <v>371</v>
      </c>
      <c r="R1" s="16" t="s">
        <v>372</v>
      </c>
      <c r="S1" s="16" t="s">
        <v>373</v>
      </c>
      <c r="T1" s="16" t="s">
        <v>374</v>
      </c>
      <c r="U1" s="16" t="s">
        <v>375</v>
      </c>
      <c r="V1" s="16" t="s">
        <v>376</v>
      </c>
      <c r="W1" s="16" t="s">
        <v>377</v>
      </c>
      <c r="X1" s="16" t="s">
        <v>378</v>
      </c>
      <c r="Y1" s="16" t="s">
        <v>379</v>
      </c>
      <c r="Z1" s="16" t="s">
        <v>380</v>
      </c>
      <c r="AA1" s="16" t="s">
        <v>381</v>
      </c>
      <c r="AB1" s="16" t="s">
        <v>382</v>
      </c>
      <c r="AC1" s="16" t="s">
        <v>383</v>
      </c>
      <c r="AD1" s="16" t="s">
        <v>384</v>
      </c>
      <c r="AE1" s="16" t="s">
        <v>385</v>
      </c>
      <c r="AF1" s="16" t="s">
        <v>386</v>
      </c>
      <c r="AG1" s="16" t="s">
        <v>387</v>
      </c>
      <c r="AH1" s="16" t="s">
        <v>388</v>
      </c>
      <c r="AI1" s="16" t="s">
        <v>389</v>
      </c>
      <c r="AJ1" s="16" t="s">
        <v>390</v>
      </c>
      <c r="AK1" s="16" t="s">
        <v>391</v>
      </c>
      <c r="AL1" s="16" t="s">
        <v>392</v>
      </c>
      <c r="AM1" s="16" t="s">
        <v>393</v>
      </c>
      <c r="AN1" s="16" t="s">
        <v>394</v>
      </c>
      <c r="AO1" s="16" t="s">
        <v>395</v>
      </c>
      <c r="AP1" s="16" t="s">
        <v>396</v>
      </c>
      <c r="AQ1" s="16" t="s">
        <v>397</v>
      </c>
      <c r="AR1" s="16" t="s">
        <v>398</v>
      </c>
      <c r="AS1" s="16" t="s">
        <v>399</v>
      </c>
      <c r="AT1" s="16" t="s">
        <v>400</v>
      </c>
      <c r="AU1" s="16" t="s">
        <v>401</v>
      </c>
      <c r="AV1" s="16" t="s">
        <v>402</v>
      </c>
      <c r="AW1" s="16" t="s">
        <v>403</v>
      </c>
      <c r="AX1" s="16" t="s">
        <v>16</v>
      </c>
      <c r="AY1" s="16" t="s">
        <v>404</v>
      </c>
      <c r="AZ1" s="16" t="s">
        <v>405</v>
      </c>
      <c r="BA1" s="16" t="s">
        <v>406</v>
      </c>
      <c r="BB1" s="16" t="s">
        <v>407</v>
      </c>
      <c r="BC1" s="16" t="s">
        <v>408</v>
      </c>
      <c r="BD1" s="16" t="s">
        <v>409</v>
      </c>
      <c r="BE1" s="16" t="s">
        <v>410</v>
      </c>
      <c r="BF1" s="16" t="s">
        <v>411</v>
      </c>
      <c r="BG1" s="16" t="s">
        <v>412</v>
      </c>
      <c r="BH1" s="16" t="s">
        <v>413</v>
      </c>
      <c r="BI1" s="16" t="s">
        <v>414</v>
      </c>
      <c r="BJ1" s="16" t="s">
        <v>415</v>
      </c>
      <c r="BK1" s="16" t="s">
        <v>416</v>
      </c>
      <c r="BL1" s="16" t="s">
        <v>417</v>
      </c>
      <c r="BM1" s="16" t="s">
        <v>418</v>
      </c>
      <c r="BN1" s="16" t="s">
        <v>419</v>
      </c>
      <c r="BO1" s="16" t="s">
        <v>420</v>
      </c>
      <c r="BP1" s="16" t="s">
        <v>421</v>
      </c>
      <c r="BQ1" s="16" t="s">
        <v>422</v>
      </c>
      <c r="BR1" s="16" t="s">
        <v>423</v>
      </c>
      <c r="BS1" s="16" t="s">
        <v>424</v>
      </c>
      <c r="BT1" s="16" t="s">
        <v>425</v>
      </c>
      <c r="BU1" s="16" t="s">
        <v>426</v>
      </c>
      <c r="BV1" s="16" t="s">
        <v>427</v>
      </c>
      <c r="BW1" s="16" t="s">
        <v>428</v>
      </c>
      <c r="BX1" s="16" t="s">
        <v>429</v>
      </c>
      <c r="BY1" s="16" t="s">
        <v>430</v>
      </c>
      <c r="BZ1" s="16" t="s">
        <v>431</v>
      </c>
      <c r="CA1" s="16" t="s">
        <v>432</v>
      </c>
      <c r="CB1" s="16" t="s">
        <v>433</v>
      </c>
      <c r="CC1" s="16" t="s">
        <v>434</v>
      </c>
      <c r="CD1" s="16" t="s">
        <v>435</v>
      </c>
      <c r="CE1" s="16" t="s">
        <v>436</v>
      </c>
      <c r="CF1" s="16" t="s">
        <v>437</v>
      </c>
      <c r="CG1" s="16" t="s">
        <v>438</v>
      </c>
      <c r="CH1" s="16" t="s">
        <v>439</v>
      </c>
      <c r="CI1" s="16" t="s">
        <v>440</v>
      </c>
      <c r="CJ1" s="16" t="s">
        <v>441</v>
      </c>
      <c r="CK1" s="16" t="s">
        <v>442</v>
      </c>
      <c r="CL1" s="16" t="s">
        <v>443</v>
      </c>
      <c r="CM1" s="16" t="s">
        <v>444</v>
      </c>
      <c r="CN1" s="16" t="s">
        <v>445</v>
      </c>
      <c r="CO1" s="16" t="s">
        <v>446</v>
      </c>
      <c r="CP1" s="16" t="s">
        <v>447</v>
      </c>
      <c r="CQ1" s="16" t="s">
        <v>448</v>
      </c>
      <c r="CR1" s="16" t="s">
        <v>449</v>
      </c>
      <c r="CS1" s="16" t="s">
        <v>450</v>
      </c>
    </row>
    <row r="2" customFormat="false" ht="283.55" hidden="false" customHeight="false" outlineLevel="0" collapsed="false">
      <c r="A2" s="4" t="n">
        <v>1</v>
      </c>
      <c r="B2" s="4" t="s">
        <v>451</v>
      </c>
      <c r="C2" s="4" t="s">
        <v>452</v>
      </c>
      <c r="D2" s="4" t="s">
        <v>453</v>
      </c>
      <c r="E2" s="4" t="s">
        <v>454</v>
      </c>
      <c r="F2" s="4" t="s">
        <v>455</v>
      </c>
      <c r="G2" s="4" t="s">
        <v>456</v>
      </c>
      <c r="H2" s="4" t="s">
        <v>457</v>
      </c>
      <c r="I2" s="4" t="s">
        <v>458</v>
      </c>
      <c r="J2" s="4" t="s">
        <v>459</v>
      </c>
      <c r="K2" s="17"/>
      <c r="L2" s="4"/>
      <c r="M2" s="4"/>
      <c r="N2" s="4"/>
      <c r="O2" s="4" t="s">
        <v>460</v>
      </c>
      <c r="P2" s="7"/>
      <c r="Q2" s="7"/>
      <c r="R2" s="4" t="s">
        <v>461</v>
      </c>
      <c r="S2" s="4" t="s">
        <v>462</v>
      </c>
      <c r="T2" s="4" t="s">
        <v>463</v>
      </c>
      <c r="U2" s="4" t="s">
        <v>464</v>
      </c>
      <c r="V2" s="4" t="s">
        <v>465</v>
      </c>
      <c r="W2" s="4" t="s">
        <v>466</v>
      </c>
      <c r="X2" s="4" t="s">
        <v>467</v>
      </c>
      <c r="Y2" s="4" t="s">
        <v>468</v>
      </c>
      <c r="Z2" s="4" t="s">
        <v>469</v>
      </c>
      <c r="AA2" s="7"/>
      <c r="AB2" s="4"/>
      <c r="AC2" s="4"/>
      <c r="AD2" s="4"/>
      <c r="AE2" s="18" t="s">
        <v>470</v>
      </c>
      <c r="AF2" s="4" t="s">
        <v>471</v>
      </c>
      <c r="AG2" s="4"/>
      <c r="AH2" s="4"/>
      <c r="AI2" s="4" t="s">
        <v>472</v>
      </c>
      <c r="AJ2" s="4" t="s">
        <v>473</v>
      </c>
      <c r="AK2" s="4"/>
      <c r="AL2" s="7"/>
      <c r="AM2" s="4"/>
      <c r="AN2" s="4"/>
      <c r="AO2" s="4" t="s">
        <v>474</v>
      </c>
      <c r="AP2" s="4"/>
      <c r="AQ2" s="7"/>
      <c r="AR2" s="4"/>
      <c r="AS2" s="4"/>
      <c r="AT2" s="4"/>
      <c r="AU2" s="4"/>
      <c r="AV2" s="4" t="s">
        <v>475</v>
      </c>
      <c r="AW2" s="4" t="s">
        <v>476</v>
      </c>
      <c r="AX2" s="19"/>
      <c r="AY2" s="19"/>
      <c r="AZ2" s="19"/>
      <c r="BA2" s="19"/>
      <c r="BB2" s="19"/>
      <c r="BC2" s="4" t="s">
        <v>477</v>
      </c>
      <c r="BD2" s="4" t="s">
        <v>478</v>
      </c>
      <c r="BE2" s="4" t="s">
        <v>479</v>
      </c>
      <c r="BF2" s="4" t="s">
        <v>480</v>
      </c>
      <c r="BG2" s="4" t="s">
        <v>481</v>
      </c>
      <c r="BH2" s="4" t="s">
        <v>482</v>
      </c>
      <c r="BI2" s="7"/>
      <c r="BJ2" s="7"/>
      <c r="BK2" s="7"/>
      <c r="BL2" s="7"/>
      <c r="BM2" s="4"/>
      <c r="BN2" s="4"/>
      <c r="BO2" s="7"/>
      <c r="BP2" s="7"/>
      <c r="BQ2" s="7"/>
      <c r="BR2" s="7"/>
      <c r="BS2" s="7"/>
      <c r="BT2" s="7"/>
      <c r="BU2" s="7"/>
      <c r="BV2" s="20" t="s">
        <v>26</v>
      </c>
      <c r="BW2" s="20" t="s">
        <v>26</v>
      </c>
      <c r="BX2" s="20" t="s">
        <v>39</v>
      </c>
      <c r="BY2" s="20" t="s">
        <v>483</v>
      </c>
      <c r="BZ2" s="20" t="s">
        <v>484</v>
      </c>
      <c r="CA2" s="20" t="s">
        <v>485</v>
      </c>
      <c r="CB2" s="20" t="s">
        <v>486</v>
      </c>
      <c r="CC2" s="7"/>
      <c r="CD2" s="7"/>
      <c r="CE2" s="20" t="s">
        <v>164</v>
      </c>
      <c r="CF2" s="21" t="n">
        <v>3</v>
      </c>
      <c r="CG2" s="7"/>
      <c r="CH2" s="22" t="str">
        <f aca="false">IF(AND(ISNUMBER(BP2),ISNUMBER(AG2),AG2&gt;0),BP2*1000000/AG2,"")</f>
        <v/>
      </c>
      <c r="CI2" s="7"/>
      <c r="CJ2" s="7"/>
      <c r="CK2" s="7"/>
      <c r="CL2" s="7"/>
      <c r="CM2" s="7"/>
      <c r="CN2" s="7"/>
      <c r="CO2" s="7"/>
      <c r="CP2" s="7"/>
      <c r="CQ2" s="7"/>
      <c r="CR2" s="7"/>
      <c r="CS2" s="7"/>
    </row>
    <row r="3" customFormat="false" ht="538.8" hidden="false" customHeight="false" outlineLevel="0" collapsed="false">
      <c r="A3" s="4" t="n">
        <v>2</v>
      </c>
      <c r="B3" s="4" t="s">
        <v>451</v>
      </c>
      <c r="C3" s="4" t="s">
        <v>452</v>
      </c>
      <c r="D3" s="4" t="s">
        <v>453</v>
      </c>
      <c r="E3" s="4" t="s">
        <v>487</v>
      </c>
      <c r="F3" s="4" t="s">
        <v>488</v>
      </c>
      <c r="G3" s="4" t="s">
        <v>489</v>
      </c>
      <c r="H3" s="4" t="s">
        <v>490</v>
      </c>
      <c r="I3" s="4" t="s">
        <v>491</v>
      </c>
      <c r="J3" s="4" t="s">
        <v>492</v>
      </c>
      <c r="K3" s="17" t="n">
        <v>89.455</v>
      </c>
      <c r="L3" s="4" t="n">
        <v>2026</v>
      </c>
      <c r="M3" s="4" t="s">
        <v>4</v>
      </c>
      <c r="N3" s="4" t="s">
        <v>493</v>
      </c>
      <c r="O3" s="4" t="s">
        <v>494</v>
      </c>
      <c r="P3" s="7" t="n">
        <v>83.717</v>
      </c>
      <c r="Q3" s="7" t="n">
        <v>5.738</v>
      </c>
      <c r="R3" s="4" t="s">
        <v>495</v>
      </c>
      <c r="S3" s="4" t="s">
        <v>462</v>
      </c>
      <c r="T3" s="4" t="s">
        <v>496</v>
      </c>
      <c r="U3" s="23" t="s">
        <v>497</v>
      </c>
      <c r="V3" s="4" t="s">
        <v>498</v>
      </c>
      <c r="W3" s="4"/>
      <c r="X3" s="4" t="s">
        <v>499</v>
      </c>
      <c r="Y3" s="4"/>
      <c r="Z3" s="23" t="s">
        <v>500</v>
      </c>
      <c r="AA3" s="7"/>
      <c r="AB3" s="4"/>
      <c r="AC3" s="4"/>
      <c r="AD3" s="4"/>
      <c r="AE3" s="18" t="s">
        <v>470</v>
      </c>
      <c r="AF3" s="4" t="s">
        <v>471</v>
      </c>
      <c r="AG3" s="23" t="n">
        <v>346</v>
      </c>
      <c r="AH3" s="23" t="s">
        <v>501</v>
      </c>
      <c r="AI3" s="23" t="s">
        <v>502</v>
      </c>
      <c r="AJ3" s="23" t="s">
        <v>503</v>
      </c>
      <c r="AK3" s="23" t="s">
        <v>504</v>
      </c>
      <c r="AL3" s="7" t="n">
        <v>23.308</v>
      </c>
      <c r="AM3" s="4" t="n">
        <v>2026</v>
      </c>
      <c r="AN3" s="4" t="s">
        <v>505</v>
      </c>
      <c r="AO3" s="4" t="s">
        <v>506</v>
      </c>
      <c r="AP3" s="4" t="s">
        <v>507</v>
      </c>
      <c r="AQ3" s="7" t="n">
        <v>13.226</v>
      </c>
      <c r="AR3" s="4" t="n">
        <v>2026</v>
      </c>
      <c r="AS3" s="4" t="s">
        <v>508</v>
      </c>
      <c r="AT3" s="4" t="s">
        <v>509</v>
      </c>
      <c r="AU3" s="4" t="s">
        <v>507</v>
      </c>
      <c r="AV3" s="4" t="s">
        <v>510</v>
      </c>
      <c r="AW3" s="23" t="s">
        <v>511</v>
      </c>
      <c r="AX3" s="19"/>
      <c r="AY3" s="19"/>
      <c r="AZ3" s="19"/>
      <c r="BA3" s="19"/>
      <c r="BB3" s="19"/>
      <c r="BC3" s="4" t="s">
        <v>512</v>
      </c>
      <c r="BD3" s="4" t="s">
        <v>513</v>
      </c>
      <c r="BE3" s="4" t="s">
        <v>514</v>
      </c>
      <c r="BF3" s="4" t="s">
        <v>515</v>
      </c>
      <c r="BG3" s="4" t="s">
        <v>516</v>
      </c>
      <c r="BH3" s="4" t="s">
        <v>517</v>
      </c>
      <c r="BI3" s="7" t="n">
        <v>13.226</v>
      </c>
      <c r="BJ3" s="7" t="n">
        <v>23.308</v>
      </c>
      <c r="BK3" s="7" t="n">
        <v>12.718</v>
      </c>
      <c r="BL3" s="7"/>
      <c r="BM3" s="4"/>
      <c r="BN3" s="4" t="s">
        <v>518</v>
      </c>
      <c r="BO3" s="7" t="n">
        <v>23.308</v>
      </c>
      <c r="BP3" s="7" t="n">
        <v>20.143</v>
      </c>
      <c r="BQ3" s="7" t="n">
        <v>20.143</v>
      </c>
      <c r="BR3" s="7" t="s">
        <v>519</v>
      </c>
      <c r="BS3" s="7" t="s">
        <v>520</v>
      </c>
      <c r="BT3" s="7" t="s">
        <v>521</v>
      </c>
      <c r="BU3" s="7" t="s">
        <v>522</v>
      </c>
      <c r="BV3" s="20" t="s">
        <v>23</v>
      </c>
      <c r="BW3" s="20" t="s">
        <v>28</v>
      </c>
      <c r="BX3" s="20" t="s">
        <v>35</v>
      </c>
      <c r="BY3" s="7"/>
      <c r="BZ3" s="20" t="s">
        <v>523</v>
      </c>
      <c r="CA3" s="20" t="s">
        <v>524</v>
      </c>
      <c r="CB3" s="20" t="s">
        <v>525</v>
      </c>
      <c r="CC3" s="20" t="s">
        <v>526</v>
      </c>
      <c r="CD3" s="7"/>
      <c r="CE3" s="20" t="s">
        <v>527</v>
      </c>
      <c r="CF3" s="7"/>
      <c r="CG3" s="7"/>
      <c r="CH3" s="22" t="n">
        <f aca="false">IF(AND(ISNUMBER(BP3),ISNUMBER(AG3),AG3&gt;0),BP3*1000000/AG3,"")</f>
        <v>58216.7630057804</v>
      </c>
      <c r="CI3" s="7"/>
      <c r="CJ3" s="7"/>
      <c r="CK3" s="7"/>
      <c r="CL3" s="7"/>
      <c r="CM3" s="7"/>
      <c r="CN3" s="7"/>
      <c r="CO3" s="7"/>
      <c r="CP3" s="7"/>
      <c r="CQ3" s="7"/>
      <c r="CR3" s="7"/>
      <c r="CS3" s="7"/>
    </row>
    <row r="4" customFormat="false" ht="605.95" hidden="false" customHeight="false" outlineLevel="0" collapsed="false">
      <c r="A4" s="4" t="n">
        <v>3</v>
      </c>
      <c r="B4" s="4" t="s">
        <v>451</v>
      </c>
      <c r="C4" s="4" t="s">
        <v>452</v>
      </c>
      <c r="D4" s="4" t="s">
        <v>453</v>
      </c>
      <c r="E4" s="4" t="s">
        <v>528</v>
      </c>
      <c r="F4" s="4" t="s">
        <v>529</v>
      </c>
      <c r="G4" s="4" t="s">
        <v>489</v>
      </c>
      <c r="H4" s="4" t="s">
        <v>530</v>
      </c>
      <c r="I4" s="4" t="s">
        <v>531</v>
      </c>
      <c r="J4" s="4" t="s">
        <v>532</v>
      </c>
      <c r="K4" s="17" t="n">
        <v>8.213</v>
      </c>
      <c r="L4" s="4" t="n">
        <v>2026</v>
      </c>
      <c r="M4" s="4" t="s">
        <v>4</v>
      </c>
      <c r="N4" s="4" t="s">
        <v>493</v>
      </c>
      <c r="O4" s="4" t="s">
        <v>494</v>
      </c>
      <c r="P4" s="7" t="n">
        <v>6.644</v>
      </c>
      <c r="Q4" s="7" t="n">
        <v>1.569</v>
      </c>
      <c r="R4" s="4" t="s">
        <v>533</v>
      </c>
      <c r="S4" s="4" t="s">
        <v>462</v>
      </c>
      <c r="T4" s="4" t="s">
        <v>534</v>
      </c>
      <c r="U4" s="4" t="s">
        <v>535</v>
      </c>
      <c r="V4" s="4" t="s">
        <v>498</v>
      </c>
      <c r="W4" s="4"/>
      <c r="X4" s="4" t="s">
        <v>499</v>
      </c>
      <c r="Y4" s="4"/>
      <c r="Z4" s="23" t="s">
        <v>536</v>
      </c>
      <c r="AA4" s="7"/>
      <c r="AB4" s="4"/>
      <c r="AC4" s="4"/>
      <c r="AD4" s="4"/>
      <c r="AE4" s="18" t="s">
        <v>470</v>
      </c>
      <c r="AF4" s="4" t="s">
        <v>471</v>
      </c>
      <c r="AG4" s="23" t="n">
        <v>24</v>
      </c>
      <c r="AH4" s="23" t="s">
        <v>501</v>
      </c>
      <c r="AI4" s="23" t="s">
        <v>537</v>
      </c>
      <c r="AJ4" s="23" t="s">
        <v>503</v>
      </c>
      <c r="AK4" s="23" t="s">
        <v>504</v>
      </c>
      <c r="AL4" s="7" t="n">
        <v>1.889</v>
      </c>
      <c r="AM4" s="4" t="n">
        <v>2026</v>
      </c>
      <c r="AN4" s="4" t="s">
        <v>505</v>
      </c>
      <c r="AO4" s="4" t="s">
        <v>506</v>
      </c>
      <c r="AP4" s="4" t="s">
        <v>507</v>
      </c>
      <c r="AQ4" s="7" t="n">
        <v>1.12</v>
      </c>
      <c r="AR4" s="4" t="n">
        <v>2026</v>
      </c>
      <c r="AS4" s="4" t="s">
        <v>508</v>
      </c>
      <c r="AT4" s="4" t="s">
        <v>509</v>
      </c>
      <c r="AU4" s="4" t="s">
        <v>507</v>
      </c>
      <c r="AV4" s="4" t="s">
        <v>510</v>
      </c>
      <c r="AW4" s="23" t="s">
        <v>511</v>
      </c>
      <c r="AX4" s="19"/>
      <c r="AY4" s="19"/>
      <c r="AZ4" s="19"/>
      <c r="BA4" s="19"/>
      <c r="BB4" s="19"/>
      <c r="BC4" s="4" t="s">
        <v>538</v>
      </c>
      <c r="BD4" s="4" t="s">
        <v>539</v>
      </c>
      <c r="BE4" s="4" t="s">
        <v>540</v>
      </c>
      <c r="BF4" s="4" t="s">
        <v>541</v>
      </c>
      <c r="BG4" s="4" t="s">
        <v>542</v>
      </c>
      <c r="BH4" s="4" t="s">
        <v>543</v>
      </c>
      <c r="BI4" s="7" t="n">
        <v>1.12</v>
      </c>
      <c r="BJ4" s="7" t="n">
        <v>1.889</v>
      </c>
      <c r="BK4" s="7" t="n">
        <v>0.869</v>
      </c>
      <c r="BL4" s="7"/>
      <c r="BM4" s="4"/>
      <c r="BN4" s="4" t="s">
        <v>518</v>
      </c>
      <c r="BO4" s="7" t="n">
        <v>1.889</v>
      </c>
      <c r="BP4" s="7" t="n">
        <v>1.475</v>
      </c>
      <c r="BQ4" s="7" t="n">
        <v>1.475</v>
      </c>
      <c r="BR4" s="7" t="s">
        <v>519</v>
      </c>
      <c r="BS4" s="7" t="s">
        <v>520</v>
      </c>
      <c r="BT4" s="7" t="s">
        <v>521</v>
      </c>
      <c r="BU4" s="7" t="s">
        <v>522</v>
      </c>
      <c r="BV4" s="20" t="s">
        <v>23</v>
      </c>
      <c r="BW4" s="20" t="s">
        <v>28</v>
      </c>
      <c r="BX4" s="20" t="s">
        <v>35</v>
      </c>
      <c r="BY4" s="7"/>
      <c r="BZ4" s="20" t="s">
        <v>484</v>
      </c>
      <c r="CA4" s="20" t="s">
        <v>524</v>
      </c>
      <c r="CB4" s="20" t="s">
        <v>544</v>
      </c>
      <c r="CC4" s="20" t="s">
        <v>545</v>
      </c>
      <c r="CD4" s="7"/>
      <c r="CE4" s="20" t="s">
        <v>546</v>
      </c>
      <c r="CF4" s="7"/>
      <c r="CG4" s="7"/>
      <c r="CH4" s="22" t="n">
        <f aca="false">IF(AND(ISNUMBER(BP4),ISNUMBER(AG4),AG4&gt;0),BP4*1000000/AG4,"")</f>
        <v>61458.3333333333</v>
      </c>
      <c r="CI4" s="7"/>
      <c r="CJ4" s="7"/>
      <c r="CK4" s="7"/>
      <c r="CL4" s="7"/>
      <c r="CM4" s="7"/>
      <c r="CN4" s="7"/>
      <c r="CO4" s="7"/>
      <c r="CP4" s="7"/>
      <c r="CQ4" s="7"/>
      <c r="CR4" s="7"/>
      <c r="CS4" s="7"/>
    </row>
    <row r="5" customFormat="false" ht="739.55" hidden="false" customHeight="false" outlineLevel="0" collapsed="false">
      <c r="A5" s="4" t="n">
        <v>4</v>
      </c>
      <c r="B5" s="4" t="s">
        <v>451</v>
      </c>
      <c r="C5" s="4" t="s">
        <v>452</v>
      </c>
      <c r="D5" s="4" t="s">
        <v>547</v>
      </c>
      <c r="E5" s="4" t="s">
        <v>548</v>
      </c>
      <c r="F5" s="4" t="s">
        <v>549</v>
      </c>
      <c r="G5" s="4" t="s">
        <v>550</v>
      </c>
      <c r="H5" s="4" t="s">
        <v>551</v>
      </c>
      <c r="I5" s="4" t="s">
        <v>552</v>
      </c>
      <c r="J5" s="4" t="s">
        <v>553</v>
      </c>
      <c r="K5" s="17" t="n">
        <v>1214.005</v>
      </c>
      <c r="L5" s="4" t="n">
        <v>2026</v>
      </c>
      <c r="M5" s="4" t="s">
        <v>4</v>
      </c>
      <c r="N5" s="4" t="s">
        <v>493</v>
      </c>
      <c r="O5" s="4" t="s">
        <v>494</v>
      </c>
      <c r="P5" s="7" t="n">
        <v>1419.995</v>
      </c>
      <c r="Q5" s="7" t="n">
        <v>-205.99</v>
      </c>
      <c r="R5" s="4" t="s">
        <v>554</v>
      </c>
      <c r="S5" s="4" t="s">
        <v>462</v>
      </c>
      <c r="T5" s="4" t="s">
        <v>555</v>
      </c>
      <c r="U5" s="4" t="s">
        <v>556</v>
      </c>
      <c r="V5" s="4" t="s">
        <v>557</v>
      </c>
      <c r="W5" s="4" t="s">
        <v>558</v>
      </c>
      <c r="X5" s="4" t="s">
        <v>559</v>
      </c>
      <c r="Y5" s="4" t="s">
        <v>560</v>
      </c>
      <c r="Z5" s="23" t="s">
        <v>561</v>
      </c>
      <c r="AA5" s="7"/>
      <c r="AB5" s="4"/>
      <c r="AC5" s="4"/>
      <c r="AD5" s="4"/>
      <c r="AE5" s="18" t="s">
        <v>470</v>
      </c>
      <c r="AF5" s="4" t="s">
        <v>471</v>
      </c>
      <c r="AG5" s="23" t="n">
        <v>220</v>
      </c>
      <c r="AH5" s="23" t="s">
        <v>501</v>
      </c>
      <c r="AI5" s="23" t="s">
        <v>562</v>
      </c>
      <c r="AJ5" s="23" t="s">
        <v>503</v>
      </c>
      <c r="AK5" s="23" t="s">
        <v>504</v>
      </c>
      <c r="AL5" s="7" t="n">
        <v>13.568</v>
      </c>
      <c r="AM5" s="4" t="n">
        <v>2026</v>
      </c>
      <c r="AN5" s="4" t="s">
        <v>505</v>
      </c>
      <c r="AO5" s="4" t="s">
        <v>506</v>
      </c>
      <c r="AP5" s="4" t="s">
        <v>507</v>
      </c>
      <c r="AQ5" s="7" t="n">
        <v>8.325</v>
      </c>
      <c r="AR5" s="4" t="n">
        <v>2026</v>
      </c>
      <c r="AS5" s="4" t="s">
        <v>508</v>
      </c>
      <c r="AT5" s="4" t="s">
        <v>509</v>
      </c>
      <c r="AU5" s="4" t="s">
        <v>507</v>
      </c>
      <c r="AV5" s="4" t="s">
        <v>510</v>
      </c>
      <c r="AW5" s="23" t="s">
        <v>511</v>
      </c>
      <c r="AX5" s="19"/>
      <c r="AY5" s="19"/>
      <c r="AZ5" s="19"/>
      <c r="BA5" s="19"/>
      <c r="BB5" s="24" t="s">
        <v>563</v>
      </c>
      <c r="BC5" s="4" t="s">
        <v>564</v>
      </c>
      <c r="BD5" s="4" t="s">
        <v>565</v>
      </c>
      <c r="BE5" s="4" t="s">
        <v>479</v>
      </c>
      <c r="BF5" s="4" t="s">
        <v>480</v>
      </c>
      <c r="BG5" s="4" t="s">
        <v>566</v>
      </c>
      <c r="BH5" s="4" t="s">
        <v>567</v>
      </c>
      <c r="BI5" s="7" t="n">
        <v>8.325</v>
      </c>
      <c r="BJ5" s="7" t="n">
        <v>12.346</v>
      </c>
      <c r="BK5" s="7" t="n">
        <v>7.946</v>
      </c>
      <c r="BL5" s="7"/>
      <c r="BM5" s="4"/>
      <c r="BN5" s="4" t="s">
        <v>518</v>
      </c>
      <c r="BO5" s="7" t="n">
        <v>12.789</v>
      </c>
      <c r="BP5" s="7" t="n">
        <v>12.649</v>
      </c>
      <c r="BQ5" s="7" t="n">
        <v>12.649</v>
      </c>
      <c r="BR5" s="7" t="s">
        <v>519</v>
      </c>
      <c r="BS5" s="7" t="s">
        <v>520</v>
      </c>
      <c r="BT5" s="7" t="s">
        <v>521</v>
      </c>
      <c r="BU5" s="7" t="s">
        <v>568</v>
      </c>
      <c r="BV5" s="20" t="s">
        <v>23</v>
      </c>
      <c r="BW5" s="20" t="s">
        <v>28</v>
      </c>
      <c r="BX5" s="20" t="s">
        <v>36</v>
      </c>
      <c r="BY5" s="20" t="s">
        <v>569</v>
      </c>
      <c r="BZ5" s="20" t="s">
        <v>484</v>
      </c>
      <c r="CA5" s="20" t="s">
        <v>524</v>
      </c>
      <c r="CB5" s="20" t="s">
        <v>570</v>
      </c>
      <c r="CC5" s="20" t="s">
        <v>571</v>
      </c>
      <c r="CD5" s="7"/>
      <c r="CE5" s="20" t="s">
        <v>214</v>
      </c>
      <c r="CF5" s="21" t="n">
        <v>10</v>
      </c>
      <c r="CG5" s="7"/>
      <c r="CH5" s="22" t="n">
        <f aca="false">IF(AND(ISNUMBER(BP5),ISNUMBER(AG5),AG5&gt;0),BP5*1000000/AG5,"")</f>
        <v>57495.4545454545</v>
      </c>
      <c r="CI5" s="7"/>
      <c r="CJ5" s="7"/>
      <c r="CK5" s="7"/>
      <c r="CL5" s="7"/>
      <c r="CM5" s="7"/>
      <c r="CN5" s="7"/>
      <c r="CO5" s="7"/>
      <c r="CP5" s="7"/>
      <c r="CQ5" s="7"/>
      <c r="CR5" s="7"/>
      <c r="CS5" s="7"/>
    </row>
    <row r="6" customFormat="false" ht="605.95" hidden="false" customHeight="false" outlineLevel="0" collapsed="false">
      <c r="A6" s="4" t="n">
        <v>5</v>
      </c>
      <c r="B6" s="4" t="s">
        <v>451</v>
      </c>
      <c r="C6" s="4" t="s">
        <v>452</v>
      </c>
      <c r="D6" s="4" t="s">
        <v>547</v>
      </c>
      <c r="E6" s="4" t="s">
        <v>572</v>
      </c>
      <c r="F6" s="4" t="s">
        <v>573</v>
      </c>
      <c r="G6" s="4" t="s">
        <v>574</v>
      </c>
      <c r="H6" s="4" t="s">
        <v>575</v>
      </c>
      <c r="I6" s="4" t="s">
        <v>576</v>
      </c>
      <c r="J6" s="4" t="s">
        <v>577</v>
      </c>
      <c r="K6" s="17" t="n">
        <v>12.341</v>
      </c>
      <c r="L6" s="4" t="n">
        <v>2026</v>
      </c>
      <c r="M6" s="4" t="s">
        <v>4</v>
      </c>
      <c r="N6" s="4" t="s">
        <v>493</v>
      </c>
      <c r="O6" s="4" t="s">
        <v>494</v>
      </c>
      <c r="P6" s="7" t="n">
        <v>10.579</v>
      </c>
      <c r="Q6" s="7" t="n">
        <v>1.762</v>
      </c>
      <c r="R6" s="4" t="s">
        <v>578</v>
      </c>
      <c r="S6" s="4" t="s">
        <v>462</v>
      </c>
      <c r="T6" s="4" t="s">
        <v>496</v>
      </c>
      <c r="U6" s="4" t="s">
        <v>579</v>
      </c>
      <c r="V6" s="4" t="s">
        <v>498</v>
      </c>
      <c r="W6" s="4"/>
      <c r="X6" s="4" t="s">
        <v>499</v>
      </c>
      <c r="Y6" s="4"/>
      <c r="Z6" s="4" t="s">
        <v>580</v>
      </c>
      <c r="AA6" s="7"/>
      <c r="AB6" s="4"/>
      <c r="AC6" s="4"/>
      <c r="AD6" s="4"/>
      <c r="AE6" s="18" t="s">
        <v>470</v>
      </c>
      <c r="AF6" s="4" t="s">
        <v>471</v>
      </c>
      <c r="AG6" s="4"/>
      <c r="AH6" s="4"/>
      <c r="AI6" s="4" t="s">
        <v>472</v>
      </c>
      <c r="AJ6" s="4" t="s">
        <v>473</v>
      </c>
      <c r="AK6" s="4"/>
      <c r="AL6" s="7" t="n">
        <v>8.493</v>
      </c>
      <c r="AM6" s="4" t="n">
        <v>2026</v>
      </c>
      <c r="AN6" s="4" t="s">
        <v>505</v>
      </c>
      <c r="AO6" s="4" t="s">
        <v>506</v>
      </c>
      <c r="AP6" s="4" t="s">
        <v>507</v>
      </c>
      <c r="AQ6" s="7" t="n">
        <v>5.115</v>
      </c>
      <c r="AR6" s="4" t="n">
        <v>2026</v>
      </c>
      <c r="AS6" s="4" t="s">
        <v>508</v>
      </c>
      <c r="AT6" s="4" t="s">
        <v>509</v>
      </c>
      <c r="AU6" s="4" t="s">
        <v>507</v>
      </c>
      <c r="AV6" s="4" t="s">
        <v>510</v>
      </c>
      <c r="AW6" s="23" t="s">
        <v>581</v>
      </c>
      <c r="AX6" s="19"/>
      <c r="AY6" s="19"/>
      <c r="AZ6" s="19"/>
      <c r="BA6" s="19"/>
      <c r="BB6" s="24" t="s">
        <v>582</v>
      </c>
      <c r="BC6" s="4" t="s">
        <v>583</v>
      </c>
      <c r="BD6" s="4" t="s">
        <v>584</v>
      </c>
      <c r="BE6" s="4" t="s">
        <v>585</v>
      </c>
      <c r="BF6" s="4" t="s">
        <v>541</v>
      </c>
      <c r="BG6" s="4" t="s">
        <v>586</v>
      </c>
      <c r="BH6" s="4" t="s">
        <v>587</v>
      </c>
      <c r="BI6" s="7" t="n">
        <v>5.115</v>
      </c>
      <c r="BJ6" s="7" t="n">
        <v>8.376</v>
      </c>
      <c r="BK6" s="7" t="n">
        <v>4.511</v>
      </c>
      <c r="BL6" s="7"/>
      <c r="BM6" s="4"/>
      <c r="BN6" s="4" t="s">
        <v>518</v>
      </c>
      <c r="BO6" s="7" t="n">
        <v>8.376</v>
      </c>
      <c r="BP6" s="7" t="n">
        <v>7.338</v>
      </c>
      <c r="BQ6" s="7" t="n">
        <v>7.338</v>
      </c>
      <c r="BR6" s="7" t="s">
        <v>519</v>
      </c>
      <c r="BS6" s="7" t="s">
        <v>520</v>
      </c>
      <c r="BT6" s="7" t="s">
        <v>521</v>
      </c>
      <c r="BU6" s="7" t="s">
        <v>522</v>
      </c>
      <c r="BV6" s="20" t="s">
        <v>23</v>
      </c>
      <c r="BW6" s="20" t="s">
        <v>28</v>
      </c>
      <c r="BX6" s="20" t="s">
        <v>37</v>
      </c>
      <c r="BY6" s="7"/>
      <c r="BZ6" s="20" t="s">
        <v>588</v>
      </c>
      <c r="CA6" s="20" t="s">
        <v>524</v>
      </c>
      <c r="CB6" s="20" t="s">
        <v>589</v>
      </c>
      <c r="CC6" s="20" t="s">
        <v>590</v>
      </c>
      <c r="CD6" s="7"/>
      <c r="CE6" s="20" t="s">
        <v>591</v>
      </c>
      <c r="CF6" s="7"/>
      <c r="CG6" s="7"/>
      <c r="CH6" s="22" t="str">
        <f aca="false">IF(AND(ISNUMBER(BP6),ISNUMBER(AG6),AG6&gt;0),BP6*1000000/AG6,"")</f>
        <v/>
      </c>
      <c r="CI6" s="7"/>
      <c r="CJ6" s="7"/>
      <c r="CK6" s="7"/>
      <c r="CL6" s="7"/>
      <c r="CM6" s="7"/>
      <c r="CN6" s="7"/>
      <c r="CO6" s="7"/>
      <c r="CP6" s="7"/>
      <c r="CQ6" s="7"/>
      <c r="CR6" s="7"/>
      <c r="CS6" s="7"/>
    </row>
    <row r="7" customFormat="false" ht="1048.5" hidden="false" customHeight="false" outlineLevel="0" collapsed="false">
      <c r="A7" s="4" t="n">
        <v>6</v>
      </c>
      <c r="B7" s="4" t="s">
        <v>451</v>
      </c>
      <c r="C7" s="4" t="s">
        <v>452</v>
      </c>
      <c r="D7" s="4" t="s">
        <v>547</v>
      </c>
      <c r="E7" s="4" t="s">
        <v>96</v>
      </c>
      <c r="F7" s="4" t="s">
        <v>592</v>
      </c>
      <c r="G7" s="4" t="s">
        <v>593</v>
      </c>
      <c r="H7" s="4" t="s">
        <v>594</v>
      </c>
      <c r="I7" s="4" t="s">
        <v>595</v>
      </c>
      <c r="J7" s="4" t="s">
        <v>596</v>
      </c>
      <c r="K7" s="17" t="n">
        <v>3.37938</v>
      </c>
      <c r="L7" s="4" t="n">
        <v>2026</v>
      </c>
      <c r="M7" s="4" t="s">
        <v>4</v>
      </c>
      <c r="N7" s="4" t="s">
        <v>493</v>
      </c>
      <c r="O7" s="4" t="s">
        <v>494</v>
      </c>
      <c r="P7" s="7" t="n">
        <v>3.37938</v>
      </c>
      <c r="Q7" s="7" t="n">
        <v>0</v>
      </c>
      <c r="R7" s="4" t="s">
        <v>597</v>
      </c>
      <c r="S7" s="4" t="s">
        <v>462</v>
      </c>
      <c r="T7" s="4" t="s">
        <v>598</v>
      </c>
      <c r="U7" s="4" t="s">
        <v>599</v>
      </c>
      <c r="V7" s="4" t="s">
        <v>498</v>
      </c>
      <c r="W7" s="4"/>
      <c r="X7" s="4" t="s">
        <v>499</v>
      </c>
      <c r="Y7" s="4"/>
      <c r="Z7" s="23" t="s">
        <v>600</v>
      </c>
      <c r="AA7" s="7"/>
      <c r="AB7" s="4"/>
      <c r="AC7" s="4"/>
      <c r="AD7" s="4"/>
      <c r="AE7" s="18" t="s">
        <v>470</v>
      </c>
      <c r="AF7" s="4" t="s">
        <v>471</v>
      </c>
      <c r="AG7" s="23" t="n">
        <v>31</v>
      </c>
      <c r="AH7" s="23" t="s">
        <v>601</v>
      </c>
      <c r="AI7" s="23" t="s">
        <v>602</v>
      </c>
      <c r="AJ7" s="23" t="s">
        <v>503</v>
      </c>
      <c r="AK7" s="23" t="s">
        <v>603</v>
      </c>
      <c r="AL7" s="7" t="n">
        <v>2.464</v>
      </c>
      <c r="AM7" s="4" t="n">
        <v>2026</v>
      </c>
      <c r="AN7" s="4" t="s">
        <v>505</v>
      </c>
      <c r="AO7" s="4" t="s">
        <v>506</v>
      </c>
      <c r="AP7" s="4" t="s">
        <v>507</v>
      </c>
      <c r="AQ7" s="7" t="n">
        <v>1.398</v>
      </c>
      <c r="AR7" s="4" t="n">
        <v>2026</v>
      </c>
      <c r="AS7" s="4" t="s">
        <v>508</v>
      </c>
      <c r="AT7" s="4" t="s">
        <v>509</v>
      </c>
      <c r="AU7" s="4" t="s">
        <v>507</v>
      </c>
      <c r="AV7" s="4" t="s">
        <v>510</v>
      </c>
      <c r="AW7" s="23" t="s">
        <v>604</v>
      </c>
      <c r="AX7" s="24" t="n">
        <v>39</v>
      </c>
      <c r="AY7" s="24" t="s">
        <v>605</v>
      </c>
      <c r="AZ7" s="24" t="s">
        <v>606</v>
      </c>
      <c r="BA7" s="24" t="s">
        <v>607</v>
      </c>
      <c r="BB7" s="24" t="s">
        <v>608</v>
      </c>
      <c r="BC7" s="4" t="s">
        <v>609</v>
      </c>
      <c r="BD7" s="4" t="s">
        <v>610</v>
      </c>
      <c r="BE7" s="4" t="s">
        <v>611</v>
      </c>
      <c r="BF7" s="4" t="s">
        <v>612</v>
      </c>
      <c r="BG7" s="4" t="s">
        <v>613</v>
      </c>
      <c r="BH7" s="4" t="s">
        <v>614</v>
      </c>
      <c r="BI7" s="7" t="n">
        <v>1.398</v>
      </c>
      <c r="BJ7" s="7" t="n">
        <v>2.464</v>
      </c>
      <c r="BK7" s="7" t="n">
        <v>1.409</v>
      </c>
      <c r="BL7" s="7"/>
      <c r="BM7" s="4"/>
      <c r="BN7" s="4" t="s">
        <v>518</v>
      </c>
      <c r="BO7" s="7" t="n">
        <v>2.464</v>
      </c>
      <c r="BP7" s="7" t="n">
        <v>2.201</v>
      </c>
      <c r="BQ7" s="7" t="n">
        <v>2.201</v>
      </c>
      <c r="BR7" s="7" t="s">
        <v>519</v>
      </c>
      <c r="BS7" s="7" t="s">
        <v>520</v>
      </c>
      <c r="BT7" s="7" t="s">
        <v>521</v>
      </c>
      <c r="BU7" s="7" t="s">
        <v>522</v>
      </c>
      <c r="BV7" s="20" t="s">
        <v>23</v>
      </c>
      <c r="BW7" s="20" t="s">
        <v>29</v>
      </c>
      <c r="BX7" s="20" t="s">
        <v>37</v>
      </c>
      <c r="BY7" s="20" t="s">
        <v>615</v>
      </c>
      <c r="BZ7" s="20" t="s">
        <v>484</v>
      </c>
      <c r="CA7" s="20" t="s">
        <v>524</v>
      </c>
      <c r="CB7" s="20" t="s">
        <v>616</v>
      </c>
      <c r="CC7" s="20" t="s">
        <v>617</v>
      </c>
      <c r="CD7" s="7"/>
      <c r="CE7" s="20" t="s">
        <v>95</v>
      </c>
      <c r="CF7" s="21" t="n">
        <v>13</v>
      </c>
      <c r="CG7" s="7"/>
      <c r="CH7" s="22" t="n">
        <f aca="false">IF(AND(ISNUMBER(BP7),ISNUMBER(AG7),AG7&gt;0),BP7*1000000/AG7,"")</f>
        <v>71000</v>
      </c>
      <c r="CI7" s="21" t="n">
        <v>17</v>
      </c>
      <c r="CJ7" s="21" t="n">
        <v>13</v>
      </c>
      <c r="CK7" s="21" t="n">
        <v>1</v>
      </c>
      <c r="CL7" s="21" t="n">
        <v>31</v>
      </c>
      <c r="CM7" s="21" t="n">
        <v>10</v>
      </c>
      <c r="CN7" s="21" t="n">
        <v>1</v>
      </c>
      <c r="CO7" s="21" t="n">
        <v>0</v>
      </c>
      <c r="CP7" s="20" t="s">
        <v>618</v>
      </c>
      <c r="CQ7" s="20" t="s">
        <v>619</v>
      </c>
      <c r="CR7" s="20" t="s">
        <v>603</v>
      </c>
      <c r="CS7" s="20" t="s">
        <v>620</v>
      </c>
    </row>
    <row r="8" customFormat="false" ht="538.8" hidden="false" customHeight="false" outlineLevel="0" collapsed="false">
      <c r="A8" s="4" t="n">
        <v>7</v>
      </c>
      <c r="B8" s="4" t="s">
        <v>451</v>
      </c>
      <c r="C8" s="4" t="s">
        <v>452</v>
      </c>
      <c r="D8" s="4" t="s">
        <v>547</v>
      </c>
      <c r="E8" s="4" t="s">
        <v>243</v>
      </c>
      <c r="F8" s="4" t="s">
        <v>621</v>
      </c>
      <c r="G8" s="4" t="s">
        <v>622</v>
      </c>
      <c r="H8" s="4" t="s">
        <v>623</v>
      </c>
      <c r="I8" s="4" t="s">
        <v>624</v>
      </c>
      <c r="J8" s="4" t="s">
        <v>625</v>
      </c>
      <c r="K8" s="17" t="n">
        <v>17.523</v>
      </c>
      <c r="L8" s="4" t="n">
        <v>2026</v>
      </c>
      <c r="M8" s="4" t="s">
        <v>4</v>
      </c>
      <c r="N8" s="4" t="s">
        <v>493</v>
      </c>
      <c r="O8" s="4" t="s">
        <v>494</v>
      </c>
      <c r="P8" s="7" t="n">
        <v>16.463</v>
      </c>
      <c r="Q8" s="7" t="n">
        <v>1.06</v>
      </c>
      <c r="R8" s="4" t="s">
        <v>626</v>
      </c>
      <c r="S8" s="4" t="s">
        <v>462</v>
      </c>
      <c r="T8" s="4" t="s">
        <v>496</v>
      </c>
      <c r="U8" s="23" t="s">
        <v>497</v>
      </c>
      <c r="V8" s="4" t="s">
        <v>498</v>
      </c>
      <c r="W8" s="4"/>
      <c r="X8" s="4" t="s">
        <v>499</v>
      </c>
      <c r="Y8" s="4"/>
      <c r="Z8" s="23" t="s">
        <v>627</v>
      </c>
      <c r="AA8" s="7"/>
      <c r="AB8" s="4"/>
      <c r="AC8" s="4"/>
      <c r="AD8" s="4"/>
      <c r="AE8" s="18" t="s">
        <v>470</v>
      </c>
      <c r="AF8" s="4" t="s">
        <v>471</v>
      </c>
      <c r="AG8" s="23" t="n">
        <v>126</v>
      </c>
      <c r="AH8" s="23" t="s">
        <v>501</v>
      </c>
      <c r="AI8" s="23" t="s">
        <v>628</v>
      </c>
      <c r="AJ8" s="23" t="s">
        <v>503</v>
      </c>
      <c r="AK8" s="23" t="s">
        <v>504</v>
      </c>
      <c r="AL8" s="7" t="n">
        <v>7.972</v>
      </c>
      <c r="AM8" s="4" t="n">
        <v>2026</v>
      </c>
      <c r="AN8" s="4" t="s">
        <v>505</v>
      </c>
      <c r="AO8" s="4" t="s">
        <v>506</v>
      </c>
      <c r="AP8" s="4" t="s">
        <v>507</v>
      </c>
      <c r="AQ8" s="7" t="n">
        <v>4.836</v>
      </c>
      <c r="AR8" s="4" t="n">
        <v>2026</v>
      </c>
      <c r="AS8" s="4" t="s">
        <v>508</v>
      </c>
      <c r="AT8" s="4" t="s">
        <v>509</v>
      </c>
      <c r="AU8" s="4" t="s">
        <v>507</v>
      </c>
      <c r="AV8" s="4" t="s">
        <v>510</v>
      </c>
      <c r="AW8" s="23" t="s">
        <v>511</v>
      </c>
      <c r="AX8" s="19"/>
      <c r="AY8" s="19"/>
      <c r="AZ8" s="19"/>
      <c r="BA8" s="19"/>
      <c r="BB8" s="19"/>
      <c r="BC8" s="4" t="s">
        <v>629</v>
      </c>
      <c r="BD8" s="4" t="s">
        <v>630</v>
      </c>
      <c r="BE8" s="4" t="s">
        <v>540</v>
      </c>
      <c r="BF8" s="4" t="s">
        <v>631</v>
      </c>
      <c r="BG8" s="4" t="s">
        <v>632</v>
      </c>
      <c r="BH8" s="4" t="s">
        <v>633</v>
      </c>
      <c r="BI8" s="7" t="n">
        <v>4.836</v>
      </c>
      <c r="BJ8" s="7" t="n">
        <v>6.896</v>
      </c>
      <c r="BK8" s="7" t="n">
        <v>4.24</v>
      </c>
      <c r="BL8" s="7"/>
      <c r="BM8" s="4"/>
      <c r="BN8" s="4" t="s">
        <v>634</v>
      </c>
      <c r="BO8" s="7" t="n">
        <v>6.896</v>
      </c>
      <c r="BP8" s="7" t="n">
        <v>6.746</v>
      </c>
      <c r="BQ8" s="7" t="n">
        <v>6.746</v>
      </c>
      <c r="BR8" s="7" t="s">
        <v>519</v>
      </c>
      <c r="BS8" s="7" t="s">
        <v>520</v>
      </c>
      <c r="BT8" s="7" t="s">
        <v>521</v>
      </c>
      <c r="BU8" s="7" t="s">
        <v>522</v>
      </c>
      <c r="BV8" s="20" t="s">
        <v>23</v>
      </c>
      <c r="BW8" s="20" t="s">
        <v>28</v>
      </c>
      <c r="BX8" s="20" t="s">
        <v>35</v>
      </c>
      <c r="BY8" s="20" t="s">
        <v>635</v>
      </c>
      <c r="BZ8" s="20" t="s">
        <v>636</v>
      </c>
      <c r="CA8" s="20" t="s">
        <v>524</v>
      </c>
      <c r="CB8" s="20" t="s">
        <v>637</v>
      </c>
      <c r="CC8" s="20" t="s">
        <v>526</v>
      </c>
      <c r="CD8" s="7"/>
      <c r="CE8" s="20" t="s">
        <v>242</v>
      </c>
      <c r="CF8" s="21" t="n">
        <v>2</v>
      </c>
      <c r="CG8" s="7"/>
      <c r="CH8" s="22" t="n">
        <f aca="false">IF(AND(ISNUMBER(BP8),ISNUMBER(AG8),AG8&gt;0),BP8*1000000/AG8,"")</f>
        <v>53539.6825396825</v>
      </c>
      <c r="CI8" s="7"/>
      <c r="CJ8" s="7"/>
      <c r="CK8" s="7"/>
      <c r="CL8" s="7"/>
      <c r="CM8" s="7"/>
      <c r="CN8" s="7"/>
      <c r="CO8" s="7"/>
      <c r="CP8" s="7"/>
      <c r="CQ8" s="7"/>
      <c r="CR8" s="7"/>
      <c r="CS8" s="7"/>
    </row>
    <row r="9" customFormat="false" ht="1075.35" hidden="false" customHeight="false" outlineLevel="0" collapsed="false">
      <c r="A9" s="4" t="n">
        <v>8</v>
      </c>
      <c r="B9" s="4" t="s">
        <v>451</v>
      </c>
      <c r="C9" s="4" t="s">
        <v>452</v>
      </c>
      <c r="D9" s="4" t="s">
        <v>453</v>
      </c>
      <c r="E9" s="4" t="s">
        <v>298</v>
      </c>
      <c r="F9" s="4" t="s">
        <v>638</v>
      </c>
      <c r="G9" s="4" t="s">
        <v>639</v>
      </c>
      <c r="H9" s="4" t="s">
        <v>640</v>
      </c>
      <c r="I9" s="4" t="s">
        <v>641</v>
      </c>
      <c r="J9" s="4" t="s">
        <v>642</v>
      </c>
      <c r="K9" s="17"/>
      <c r="L9" s="4"/>
      <c r="M9" s="4"/>
      <c r="N9" s="4"/>
      <c r="O9" s="23" t="s">
        <v>643</v>
      </c>
      <c r="P9" s="7"/>
      <c r="Q9" s="7"/>
      <c r="R9" s="23" t="s">
        <v>644</v>
      </c>
      <c r="S9" s="4" t="s">
        <v>462</v>
      </c>
      <c r="T9" s="4" t="s">
        <v>645</v>
      </c>
      <c r="U9" s="4" t="s">
        <v>646</v>
      </c>
      <c r="V9" s="4" t="s">
        <v>647</v>
      </c>
      <c r="W9" s="4" t="s">
        <v>648</v>
      </c>
      <c r="X9" s="4" t="s">
        <v>649</v>
      </c>
      <c r="Y9" s="4" t="s">
        <v>650</v>
      </c>
      <c r="Z9" s="23" t="s">
        <v>651</v>
      </c>
      <c r="AA9" s="7"/>
      <c r="AB9" s="4"/>
      <c r="AC9" s="4"/>
      <c r="AD9" s="4"/>
      <c r="AE9" s="18" t="s">
        <v>470</v>
      </c>
      <c r="AF9" s="4" t="s">
        <v>471</v>
      </c>
      <c r="AG9" s="4"/>
      <c r="AH9" s="4"/>
      <c r="AI9" s="4" t="s">
        <v>472</v>
      </c>
      <c r="AJ9" s="23" t="s">
        <v>652</v>
      </c>
      <c r="AK9" s="4"/>
      <c r="AL9" s="7"/>
      <c r="AM9" s="4"/>
      <c r="AN9" s="4"/>
      <c r="AO9" s="23" t="s">
        <v>653</v>
      </c>
      <c r="AP9" s="4"/>
      <c r="AQ9" s="7"/>
      <c r="AR9" s="4"/>
      <c r="AS9" s="4"/>
      <c r="AT9" s="4"/>
      <c r="AU9" s="4"/>
      <c r="AV9" s="23" t="s">
        <v>654</v>
      </c>
      <c r="AW9" s="23" t="s">
        <v>655</v>
      </c>
      <c r="AX9" s="19"/>
      <c r="AY9" s="19"/>
      <c r="AZ9" s="19"/>
      <c r="BA9" s="19"/>
      <c r="BB9" s="24" t="s">
        <v>656</v>
      </c>
      <c r="BC9" s="4" t="s">
        <v>657</v>
      </c>
      <c r="BD9" s="4" t="s">
        <v>658</v>
      </c>
      <c r="BE9" s="4" t="s">
        <v>659</v>
      </c>
      <c r="BF9" s="4" t="s">
        <v>660</v>
      </c>
      <c r="BG9" s="4" t="s">
        <v>661</v>
      </c>
      <c r="BH9" s="4" t="s">
        <v>662</v>
      </c>
      <c r="BI9" s="7"/>
      <c r="BJ9" s="7"/>
      <c r="BK9" s="7"/>
      <c r="BL9" s="7"/>
      <c r="BM9" s="4"/>
      <c r="BN9" s="4"/>
      <c r="BO9" s="7"/>
      <c r="BP9" s="7"/>
      <c r="BQ9" s="7"/>
      <c r="BR9" s="7"/>
      <c r="BS9" s="7"/>
      <c r="BT9" s="7"/>
      <c r="BU9" s="7"/>
      <c r="BV9" s="20" t="s">
        <v>24</v>
      </c>
      <c r="BW9" s="20" t="s">
        <v>31</v>
      </c>
      <c r="BX9" s="20" t="s">
        <v>38</v>
      </c>
      <c r="BY9" s="20" t="s">
        <v>663</v>
      </c>
      <c r="BZ9" s="20" t="s">
        <v>484</v>
      </c>
      <c r="CA9" s="20" t="s">
        <v>664</v>
      </c>
      <c r="CB9" s="20" t="s">
        <v>665</v>
      </c>
      <c r="CC9" s="20" t="s">
        <v>666</v>
      </c>
      <c r="CD9" s="20" t="s">
        <v>667</v>
      </c>
      <c r="CE9" s="20" t="s">
        <v>297</v>
      </c>
      <c r="CF9" s="21" t="n">
        <v>15</v>
      </c>
      <c r="CG9" s="20" t="s">
        <v>668</v>
      </c>
      <c r="CH9" s="22" t="str">
        <f aca="false">IF(AND(ISNUMBER(BP9),ISNUMBER(AG9),AG9&gt;0),BP9*1000000/AG9,"")</f>
        <v/>
      </c>
      <c r="CI9" s="7"/>
      <c r="CJ9" s="7"/>
      <c r="CK9" s="7"/>
      <c r="CL9" s="7"/>
      <c r="CM9" s="7"/>
      <c r="CN9" s="7"/>
      <c r="CO9" s="7"/>
      <c r="CP9" s="7"/>
      <c r="CQ9" s="7"/>
      <c r="CR9" s="7"/>
      <c r="CS9" s="7"/>
    </row>
    <row r="10" customFormat="false" ht="1061.9" hidden="false" customHeight="false" outlineLevel="0" collapsed="false">
      <c r="A10" s="4" t="n">
        <v>9</v>
      </c>
      <c r="B10" s="4" t="s">
        <v>451</v>
      </c>
      <c r="C10" s="4" t="s">
        <v>452</v>
      </c>
      <c r="D10" s="4" t="s">
        <v>453</v>
      </c>
      <c r="E10" s="4" t="s">
        <v>669</v>
      </c>
      <c r="F10" s="4" t="s">
        <v>670</v>
      </c>
      <c r="G10" s="4" t="s">
        <v>671</v>
      </c>
      <c r="H10" s="4" t="s">
        <v>672</v>
      </c>
      <c r="I10" s="4" t="s">
        <v>673</v>
      </c>
      <c r="J10" s="4" t="s">
        <v>674</v>
      </c>
      <c r="K10" s="17"/>
      <c r="L10" s="4"/>
      <c r="M10" s="4"/>
      <c r="N10" s="4"/>
      <c r="O10" s="23" t="s">
        <v>643</v>
      </c>
      <c r="P10" s="7"/>
      <c r="Q10" s="7"/>
      <c r="R10" s="23" t="s">
        <v>675</v>
      </c>
      <c r="S10" s="4" t="s">
        <v>462</v>
      </c>
      <c r="T10" s="4" t="s">
        <v>676</v>
      </c>
      <c r="U10" s="4" t="s">
        <v>677</v>
      </c>
      <c r="V10" s="4" t="s">
        <v>498</v>
      </c>
      <c r="W10" s="4"/>
      <c r="X10" s="4" t="s">
        <v>499</v>
      </c>
      <c r="Y10" s="4"/>
      <c r="Z10" s="23" t="s">
        <v>678</v>
      </c>
      <c r="AA10" s="7"/>
      <c r="AB10" s="4"/>
      <c r="AC10" s="4"/>
      <c r="AD10" s="4"/>
      <c r="AE10" s="18" t="s">
        <v>470</v>
      </c>
      <c r="AF10" s="4" t="s">
        <v>471</v>
      </c>
      <c r="AG10" s="4"/>
      <c r="AH10" s="4"/>
      <c r="AI10" s="4" t="s">
        <v>472</v>
      </c>
      <c r="AJ10" s="23" t="s">
        <v>679</v>
      </c>
      <c r="AK10" s="4"/>
      <c r="AL10" s="7"/>
      <c r="AM10" s="4"/>
      <c r="AN10" s="4"/>
      <c r="AO10" s="23" t="s">
        <v>680</v>
      </c>
      <c r="AP10" s="4"/>
      <c r="AQ10" s="7"/>
      <c r="AR10" s="4"/>
      <c r="AS10" s="4"/>
      <c r="AT10" s="4"/>
      <c r="AU10" s="4"/>
      <c r="AV10" s="23" t="s">
        <v>681</v>
      </c>
      <c r="AW10" s="23" t="s">
        <v>682</v>
      </c>
      <c r="AX10" s="19"/>
      <c r="AY10" s="19"/>
      <c r="AZ10" s="19"/>
      <c r="BA10" s="19"/>
      <c r="BB10" s="24" t="s">
        <v>683</v>
      </c>
      <c r="BC10" s="4" t="s">
        <v>684</v>
      </c>
      <c r="BD10" s="4" t="s">
        <v>685</v>
      </c>
      <c r="BE10" s="4" t="s">
        <v>686</v>
      </c>
      <c r="BF10" s="4" t="s">
        <v>687</v>
      </c>
      <c r="BG10" s="4" t="s">
        <v>688</v>
      </c>
      <c r="BH10" s="4" t="s">
        <v>689</v>
      </c>
      <c r="BI10" s="7"/>
      <c r="BJ10" s="7"/>
      <c r="BK10" s="7"/>
      <c r="BL10" s="7"/>
      <c r="BM10" s="4"/>
      <c r="BN10" s="4"/>
      <c r="BO10" s="7"/>
      <c r="BP10" s="7"/>
      <c r="BQ10" s="7"/>
      <c r="BR10" s="7"/>
      <c r="BS10" s="7"/>
      <c r="BT10" s="7"/>
      <c r="BU10" s="7"/>
      <c r="BV10" s="20" t="s">
        <v>24</v>
      </c>
      <c r="BW10" s="20" t="s">
        <v>31</v>
      </c>
      <c r="BX10" s="20" t="s">
        <v>38</v>
      </c>
      <c r="BY10" s="7"/>
      <c r="BZ10" s="20" t="s">
        <v>484</v>
      </c>
      <c r="CA10" s="20" t="s">
        <v>524</v>
      </c>
      <c r="CB10" s="20" t="s">
        <v>665</v>
      </c>
      <c r="CC10" s="20" t="s">
        <v>666</v>
      </c>
      <c r="CD10" s="20" t="s">
        <v>667</v>
      </c>
      <c r="CE10" s="20" t="s">
        <v>690</v>
      </c>
      <c r="CF10" s="7"/>
      <c r="CG10" s="20" t="s">
        <v>691</v>
      </c>
      <c r="CH10" s="22" t="str">
        <f aca="false">IF(AND(ISNUMBER(BP10),ISNUMBER(AG10),AG10&gt;0),BP10*1000000/AG10,"")</f>
        <v/>
      </c>
      <c r="CI10" s="7"/>
      <c r="CJ10" s="7"/>
      <c r="CK10" s="7"/>
      <c r="CL10" s="7"/>
      <c r="CM10" s="7"/>
      <c r="CN10" s="7"/>
      <c r="CO10" s="7"/>
      <c r="CP10" s="7"/>
      <c r="CQ10" s="7"/>
      <c r="CR10" s="7"/>
      <c r="CS10" s="7"/>
    </row>
    <row r="11" customFormat="false" ht="967.9" hidden="false" customHeight="false" outlineLevel="0" collapsed="false">
      <c r="A11" s="4" t="n">
        <v>10</v>
      </c>
      <c r="B11" s="4" t="s">
        <v>451</v>
      </c>
      <c r="C11" s="4" t="s">
        <v>452</v>
      </c>
      <c r="D11" s="4" t="s">
        <v>453</v>
      </c>
      <c r="E11" s="4" t="s">
        <v>692</v>
      </c>
      <c r="F11" s="4" t="s">
        <v>693</v>
      </c>
      <c r="G11" s="4" t="s">
        <v>694</v>
      </c>
      <c r="H11" s="4" t="s">
        <v>695</v>
      </c>
      <c r="I11" s="4" t="s">
        <v>696</v>
      </c>
      <c r="J11" s="4" t="s">
        <v>697</v>
      </c>
      <c r="K11" s="17"/>
      <c r="L11" s="4"/>
      <c r="M11" s="4"/>
      <c r="N11" s="4"/>
      <c r="O11" s="23" t="s">
        <v>643</v>
      </c>
      <c r="P11" s="7"/>
      <c r="Q11" s="7"/>
      <c r="R11" s="23" t="s">
        <v>698</v>
      </c>
      <c r="S11" s="4" t="s">
        <v>462</v>
      </c>
      <c r="T11" s="4" t="s">
        <v>699</v>
      </c>
      <c r="U11" s="4" t="s">
        <v>700</v>
      </c>
      <c r="V11" s="4" t="s">
        <v>498</v>
      </c>
      <c r="W11" s="4"/>
      <c r="X11" s="4" t="s">
        <v>499</v>
      </c>
      <c r="Y11" s="4"/>
      <c r="Z11" s="23" t="s">
        <v>701</v>
      </c>
      <c r="AA11" s="7"/>
      <c r="AB11" s="4"/>
      <c r="AC11" s="4"/>
      <c r="AD11" s="4"/>
      <c r="AE11" s="18" t="s">
        <v>470</v>
      </c>
      <c r="AF11" s="4" t="s">
        <v>471</v>
      </c>
      <c r="AG11" s="4"/>
      <c r="AH11" s="4"/>
      <c r="AI11" s="4" t="s">
        <v>472</v>
      </c>
      <c r="AJ11" s="23" t="s">
        <v>702</v>
      </c>
      <c r="AK11" s="4"/>
      <c r="AL11" s="7"/>
      <c r="AM11" s="4"/>
      <c r="AN11" s="4"/>
      <c r="AO11" s="23" t="s">
        <v>703</v>
      </c>
      <c r="AP11" s="4"/>
      <c r="AQ11" s="7"/>
      <c r="AR11" s="4"/>
      <c r="AS11" s="4"/>
      <c r="AT11" s="4"/>
      <c r="AU11" s="4"/>
      <c r="AV11" s="23" t="s">
        <v>704</v>
      </c>
      <c r="AW11" s="23" t="s">
        <v>705</v>
      </c>
      <c r="AX11" s="19"/>
      <c r="AY11" s="19"/>
      <c r="AZ11" s="19"/>
      <c r="BA11" s="19"/>
      <c r="BB11" s="24" t="s">
        <v>706</v>
      </c>
      <c r="BC11" s="4" t="s">
        <v>707</v>
      </c>
      <c r="BD11" s="4" t="s">
        <v>708</v>
      </c>
      <c r="BE11" s="4" t="s">
        <v>709</v>
      </c>
      <c r="BF11" s="4" t="s">
        <v>710</v>
      </c>
      <c r="BG11" s="4" t="s">
        <v>711</v>
      </c>
      <c r="BH11" s="4" t="s">
        <v>712</v>
      </c>
      <c r="BI11" s="7"/>
      <c r="BJ11" s="7"/>
      <c r="BK11" s="7"/>
      <c r="BL11" s="7"/>
      <c r="BM11" s="4"/>
      <c r="BN11" s="4"/>
      <c r="BO11" s="7"/>
      <c r="BP11" s="7"/>
      <c r="BQ11" s="7"/>
      <c r="BR11" s="7"/>
      <c r="BS11" s="7"/>
      <c r="BT11" s="7"/>
      <c r="BU11" s="7"/>
      <c r="BV11" s="20" t="s">
        <v>24</v>
      </c>
      <c r="BW11" s="20" t="s">
        <v>31</v>
      </c>
      <c r="BX11" s="20" t="s">
        <v>38</v>
      </c>
      <c r="BY11" s="7"/>
      <c r="BZ11" s="20" t="s">
        <v>484</v>
      </c>
      <c r="CA11" s="20" t="s">
        <v>713</v>
      </c>
      <c r="CB11" s="20" t="s">
        <v>665</v>
      </c>
      <c r="CC11" s="20" t="s">
        <v>666</v>
      </c>
      <c r="CD11" s="20" t="s">
        <v>667</v>
      </c>
      <c r="CE11" s="20" t="s">
        <v>714</v>
      </c>
      <c r="CF11" s="7"/>
      <c r="CG11" s="20" t="s">
        <v>715</v>
      </c>
      <c r="CH11" s="22" t="str">
        <f aca="false">IF(AND(ISNUMBER(BP11),ISNUMBER(AG11),AG11&gt;0),BP11*1000000/AG11,"")</f>
        <v/>
      </c>
      <c r="CI11" s="7"/>
      <c r="CJ11" s="7"/>
      <c r="CK11" s="7"/>
      <c r="CL11" s="7"/>
      <c r="CM11" s="7"/>
      <c r="CN11" s="7"/>
      <c r="CO11" s="7"/>
      <c r="CP11" s="7"/>
      <c r="CQ11" s="7"/>
      <c r="CR11" s="7"/>
      <c r="CS11" s="7"/>
    </row>
    <row r="12" customFormat="false" ht="873.85" hidden="false" customHeight="false" outlineLevel="0" collapsed="false">
      <c r="A12" s="4" t="n">
        <v>11</v>
      </c>
      <c r="B12" s="4" t="s">
        <v>451</v>
      </c>
      <c r="C12" s="4" t="s">
        <v>452</v>
      </c>
      <c r="D12" s="4" t="s">
        <v>453</v>
      </c>
      <c r="E12" s="4" t="s">
        <v>716</v>
      </c>
      <c r="F12" s="4" t="s">
        <v>717</v>
      </c>
      <c r="G12" s="4" t="s">
        <v>718</v>
      </c>
      <c r="H12" s="4" t="s">
        <v>719</v>
      </c>
      <c r="I12" s="4" t="s">
        <v>720</v>
      </c>
      <c r="J12" s="4" t="s">
        <v>721</v>
      </c>
      <c r="K12" s="17"/>
      <c r="L12" s="4"/>
      <c r="M12" s="4"/>
      <c r="N12" s="4"/>
      <c r="O12" s="23" t="s">
        <v>643</v>
      </c>
      <c r="P12" s="7"/>
      <c r="Q12" s="7"/>
      <c r="R12" s="23" t="s">
        <v>722</v>
      </c>
      <c r="S12" s="4" t="s">
        <v>462</v>
      </c>
      <c r="T12" s="4" t="s">
        <v>723</v>
      </c>
      <c r="U12" s="4" t="s">
        <v>724</v>
      </c>
      <c r="V12" s="4" t="s">
        <v>498</v>
      </c>
      <c r="W12" s="4"/>
      <c r="X12" s="4" t="s">
        <v>499</v>
      </c>
      <c r="Y12" s="4"/>
      <c r="Z12" s="4" t="s">
        <v>725</v>
      </c>
      <c r="AA12" s="7"/>
      <c r="AB12" s="4"/>
      <c r="AC12" s="4"/>
      <c r="AD12" s="4"/>
      <c r="AE12" s="18" t="s">
        <v>470</v>
      </c>
      <c r="AF12" s="4" t="s">
        <v>471</v>
      </c>
      <c r="AG12" s="4"/>
      <c r="AH12" s="4"/>
      <c r="AI12" s="4" t="s">
        <v>472</v>
      </c>
      <c r="AJ12" s="23" t="s">
        <v>726</v>
      </c>
      <c r="AK12" s="4"/>
      <c r="AL12" s="7"/>
      <c r="AM12" s="4"/>
      <c r="AN12" s="4"/>
      <c r="AO12" s="23" t="s">
        <v>727</v>
      </c>
      <c r="AP12" s="4"/>
      <c r="AQ12" s="7"/>
      <c r="AR12" s="4"/>
      <c r="AS12" s="4"/>
      <c r="AT12" s="4"/>
      <c r="AU12" s="4"/>
      <c r="AV12" s="23" t="s">
        <v>728</v>
      </c>
      <c r="AW12" s="23" t="s">
        <v>729</v>
      </c>
      <c r="AX12" s="19"/>
      <c r="AY12" s="19"/>
      <c r="AZ12" s="19"/>
      <c r="BA12" s="19"/>
      <c r="BB12" s="24" t="s">
        <v>730</v>
      </c>
      <c r="BC12" s="4" t="s">
        <v>731</v>
      </c>
      <c r="BD12" s="4" t="s">
        <v>708</v>
      </c>
      <c r="BE12" s="4" t="s">
        <v>709</v>
      </c>
      <c r="BF12" s="4" t="s">
        <v>710</v>
      </c>
      <c r="BG12" s="4" t="s">
        <v>732</v>
      </c>
      <c r="BH12" s="4" t="s">
        <v>733</v>
      </c>
      <c r="BI12" s="7"/>
      <c r="BJ12" s="7"/>
      <c r="BK12" s="7"/>
      <c r="BL12" s="7"/>
      <c r="BM12" s="4"/>
      <c r="BN12" s="4"/>
      <c r="BO12" s="7"/>
      <c r="BP12" s="7"/>
      <c r="BQ12" s="7"/>
      <c r="BR12" s="7"/>
      <c r="BS12" s="7"/>
      <c r="BT12" s="7"/>
      <c r="BU12" s="7"/>
      <c r="BV12" s="20" t="s">
        <v>24</v>
      </c>
      <c r="BW12" s="20" t="s">
        <v>31</v>
      </c>
      <c r="BX12" s="20" t="s">
        <v>38</v>
      </c>
      <c r="BY12" s="7"/>
      <c r="BZ12" s="20" t="s">
        <v>484</v>
      </c>
      <c r="CA12" s="20" t="s">
        <v>713</v>
      </c>
      <c r="CB12" s="20" t="s">
        <v>665</v>
      </c>
      <c r="CC12" s="20" t="s">
        <v>666</v>
      </c>
      <c r="CD12" s="20" t="s">
        <v>667</v>
      </c>
      <c r="CE12" s="20" t="s">
        <v>734</v>
      </c>
      <c r="CF12" s="7"/>
      <c r="CG12" s="20" t="s">
        <v>735</v>
      </c>
      <c r="CH12" s="22" t="str">
        <f aca="false">IF(AND(ISNUMBER(BP12),ISNUMBER(AG12),AG12&gt;0),BP12*1000000/AG12,"")</f>
        <v/>
      </c>
      <c r="CI12" s="7"/>
      <c r="CJ12" s="7"/>
      <c r="CK12" s="7"/>
      <c r="CL12" s="7"/>
      <c r="CM12" s="7"/>
      <c r="CN12" s="7"/>
      <c r="CO12" s="7"/>
      <c r="CP12" s="7"/>
      <c r="CQ12" s="7"/>
      <c r="CR12" s="7"/>
      <c r="CS12" s="7"/>
    </row>
    <row r="13" customFormat="false" ht="833.55" hidden="false" customHeight="false" outlineLevel="0" collapsed="false">
      <c r="A13" s="4" t="n">
        <v>12</v>
      </c>
      <c r="B13" s="4" t="s">
        <v>451</v>
      </c>
      <c r="C13" s="4" t="s">
        <v>452</v>
      </c>
      <c r="D13" s="4" t="s">
        <v>453</v>
      </c>
      <c r="E13" s="4" t="s">
        <v>736</v>
      </c>
      <c r="F13" s="4" t="s">
        <v>717</v>
      </c>
      <c r="G13" s="4" t="s">
        <v>737</v>
      </c>
      <c r="H13" s="4" t="s">
        <v>738</v>
      </c>
      <c r="I13" s="4" t="s">
        <v>739</v>
      </c>
      <c r="J13" s="4" t="s">
        <v>740</v>
      </c>
      <c r="K13" s="17"/>
      <c r="L13" s="4"/>
      <c r="M13" s="4"/>
      <c r="N13" s="4"/>
      <c r="O13" s="23" t="s">
        <v>643</v>
      </c>
      <c r="P13" s="7"/>
      <c r="Q13" s="7"/>
      <c r="R13" s="23" t="s">
        <v>741</v>
      </c>
      <c r="S13" s="4" t="s">
        <v>462</v>
      </c>
      <c r="T13" s="4" t="s">
        <v>742</v>
      </c>
      <c r="U13" s="4" t="s">
        <v>743</v>
      </c>
      <c r="V13" s="4" t="s">
        <v>498</v>
      </c>
      <c r="W13" s="4"/>
      <c r="X13" s="4" t="s">
        <v>499</v>
      </c>
      <c r="Y13" s="4"/>
      <c r="Z13" s="23" t="s">
        <v>744</v>
      </c>
      <c r="AA13" s="7"/>
      <c r="AB13" s="4"/>
      <c r="AC13" s="4"/>
      <c r="AD13" s="4"/>
      <c r="AE13" s="18" t="s">
        <v>470</v>
      </c>
      <c r="AF13" s="4" t="s">
        <v>471</v>
      </c>
      <c r="AG13" s="4"/>
      <c r="AH13" s="4"/>
      <c r="AI13" s="4" t="s">
        <v>472</v>
      </c>
      <c r="AJ13" s="23" t="s">
        <v>745</v>
      </c>
      <c r="AK13" s="4"/>
      <c r="AL13" s="7"/>
      <c r="AM13" s="4"/>
      <c r="AN13" s="4"/>
      <c r="AO13" s="23" t="s">
        <v>746</v>
      </c>
      <c r="AP13" s="4"/>
      <c r="AQ13" s="7"/>
      <c r="AR13" s="4"/>
      <c r="AS13" s="4"/>
      <c r="AT13" s="4"/>
      <c r="AU13" s="4"/>
      <c r="AV13" s="23" t="s">
        <v>747</v>
      </c>
      <c r="AW13" s="23" t="s">
        <v>748</v>
      </c>
      <c r="AX13" s="19"/>
      <c r="AY13" s="19"/>
      <c r="AZ13" s="19"/>
      <c r="BA13" s="19"/>
      <c r="BB13" s="24" t="s">
        <v>749</v>
      </c>
      <c r="BC13" s="4" t="s">
        <v>750</v>
      </c>
      <c r="BD13" s="4" t="s">
        <v>708</v>
      </c>
      <c r="BE13" s="4" t="s">
        <v>709</v>
      </c>
      <c r="BF13" s="4" t="s">
        <v>710</v>
      </c>
      <c r="BG13" s="4" t="s">
        <v>751</v>
      </c>
      <c r="BH13" s="4" t="s">
        <v>752</v>
      </c>
      <c r="BI13" s="7"/>
      <c r="BJ13" s="7"/>
      <c r="BK13" s="7"/>
      <c r="BL13" s="7"/>
      <c r="BM13" s="4"/>
      <c r="BN13" s="4"/>
      <c r="BO13" s="7"/>
      <c r="BP13" s="7"/>
      <c r="BQ13" s="7"/>
      <c r="BR13" s="7"/>
      <c r="BS13" s="7"/>
      <c r="BT13" s="7"/>
      <c r="BU13" s="7"/>
      <c r="BV13" s="20" t="s">
        <v>24</v>
      </c>
      <c r="BW13" s="20" t="s">
        <v>31</v>
      </c>
      <c r="BX13" s="20" t="s">
        <v>38</v>
      </c>
      <c r="BY13" s="7"/>
      <c r="BZ13" s="20" t="s">
        <v>484</v>
      </c>
      <c r="CA13" s="20" t="s">
        <v>713</v>
      </c>
      <c r="CB13" s="20" t="s">
        <v>665</v>
      </c>
      <c r="CC13" s="20" t="s">
        <v>666</v>
      </c>
      <c r="CD13" s="20" t="s">
        <v>667</v>
      </c>
      <c r="CE13" s="20" t="s">
        <v>753</v>
      </c>
      <c r="CF13" s="7"/>
      <c r="CG13" s="20" t="s">
        <v>754</v>
      </c>
      <c r="CH13" s="22" t="str">
        <f aca="false">IF(AND(ISNUMBER(BP13),ISNUMBER(AG13),AG13&gt;0),BP13*1000000/AG13,"")</f>
        <v/>
      </c>
      <c r="CI13" s="7"/>
      <c r="CJ13" s="7"/>
      <c r="CK13" s="7"/>
      <c r="CL13" s="7"/>
      <c r="CM13" s="7"/>
      <c r="CN13" s="7"/>
      <c r="CO13" s="7"/>
      <c r="CP13" s="7"/>
      <c r="CQ13" s="7"/>
      <c r="CR13" s="7"/>
      <c r="CS13" s="7"/>
    </row>
    <row r="14" customFormat="false" ht="994.75" hidden="false" customHeight="false" outlineLevel="0" collapsed="false">
      <c r="A14" s="4" t="n">
        <v>13</v>
      </c>
      <c r="B14" s="4" t="s">
        <v>451</v>
      </c>
      <c r="C14" s="4" t="s">
        <v>452</v>
      </c>
      <c r="D14" s="4" t="s">
        <v>453</v>
      </c>
      <c r="E14" s="4" t="s">
        <v>333</v>
      </c>
      <c r="F14" s="4" t="s">
        <v>693</v>
      </c>
      <c r="G14" s="4" t="s">
        <v>755</v>
      </c>
      <c r="H14" s="4" t="s">
        <v>756</v>
      </c>
      <c r="I14" s="4" t="s">
        <v>757</v>
      </c>
      <c r="J14" s="4" t="s">
        <v>758</v>
      </c>
      <c r="K14" s="17"/>
      <c r="L14" s="4"/>
      <c r="M14" s="4"/>
      <c r="N14" s="4"/>
      <c r="O14" s="23" t="s">
        <v>643</v>
      </c>
      <c r="P14" s="7"/>
      <c r="Q14" s="7"/>
      <c r="R14" s="23" t="s">
        <v>759</v>
      </c>
      <c r="S14" s="4" t="s">
        <v>462</v>
      </c>
      <c r="T14" s="4" t="s">
        <v>496</v>
      </c>
      <c r="U14" s="4" t="s">
        <v>579</v>
      </c>
      <c r="V14" s="4" t="s">
        <v>760</v>
      </c>
      <c r="W14" s="4" t="s">
        <v>761</v>
      </c>
      <c r="X14" s="4" t="s">
        <v>762</v>
      </c>
      <c r="Y14" s="4" t="s">
        <v>763</v>
      </c>
      <c r="Z14" s="23" t="s">
        <v>764</v>
      </c>
      <c r="AA14" s="7"/>
      <c r="AB14" s="4"/>
      <c r="AC14" s="4"/>
      <c r="AD14" s="4"/>
      <c r="AE14" s="18" t="s">
        <v>470</v>
      </c>
      <c r="AF14" s="4" t="s">
        <v>471</v>
      </c>
      <c r="AG14" s="4"/>
      <c r="AH14" s="4"/>
      <c r="AI14" s="4" t="s">
        <v>472</v>
      </c>
      <c r="AJ14" s="23" t="s">
        <v>765</v>
      </c>
      <c r="AK14" s="4"/>
      <c r="AL14" s="7"/>
      <c r="AM14" s="4"/>
      <c r="AN14" s="4"/>
      <c r="AO14" s="23" t="s">
        <v>766</v>
      </c>
      <c r="AP14" s="4"/>
      <c r="AQ14" s="7"/>
      <c r="AR14" s="4"/>
      <c r="AS14" s="4"/>
      <c r="AT14" s="4"/>
      <c r="AU14" s="4"/>
      <c r="AV14" s="23" t="s">
        <v>767</v>
      </c>
      <c r="AW14" s="23" t="s">
        <v>768</v>
      </c>
      <c r="AX14" s="19"/>
      <c r="AY14" s="19"/>
      <c r="AZ14" s="19"/>
      <c r="BA14" s="19"/>
      <c r="BB14" s="24" t="s">
        <v>769</v>
      </c>
      <c r="BC14" s="4" t="s">
        <v>770</v>
      </c>
      <c r="BD14" s="4" t="s">
        <v>685</v>
      </c>
      <c r="BE14" s="4" t="s">
        <v>686</v>
      </c>
      <c r="BF14" s="4" t="s">
        <v>687</v>
      </c>
      <c r="BG14" s="4" t="s">
        <v>771</v>
      </c>
      <c r="BH14" s="4" t="s">
        <v>772</v>
      </c>
      <c r="BI14" s="7"/>
      <c r="BJ14" s="7"/>
      <c r="BK14" s="7"/>
      <c r="BL14" s="7"/>
      <c r="BM14" s="4"/>
      <c r="BN14" s="4"/>
      <c r="BO14" s="7"/>
      <c r="BP14" s="7"/>
      <c r="BQ14" s="7"/>
      <c r="BR14" s="7"/>
      <c r="BS14" s="7"/>
      <c r="BT14" s="7"/>
      <c r="BU14" s="7"/>
      <c r="BV14" s="20" t="s">
        <v>24</v>
      </c>
      <c r="BW14" s="20" t="s">
        <v>31</v>
      </c>
      <c r="BX14" s="20" t="s">
        <v>38</v>
      </c>
      <c r="BY14" s="20" t="s">
        <v>773</v>
      </c>
      <c r="BZ14" s="20" t="s">
        <v>484</v>
      </c>
      <c r="CA14" s="20" t="s">
        <v>524</v>
      </c>
      <c r="CB14" s="20" t="s">
        <v>665</v>
      </c>
      <c r="CC14" s="20" t="s">
        <v>666</v>
      </c>
      <c r="CD14" s="20" t="s">
        <v>667</v>
      </c>
      <c r="CE14" s="20" t="s">
        <v>332</v>
      </c>
      <c r="CF14" s="21" t="n">
        <v>11</v>
      </c>
      <c r="CG14" s="20" t="s">
        <v>774</v>
      </c>
      <c r="CH14" s="22" t="str">
        <f aca="false">IF(AND(ISNUMBER(BP14),ISNUMBER(AG14),AG14&gt;0),BP14*1000000/AG14,"")</f>
        <v/>
      </c>
      <c r="CI14" s="7"/>
      <c r="CJ14" s="7"/>
      <c r="CK14" s="7"/>
      <c r="CL14" s="7"/>
      <c r="CM14" s="7"/>
      <c r="CN14" s="7"/>
      <c r="CO14" s="7"/>
      <c r="CP14" s="7"/>
      <c r="CQ14" s="7"/>
      <c r="CR14" s="7"/>
      <c r="CS14" s="7"/>
    </row>
    <row r="15" customFormat="false" ht="1223.1" hidden="false" customHeight="false" outlineLevel="0" collapsed="false">
      <c r="A15" s="4" t="n">
        <v>14</v>
      </c>
      <c r="B15" s="4" t="s">
        <v>451</v>
      </c>
      <c r="C15" s="4" t="s">
        <v>452</v>
      </c>
      <c r="D15" s="4" t="s">
        <v>453</v>
      </c>
      <c r="E15" s="4" t="s">
        <v>775</v>
      </c>
      <c r="F15" s="4" t="s">
        <v>776</v>
      </c>
      <c r="G15" s="4" t="s">
        <v>755</v>
      </c>
      <c r="H15" s="4" t="s">
        <v>777</v>
      </c>
      <c r="I15" s="4" t="s">
        <v>778</v>
      </c>
      <c r="J15" s="4" t="s">
        <v>779</v>
      </c>
      <c r="K15" s="17"/>
      <c r="L15" s="4"/>
      <c r="M15" s="4"/>
      <c r="N15" s="4"/>
      <c r="O15" s="4" t="s">
        <v>780</v>
      </c>
      <c r="P15" s="7"/>
      <c r="Q15" s="7"/>
      <c r="R15" s="23" t="s">
        <v>781</v>
      </c>
      <c r="S15" s="4" t="s">
        <v>462</v>
      </c>
      <c r="T15" s="4" t="s">
        <v>782</v>
      </c>
      <c r="U15" s="23" t="s">
        <v>783</v>
      </c>
      <c r="V15" s="4" t="s">
        <v>760</v>
      </c>
      <c r="W15" s="4" t="s">
        <v>784</v>
      </c>
      <c r="X15" s="4" t="s">
        <v>762</v>
      </c>
      <c r="Y15" s="4" t="s">
        <v>763</v>
      </c>
      <c r="Z15" s="23" t="s">
        <v>785</v>
      </c>
      <c r="AA15" s="20" t="n">
        <v>79.53987</v>
      </c>
      <c r="AB15" s="23" t="s">
        <v>786</v>
      </c>
      <c r="AC15" s="23" t="s">
        <v>787</v>
      </c>
      <c r="AD15" s="23" t="s">
        <v>788</v>
      </c>
      <c r="AE15" s="18" t="s">
        <v>470</v>
      </c>
      <c r="AF15" s="4" t="s">
        <v>471</v>
      </c>
      <c r="AG15" s="4"/>
      <c r="AH15" s="4"/>
      <c r="AI15" s="4" t="s">
        <v>472</v>
      </c>
      <c r="AJ15" s="4" t="s">
        <v>473</v>
      </c>
      <c r="AK15" s="4"/>
      <c r="AL15" s="20" t="n">
        <v>2.55606</v>
      </c>
      <c r="AM15" s="23" t="n">
        <v>2026</v>
      </c>
      <c r="AN15" s="23" t="s">
        <v>789</v>
      </c>
      <c r="AO15" s="23" t="s">
        <v>506</v>
      </c>
      <c r="AP15" s="23" t="s">
        <v>790</v>
      </c>
      <c r="AQ15" s="7"/>
      <c r="AR15" s="4"/>
      <c r="AS15" s="4"/>
      <c r="AT15" s="4"/>
      <c r="AU15" s="4"/>
      <c r="AV15" s="4" t="s">
        <v>475</v>
      </c>
      <c r="AW15" s="23" t="s">
        <v>791</v>
      </c>
      <c r="AX15" s="19"/>
      <c r="AY15" s="19"/>
      <c r="AZ15" s="19"/>
      <c r="BA15" s="19"/>
      <c r="BB15" s="19" t="s">
        <v>792</v>
      </c>
      <c r="BC15" s="4" t="s">
        <v>793</v>
      </c>
      <c r="BD15" s="4" t="s">
        <v>794</v>
      </c>
      <c r="BE15" s="4" t="s">
        <v>514</v>
      </c>
      <c r="BF15" s="4" t="s">
        <v>515</v>
      </c>
      <c r="BG15" s="4" t="s">
        <v>795</v>
      </c>
      <c r="BH15" s="4" t="s">
        <v>796</v>
      </c>
      <c r="BI15" s="7"/>
      <c r="BJ15" s="7"/>
      <c r="BK15" s="7"/>
      <c r="BL15" s="7"/>
      <c r="BM15" s="4"/>
      <c r="BN15" s="23" t="s">
        <v>797</v>
      </c>
      <c r="BO15" s="7"/>
      <c r="BP15" s="7"/>
      <c r="BQ15" s="7"/>
      <c r="BR15" s="7"/>
      <c r="BS15" s="7"/>
      <c r="BT15" s="7"/>
      <c r="BU15" s="7"/>
      <c r="BV15" s="20" t="s">
        <v>25</v>
      </c>
      <c r="BW15" s="20" t="s">
        <v>32</v>
      </c>
      <c r="BX15" s="20" t="s">
        <v>34</v>
      </c>
      <c r="BY15" s="7"/>
      <c r="BZ15" s="20" t="s">
        <v>484</v>
      </c>
      <c r="CA15" s="20" t="s">
        <v>524</v>
      </c>
      <c r="CB15" s="20" t="s">
        <v>798</v>
      </c>
      <c r="CC15" s="20" t="s">
        <v>799</v>
      </c>
      <c r="CD15" s="7"/>
      <c r="CE15" s="20" t="s">
        <v>800</v>
      </c>
      <c r="CF15" s="7"/>
      <c r="CG15" s="7"/>
      <c r="CH15" s="22" t="str">
        <f aca="false">IF(AND(ISNUMBER(BP15),ISNUMBER(AG15),AG15&gt;0),BP15*1000000/AG15,"")</f>
        <v/>
      </c>
      <c r="CI15" s="21" t="n">
        <v>44</v>
      </c>
      <c r="CJ15" s="21" t="n">
        <v>16</v>
      </c>
      <c r="CK15" s="21" t="n">
        <v>3</v>
      </c>
      <c r="CL15" s="21" t="n">
        <v>63</v>
      </c>
      <c r="CM15" s="7"/>
      <c r="CN15" s="7"/>
      <c r="CO15" s="7"/>
      <c r="CP15" s="20" t="s">
        <v>801</v>
      </c>
      <c r="CQ15" s="20" t="s">
        <v>802</v>
      </c>
      <c r="CR15" s="20" t="s">
        <v>803</v>
      </c>
      <c r="CS15" s="20" t="s">
        <v>804</v>
      </c>
    </row>
    <row r="16" customFormat="false" ht="1008.2" hidden="false" customHeight="false" outlineLevel="0" collapsed="false">
      <c r="A16" s="4" t="n">
        <v>15</v>
      </c>
      <c r="B16" s="4" t="s">
        <v>451</v>
      </c>
      <c r="C16" s="4" t="s">
        <v>452</v>
      </c>
      <c r="D16" s="4" t="s">
        <v>453</v>
      </c>
      <c r="E16" s="4" t="s">
        <v>805</v>
      </c>
      <c r="F16" s="4" t="s">
        <v>806</v>
      </c>
      <c r="G16" s="4" t="s">
        <v>807</v>
      </c>
      <c r="H16" s="4" t="s">
        <v>808</v>
      </c>
      <c r="I16" s="4" t="s">
        <v>809</v>
      </c>
      <c r="J16" s="4" t="s">
        <v>810</v>
      </c>
      <c r="K16" s="17"/>
      <c r="L16" s="4"/>
      <c r="M16" s="4"/>
      <c r="N16" s="4"/>
      <c r="O16" s="23" t="s">
        <v>643</v>
      </c>
      <c r="P16" s="7"/>
      <c r="Q16" s="7"/>
      <c r="R16" s="23" t="s">
        <v>811</v>
      </c>
      <c r="S16" s="4" t="s">
        <v>462</v>
      </c>
      <c r="T16" s="4" t="s">
        <v>812</v>
      </c>
      <c r="U16" s="4" t="s">
        <v>813</v>
      </c>
      <c r="V16" s="4" t="s">
        <v>498</v>
      </c>
      <c r="W16" s="4"/>
      <c r="X16" s="4" t="s">
        <v>499</v>
      </c>
      <c r="Y16" s="4"/>
      <c r="Z16" s="23" t="s">
        <v>814</v>
      </c>
      <c r="AA16" s="7"/>
      <c r="AB16" s="4"/>
      <c r="AC16" s="4"/>
      <c r="AD16" s="4"/>
      <c r="AE16" s="18" t="s">
        <v>470</v>
      </c>
      <c r="AF16" s="4" t="s">
        <v>471</v>
      </c>
      <c r="AG16" s="4"/>
      <c r="AH16" s="4"/>
      <c r="AI16" s="4" t="s">
        <v>472</v>
      </c>
      <c r="AJ16" s="23" t="s">
        <v>815</v>
      </c>
      <c r="AK16" s="4"/>
      <c r="AL16" s="7"/>
      <c r="AM16" s="4"/>
      <c r="AN16" s="4"/>
      <c r="AO16" s="23" t="s">
        <v>816</v>
      </c>
      <c r="AP16" s="4"/>
      <c r="AQ16" s="7"/>
      <c r="AR16" s="4"/>
      <c r="AS16" s="4"/>
      <c r="AT16" s="4"/>
      <c r="AU16" s="4"/>
      <c r="AV16" s="23" t="s">
        <v>817</v>
      </c>
      <c r="AW16" s="23" t="s">
        <v>818</v>
      </c>
      <c r="AX16" s="19"/>
      <c r="AY16" s="19"/>
      <c r="AZ16" s="19"/>
      <c r="BA16" s="19"/>
      <c r="BB16" s="24" t="s">
        <v>819</v>
      </c>
      <c r="BC16" s="4" t="s">
        <v>820</v>
      </c>
      <c r="BD16" s="4" t="s">
        <v>821</v>
      </c>
      <c r="BE16" s="4" t="s">
        <v>822</v>
      </c>
      <c r="BF16" s="4" t="s">
        <v>823</v>
      </c>
      <c r="BG16" s="4" t="s">
        <v>824</v>
      </c>
      <c r="BH16" s="4" t="s">
        <v>825</v>
      </c>
      <c r="BI16" s="7"/>
      <c r="BJ16" s="7"/>
      <c r="BK16" s="7"/>
      <c r="BL16" s="7"/>
      <c r="BM16" s="4"/>
      <c r="BN16" s="4"/>
      <c r="BO16" s="7"/>
      <c r="BP16" s="7"/>
      <c r="BQ16" s="7"/>
      <c r="BR16" s="7"/>
      <c r="BS16" s="7"/>
      <c r="BT16" s="7"/>
      <c r="BU16" s="7"/>
      <c r="BV16" s="20" t="s">
        <v>24</v>
      </c>
      <c r="BW16" s="20" t="s">
        <v>31</v>
      </c>
      <c r="BX16" s="20" t="s">
        <v>38</v>
      </c>
      <c r="BY16" s="7"/>
      <c r="BZ16" s="20" t="s">
        <v>484</v>
      </c>
      <c r="CA16" s="20" t="s">
        <v>713</v>
      </c>
      <c r="CB16" s="20" t="s">
        <v>665</v>
      </c>
      <c r="CC16" s="20" t="s">
        <v>666</v>
      </c>
      <c r="CD16" s="20" t="s">
        <v>667</v>
      </c>
      <c r="CE16" s="20" t="s">
        <v>826</v>
      </c>
      <c r="CF16" s="7"/>
      <c r="CG16" s="20" t="s">
        <v>827</v>
      </c>
      <c r="CH16" s="22" t="str">
        <f aca="false">IF(AND(ISNUMBER(BP16),ISNUMBER(AG16),AG16&gt;0),BP16*1000000/AG16,"")</f>
        <v/>
      </c>
      <c r="CI16" s="7"/>
      <c r="CJ16" s="7"/>
      <c r="CK16" s="7"/>
      <c r="CL16" s="7"/>
      <c r="CM16" s="7"/>
      <c r="CN16" s="7"/>
      <c r="CO16" s="7"/>
      <c r="CP16" s="7"/>
      <c r="CQ16" s="7"/>
      <c r="CR16" s="7"/>
      <c r="CS16" s="7"/>
    </row>
    <row r="17" customFormat="false" ht="1035.05" hidden="false" customHeight="false" outlineLevel="0" collapsed="false">
      <c r="A17" s="4" t="n">
        <v>16</v>
      </c>
      <c r="B17" s="4" t="s">
        <v>451</v>
      </c>
      <c r="C17" s="4" t="s">
        <v>452</v>
      </c>
      <c r="D17" s="4" t="s">
        <v>453</v>
      </c>
      <c r="E17" s="4" t="s">
        <v>828</v>
      </c>
      <c r="F17" s="4" t="s">
        <v>829</v>
      </c>
      <c r="G17" s="4" t="s">
        <v>830</v>
      </c>
      <c r="H17" s="4" t="s">
        <v>831</v>
      </c>
      <c r="I17" s="4" t="s">
        <v>832</v>
      </c>
      <c r="J17" s="4" t="s">
        <v>833</v>
      </c>
      <c r="K17" s="17"/>
      <c r="L17" s="4"/>
      <c r="M17" s="4"/>
      <c r="N17" s="4"/>
      <c r="O17" s="23" t="s">
        <v>643</v>
      </c>
      <c r="P17" s="7"/>
      <c r="Q17" s="7"/>
      <c r="R17" s="23" t="s">
        <v>834</v>
      </c>
      <c r="S17" s="4" t="s">
        <v>462</v>
      </c>
      <c r="T17" s="4" t="s">
        <v>835</v>
      </c>
      <c r="U17" s="4" t="s">
        <v>836</v>
      </c>
      <c r="V17" s="4" t="s">
        <v>498</v>
      </c>
      <c r="W17" s="4"/>
      <c r="X17" s="4" t="s">
        <v>499</v>
      </c>
      <c r="Y17" s="4"/>
      <c r="Z17" s="23" t="s">
        <v>837</v>
      </c>
      <c r="AA17" s="20" t="n">
        <v>0.1</v>
      </c>
      <c r="AB17" s="23" t="s">
        <v>838</v>
      </c>
      <c r="AC17" s="23" t="s">
        <v>839</v>
      </c>
      <c r="AD17" s="23" t="s">
        <v>840</v>
      </c>
      <c r="AE17" s="18" t="s">
        <v>470</v>
      </c>
      <c r="AF17" s="4" t="s">
        <v>471</v>
      </c>
      <c r="AG17" s="4"/>
      <c r="AH17" s="4"/>
      <c r="AI17" s="4" t="s">
        <v>472</v>
      </c>
      <c r="AJ17" s="23" t="s">
        <v>841</v>
      </c>
      <c r="AK17" s="4"/>
      <c r="AL17" s="7"/>
      <c r="AM17" s="4"/>
      <c r="AN17" s="4"/>
      <c r="AO17" s="23" t="s">
        <v>842</v>
      </c>
      <c r="AP17" s="4"/>
      <c r="AQ17" s="7"/>
      <c r="AR17" s="4"/>
      <c r="AS17" s="4"/>
      <c r="AT17" s="4"/>
      <c r="AU17" s="4"/>
      <c r="AV17" s="23" t="s">
        <v>843</v>
      </c>
      <c r="AW17" s="23" t="s">
        <v>844</v>
      </c>
      <c r="AX17" s="19"/>
      <c r="AY17" s="19"/>
      <c r="AZ17" s="19"/>
      <c r="BA17" s="19"/>
      <c r="BB17" s="24" t="s">
        <v>845</v>
      </c>
      <c r="BC17" s="4" t="s">
        <v>846</v>
      </c>
      <c r="BD17" s="4" t="s">
        <v>685</v>
      </c>
      <c r="BE17" s="4" t="s">
        <v>686</v>
      </c>
      <c r="BF17" s="4" t="s">
        <v>687</v>
      </c>
      <c r="BG17" s="4" t="s">
        <v>847</v>
      </c>
      <c r="BH17" s="4" t="s">
        <v>848</v>
      </c>
      <c r="BI17" s="7"/>
      <c r="BJ17" s="7"/>
      <c r="BK17" s="7"/>
      <c r="BL17" s="7"/>
      <c r="BM17" s="4"/>
      <c r="BN17" s="4"/>
      <c r="BO17" s="7"/>
      <c r="BP17" s="7"/>
      <c r="BQ17" s="7"/>
      <c r="BR17" s="7"/>
      <c r="BS17" s="7"/>
      <c r="BT17" s="7"/>
      <c r="BU17" s="7"/>
      <c r="BV17" s="20" t="s">
        <v>24</v>
      </c>
      <c r="BW17" s="20" t="s">
        <v>31</v>
      </c>
      <c r="BX17" s="20" t="s">
        <v>38</v>
      </c>
      <c r="BY17" s="7"/>
      <c r="BZ17" s="20" t="s">
        <v>484</v>
      </c>
      <c r="CA17" s="20" t="s">
        <v>524</v>
      </c>
      <c r="CB17" s="20" t="s">
        <v>665</v>
      </c>
      <c r="CC17" s="20" t="s">
        <v>666</v>
      </c>
      <c r="CD17" s="20" t="s">
        <v>667</v>
      </c>
      <c r="CE17" s="20" t="s">
        <v>849</v>
      </c>
      <c r="CF17" s="7"/>
      <c r="CG17" s="20" t="s">
        <v>850</v>
      </c>
      <c r="CH17" s="22" t="str">
        <f aca="false">IF(AND(ISNUMBER(BP17),ISNUMBER(AG17),AG17&gt;0),BP17*1000000/AG17,"")</f>
        <v/>
      </c>
      <c r="CI17" s="7"/>
      <c r="CJ17" s="7"/>
      <c r="CK17" s="7"/>
      <c r="CL17" s="7"/>
      <c r="CM17" s="7"/>
      <c r="CN17" s="7"/>
      <c r="CO17" s="7"/>
      <c r="CP17" s="7"/>
      <c r="CQ17" s="7"/>
      <c r="CR17" s="7"/>
      <c r="CS17" s="7"/>
    </row>
    <row r="18" customFormat="false" ht="860.4" hidden="false" customHeight="false" outlineLevel="0" collapsed="false">
      <c r="A18" s="4" t="n">
        <v>17</v>
      </c>
      <c r="B18" s="4" t="s">
        <v>451</v>
      </c>
      <c r="C18" s="4" t="s">
        <v>452</v>
      </c>
      <c r="D18" s="4" t="s">
        <v>453</v>
      </c>
      <c r="E18" s="4" t="s">
        <v>851</v>
      </c>
      <c r="F18" s="4" t="s">
        <v>693</v>
      </c>
      <c r="G18" s="4" t="s">
        <v>852</v>
      </c>
      <c r="H18" s="4" t="s">
        <v>853</v>
      </c>
      <c r="I18" s="4" t="s">
        <v>854</v>
      </c>
      <c r="J18" s="4" t="s">
        <v>855</v>
      </c>
      <c r="K18" s="17"/>
      <c r="L18" s="4"/>
      <c r="M18" s="4"/>
      <c r="N18" s="4"/>
      <c r="O18" s="23" t="s">
        <v>643</v>
      </c>
      <c r="P18" s="7"/>
      <c r="Q18" s="7"/>
      <c r="R18" s="23" t="s">
        <v>856</v>
      </c>
      <c r="S18" s="4" t="s">
        <v>462</v>
      </c>
      <c r="T18" s="4" t="s">
        <v>857</v>
      </c>
      <c r="U18" s="4" t="s">
        <v>858</v>
      </c>
      <c r="V18" s="4" t="s">
        <v>498</v>
      </c>
      <c r="W18" s="4"/>
      <c r="X18" s="4" t="s">
        <v>499</v>
      </c>
      <c r="Y18" s="4"/>
      <c r="Z18" s="23" t="s">
        <v>859</v>
      </c>
      <c r="AA18" s="7"/>
      <c r="AB18" s="4"/>
      <c r="AC18" s="4"/>
      <c r="AD18" s="4"/>
      <c r="AE18" s="18" t="s">
        <v>470</v>
      </c>
      <c r="AF18" s="4" t="s">
        <v>471</v>
      </c>
      <c r="AG18" s="4"/>
      <c r="AH18" s="4"/>
      <c r="AI18" s="4" t="s">
        <v>472</v>
      </c>
      <c r="AJ18" s="23" t="s">
        <v>860</v>
      </c>
      <c r="AK18" s="4"/>
      <c r="AL18" s="7"/>
      <c r="AM18" s="4"/>
      <c r="AN18" s="4"/>
      <c r="AO18" s="23" t="s">
        <v>861</v>
      </c>
      <c r="AP18" s="4"/>
      <c r="AQ18" s="7"/>
      <c r="AR18" s="4"/>
      <c r="AS18" s="4"/>
      <c r="AT18" s="4"/>
      <c r="AU18" s="4"/>
      <c r="AV18" s="23" t="s">
        <v>862</v>
      </c>
      <c r="AW18" s="23" t="s">
        <v>863</v>
      </c>
      <c r="AX18" s="19"/>
      <c r="AY18" s="19"/>
      <c r="AZ18" s="19"/>
      <c r="BA18" s="19"/>
      <c r="BB18" s="24" t="s">
        <v>864</v>
      </c>
      <c r="BC18" s="4" t="s">
        <v>865</v>
      </c>
      <c r="BD18" s="4" t="s">
        <v>658</v>
      </c>
      <c r="BE18" s="4" t="s">
        <v>659</v>
      </c>
      <c r="BF18" s="4" t="s">
        <v>660</v>
      </c>
      <c r="BG18" s="4" t="s">
        <v>866</v>
      </c>
      <c r="BH18" s="4" t="s">
        <v>867</v>
      </c>
      <c r="BI18" s="7"/>
      <c r="BJ18" s="7"/>
      <c r="BK18" s="7"/>
      <c r="BL18" s="7"/>
      <c r="BM18" s="4"/>
      <c r="BN18" s="4"/>
      <c r="BO18" s="7"/>
      <c r="BP18" s="7"/>
      <c r="BQ18" s="7"/>
      <c r="BR18" s="7"/>
      <c r="BS18" s="7"/>
      <c r="BT18" s="7"/>
      <c r="BU18" s="7"/>
      <c r="BV18" s="20" t="s">
        <v>24</v>
      </c>
      <c r="BW18" s="20" t="s">
        <v>31</v>
      </c>
      <c r="BX18" s="20" t="s">
        <v>38</v>
      </c>
      <c r="BY18" s="7"/>
      <c r="BZ18" s="20" t="s">
        <v>484</v>
      </c>
      <c r="CA18" s="20" t="s">
        <v>713</v>
      </c>
      <c r="CB18" s="20" t="s">
        <v>665</v>
      </c>
      <c r="CC18" s="20" t="s">
        <v>666</v>
      </c>
      <c r="CD18" s="20" t="s">
        <v>667</v>
      </c>
      <c r="CE18" s="20" t="s">
        <v>868</v>
      </c>
      <c r="CF18" s="7"/>
      <c r="CG18" s="20" t="s">
        <v>869</v>
      </c>
      <c r="CH18" s="22" t="str">
        <f aca="false">IF(AND(ISNUMBER(BP18),ISNUMBER(AG18),AG18&gt;0),BP18*1000000/AG18,"")</f>
        <v/>
      </c>
      <c r="CI18" s="7"/>
      <c r="CJ18" s="7"/>
      <c r="CK18" s="7"/>
      <c r="CL18" s="7"/>
      <c r="CM18" s="7"/>
      <c r="CN18" s="7"/>
      <c r="CO18" s="7"/>
      <c r="CP18" s="7"/>
      <c r="CQ18" s="7"/>
      <c r="CR18" s="7"/>
      <c r="CS18" s="7"/>
    </row>
    <row r="19" customFormat="false" ht="981.3" hidden="false" customHeight="false" outlineLevel="0" collapsed="false">
      <c r="A19" s="4" t="n">
        <v>18</v>
      </c>
      <c r="B19" s="4" t="s">
        <v>451</v>
      </c>
      <c r="C19" s="4" t="s">
        <v>452</v>
      </c>
      <c r="D19" s="4" t="s">
        <v>547</v>
      </c>
      <c r="E19" s="4" t="s">
        <v>870</v>
      </c>
      <c r="F19" s="4" t="s">
        <v>693</v>
      </c>
      <c r="G19" s="4" t="s">
        <v>871</v>
      </c>
      <c r="H19" s="4" t="s">
        <v>872</v>
      </c>
      <c r="I19" s="4" t="s">
        <v>873</v>
      </c>
      <c r="J19" s="4" t="s">
        <v>874</v>
      </c>
      <c r="K19" s="17"/>
      <c r="L19" s="4"/>
      <c r="M19" s="4"/>
      <c r="N19" s="4"/>
      <c r="O19" s="23" t="s">
        <v>643</v>
      </c>
      <c r="P19" s="7"/>
      <c r="Q19" s="7"/>
      <c r="R19" s="23" t="s">
        <v>875</v>
      </c>
      <c r="S19" s="4" t="s">
        <v>462</v>
      </c>
      <c r="T19" s="4" t="s">
        <v>496</v>
      </c>
      <c r="U19" s="4" t="s">
        <v>579</v>
      </c>
      <c r="V19" s="4" t="s">
        <v>498</v>
      </c>
      <c r="W19" s="4"/>
      <c r="X19" s="4" t="s">
        <v>499</v>
      </c>
      <c r="Y19" s="4"/>
      <c r="Z19" s="23" t="s">
        <v>876</v>
      </c>
      <c r="AA19" s="7"/>
      <c r="AB19" s="4"/>
      <c r="AC19" s="4"/>
      <c r="AD19" s="4"/>
      <c r="AE19" s="18" t="s">
        <v>470</v>
      </c>
      <c r="AF19" s="4" t="s">
        <v>471</v>
      </c>
      <c r="AG19" s="4"/>
      <c r="AH19" s="4"/>
      <c r="AI19" s="4" t="s">
        <v>472</v>
      </c>
      <c r="AJ19" s="23" t="s">
        <v>877</v>
      </c>
      <c r="AK19" s="4"/>
      <c r="AL19" s="7"/>
      <c r="AM19" s="4"/>
      <c r="AN19" s="4"/>
      <c r="AO19" s="23" t="s">
        <v>878</v>
      </c>
      <c r="AP19" s="4"/>
      <c r="AQ19" s="7"/>
      <c r="AR19" s="4"/>
      <c r="AS19" s="4"/>
      <c r="AT19" s="4"/>
      <c r="AU19" s="4"/>
      <c r="AV19" s="23" t="s">
        <v>879</v>
      </c>
      <c r="AW19" s="23" t="s">
        <v>880</v>
      </c>
      <c r="AX19" s="19"/>
      <c r="AY19" s="19"/>
      <c r="AZ19" s="19"/>
      <c r="BA19" s="19"/>
      <c r="BB19" s="24" t="s">
        <v>881</v>
      </c>
      <c r="BC19" s="4" t="s">
        <v>882</v>
      </c>
      <c r="BD19" s="4" t="s">
        <v>708</v>
      </c>
      <c r="BE19" s="4" t="s">
        <v>883</v>
      </c>
      <c r="BF19" s="4" t="s">
        <v>710</v>
      </c>
      <c r="BG19" s="4" t="s">
        <v>884</v>
      </c>
      <c r="BH19" s="4" t="s">
        <v>885</v>
      </c>
      <c r="BI19" s="7"/>
      <c r="BJ19" s="7"/>
      <c r="BK19" s="7"/>
      <c r="BL19" s="7"/>
      <c r="BM19" s="4"/>
      <c r="BN19" s="4"/>
      <c r="BO19" s="7"/>
      <c r="BP19" s="7"/>
      <c r="BQ19" s="7"/>
      <c r="BR19" s="7"/>
      <c r="BS19" s="7"/>
      <c r="BT19" s="7"/>
      <c r="BU19" s="7"/>
      <c r="BV19" s="20" t="s">
        <v>24</v>
      </c>
      <c r="BW19" s="20" t="s">
        <v>31</v>
      </c>
      <c r="BX19" s="20" t="s">
        <v>38</v>
      </c>
      <c r="BY19" s="7"/>
      <c r="BZ19" s="20" t="s">
        <v>484</v>
      </c>
      <c r="CA19" s="20" t="s">
        <v>524</v>
      </c>
      <c r="CB19" s="20" t="s">
        <v>665</v>
      </c>
      <c r="CC19" s="20" t="s">
        <v>666</v>
      </c>
      <c r="CD19" s="20" t="s">
        <v>667</v>
      </c>
      <c r="CE19" s="20" t="s">
        <v>886</v>
      </c>
      <c r="CF19" s="7"/>
      <c r="CG19" s="20" t="s">
        <v>887</v>
      </c>
      <c r="CH19" s="22" t="str">
        <f aca="false">IF(AND(ISNUMBER(BP19),ISNUMBER(AG19),AG19&gt;0),BP19*1000000/AG19,"")</f>
        <v/>
      </c>
      <c r="CI19" s="7"/>
      <c r="CJ19" s="7"/>
      <c r="CK19" s="7"/>
      <c r="CL19" s="7"/>
      <c r="CM19" s="7"/>
      <c r="CN19" s="7"/>
      <c r="CO19" s="7"/>
      <c r="CP19" s="7"/>
      <c r="CQ19" s="7"/>
      <c r="CR19" s="7"/>
      <c r="CS19" s="7"/>
    </row>
    <row r="20" customFormat="false" ht="1088.8" hidden="false" customHeight="false" outlineLevel="0" collapsed="false">
      <c r="A20" s="4" t="n">
        <v>19</v>
      </c>
      <c r="B20" s="4" t="s">
        <v>451</v>
      </c>
      <c r="C20" s="4" t="s">
        <v>452</v>
      </c>
      <c r="D20" s="4" t="s">
        <v>453</v>
      </c>
      <c r="E20" s="4" t="s">
        <v>888</v>
      </c>
      <c r="F20" s="4" t="s">
        <v>693</v>
      </c>
      <c r="G20" s="4" t="s">
        <v>889</v>
      </c>
      <c r="H20" s="4" t="s">
        <v>890</v>
      </c>
      <c r="I20" s="4" t="s">
        <v>891</v>
      </c>
      <c r="J20" s="4" t="s">
        <v>892</v>
      </c>
      <c r="K20" s="17"/>
      <c r="L20" s="4"/>
      <c r="M20" s="4"/>
      <c r="N20" s="4"/>
      <c r="O20" s="23" t="s">
        <v>643</v>
      </c>
      <c r="P20" s="7"/>
      <c r="Q20" s="7"/>
      <c r="R20" s="23" t="s">
        <v>893</v>
      </c>
      <c r="S20" s="4" t="s">
        <v>462</v>
      </c>
      <c r="T20" s="4" t="s">
        <v>894</v>
      </c>
      <c r="U20" s="4" t="s">
        <v>895</v>
      </c>
      <c r="V20" s="4" t="s">
        <v>498</v>
      </c>
      <c r="W20" s="4"/>
      <c r="X20" s="4" t="s">
        <v>499</v>
      </c>
      <c r="Y20" s="4"/>
      <c r="Z20" s="23" t="s">
        <v>896</v>
      </c>
      <c r="AA20" s="7"/>
      <c r="AB20" s="4"/>
      <c r="AC20" s="4"/>
      <c r="AD20" s="4"/>
      <c r="AE20" s="18" t="s">
        <v>470</v>
      </c>
      <c r="AF20" s="4" t="s">
        <v>471</v>
      </c>
      <c r="AG20" s="4"/>
      <c r="AH20" s="4"/>
      <c r="AI20" s="4" t="s">
        <v>472</v>
      </c>
      <c r="AJ20" s="23" t="s">
        <v>897</v>
      </c>
      <c r="AK20" s="4"/>
      <c r="AL20" s="7"/>
      <c r="AM20" s="4"/>
      <c r="AN20" s="4"/>
      <c r="AO20" s="23" t="s">
        <v>898</v>
      </c>
      <c r="AP20" s="4"/>
      <c r="AQ20" s="7"/>
      <c r="AR20" s="4"/>
      <c r="AS20" s="4"/>
      <c r="AT20" s="4"/>
      <c r="AU20" s="4"/>
      <c r="AV20" s="23" t="s">
        <v>899</v>
      </c>
      <c r="AW20" s="23" t="s">
        <v>900</v>
      </c>
      <c r="AX20" s="19"/>
      <c r="AY20" s="19"/>
      <c r="AZ20" s="19"/>
      <c r="BA20" s="19"/>
      <c r="BB20" s="24" t="s">
        <v>901</v>
      </c>
      <c r="BC20" s="4" t="s">
        <v>902</v>
      </c>
      <c r="BD20" s="4" t="s">
        <v>903</v>
      </c>
      <c r="BE20" s="4" t="s">
        <v>904</v>
      </c>
      <c r="BF20" s="4" t="s">
        <v>905</v>
      </c>
      <c r="BG20" s="4" t="s">
        <v>906</v>
      </c>
      <c r="BH20" s="4" t="s">
        <v>907</v>
      </c>
      <c r="BI20" s="7"/>
      <c r="BJ20" s="7"/>
      <c r="BK20" s="7"/>
      <c r="BL20" s="7"/>
      <c r="BM20" s="4"/>
      <c r="BN20" s="4"/>
      <c r="BO20" s="7"/>
      <c r="BP20" s="7"/>
      <c r="BQ20" s="7"/>
      <c r="BR20" s="7"/>
      <c r="BS20" s="7"/>
      <c r="BT20" s="7"/>
      <c r="BU20" s="7"/>
      <c r="BV20" s="20" t="s">
        <v>24</v>
      </c>
      <c r="BW20" s="20" t="s">
        <v>31</v>
      </c>
      <c r="BX20" s="20" t="s">
        <v>38</v>
      </c>
      <c r="BY20" s="7"/>
      <c r="BZ20" s="20" t="s">
        <v>484</v>
      </c>
      <c r="CA20" s="20" t="s">
        <v>713</v>
      </c>
      <c r="CB20" s="20" t="s">
        <v>665</v>
      </c>
      <c r="CC20" s="20" t="s">
        <v>666</v>
      </c>
      <c r="CD20" s="20" t="s">
        <v>667</v>
      </c>
      <c r="CE20" s="20" t="s">
        <v>908</v>
      </c>
      <c r="CF20" s="7"/>
      <c r="CG20" s="20" t="s">
        <v>909</v>
      </c>
      <c r="CH20" s="22" t="str">
        <f aca="false">IF(AND(ISNUMBER(BP20),ISNUMBER(AG20),AG20&gt;0),BP20*1000000/AG20,"")</f>
        <v/>
      </c>
      <c r="CI20" s="7"/>
      <c r="CJ20" s="7"/>
      <c r="CK20" s="7"/>
      <c r="CL20" s="7"/>
      <c r="CM20" s="7"/>
      <c r="CN20" s="7"/>
      <c r="CO20" s="7"/>
      <c r="CP20" s="7"/>
      <c r="CQ20" s="7"/>
      <c r="CR20" s="7"/>
      <c r="CS20" s="7"/>
    </row>
    <row r="21" customFormat="false" ht="1129.1" hidden="false" customHeight="false" outlineLevel="0" collapsed="false">
      <c r="A21" s="4" t="n">
        <v>20</v>
      </c>
      <c r="B21" s="4" t="s">
        <v>451</v>
      </c>
      <c r="C21" s="4" t="s">
        <v>452</v>
      </c>
      <c r="D21" s="4" t="s">
        <v>453</v>
      </c>
      <c r="E21" s="4" t="s">
        <v>910</v>
      </c>
      <c r="F21" s="4" t="s">
        <v>693</v>
      </c>
      <c r="G21" s="4" t="s">
        <v>911</v>
      </c>
      <c r="H21" s="4" t="s">
        <v>912</v>
      </c>
      <c r="I21" s="4" t="s">
        <v>913</v>
      </c>
      <c r="J21" s="4" t="s">
        <v>914</v>
      </c>
      <c r="K21" s="17"/>
      <c r="L21" s="4"/>
      <c r="M21" s="4"/>
      <c r="N21" s="4"/>
      <c r="O21" s="23" t="s">
        <v>643</v>
      </c>
      <c r="P21" s="7"/>
      <c r="Q21" s="7"/>
      <c r="R21" s="23" t="s">
        <v>915</v>
      </c>
      <c r="S21" s="4" t="s">
        <v>462</v>
      </c>
      <c r="T21" s="4" t="s">
        <v>916</v>
      </c>
      <c r="U21" s="4" t="s">
        <v>579</v>
      </c>
      <c r="V21" s="4" t="s">
        <v>498</v>
      </c>
      <c r="W21" s="4"/>
      <c r="X21" s="4" t="s">
        <v>499</v>
      </c>
      <c r="Y21" s="4"/>
      <c r="Z21" s="23" t="s">
        <v>917</v>
      </c>
      <c r="AA21" s="7"/>
      <c r="AB21" s="4"/>
      <c r="AC21" s="4"/>
      <c r="AD21" s="4"/>
      <c r="AE21" s="18" t="s">
        <v>470</v>
      </c>
      <c r="AF21" s="4" t="s">
        <v>471</v>
      </c>
      <c r="AG21" s="4"/>
      <c r="AH21" s="4"/>
      <c r="AI21" s="4" t="s">
        <v>472</v>
      </c>
      <c r="AJ21" s="23" t="s">
        <v>918</v>
      </c>
      <c r="AK21" s="4"/>
      <c r="AL21" s="7"/>
      <c r="AM21" s="4"/>
      <c r="AN21" s="4"/>
      <c r="AO21" s="23" t="s">
        <v>919</v>
      </c>
      <c r="AP21" s="4"/>
      <c r="AQ21" s="7"/>
      <c r="AR21" s="4"/>
      <c r="AS21" s="4"/>
      <c r="AT21" s="4"/>
      <c r="AU21" s="4"/>
      <c r="AV21" s="23" t="s">
        <v>704</v>
      </c>
      <c r="AW21" s="23" t="s">
        <v>920</v>
      </c>
      <c r="AX21" s="19"/>
      <c r="AY21" s="19"/>
      <c r="AZ21" s="19"/>
      <c r="BA21" s="19"/>
      <c r="BB21" s="24" t="s">
        <v>921</v>
      </c>
      <c r="BC21" s="4" t="s">
        <v>922</v>
      </c>
      <c r="BD21" s="4" t="s">
        <v>708</v>
      </c>
      <c r="BE21" s="4" t="s">
        <v>709</v>
      </c>
      <c r="BF21" s="4" t="s">
        <v>710</v>
      </c>
      <c r="BG21" s="4" t="s">
        <v>923</v>
      </c>
      <c r="BH21" s="4" t="s">
        <v>924</v>
      </c>
      <c r="BI21" s="7"/>
      <c r="BJ21" s="7"/>
      <c r="BK21" s="7"/>
      <c r="BL21" s="7"/>
      <c r="BM21" s="4"/>
      <c r="BN21" s="4"/>
      <c r="BO21" s="7"/>
      <c r="BP21" s="7"/>
      <c r="BQ21" s="7"/>
      <c r="BR21" s="7"/>
      <c r="BS21" s="7"/>
      <c r="BT21" s="7"/>
      <c r="BU21" s="7"/>
      <c r="BV21" s="20" t="s">
        <v>24</v>
      </c>
      <c r="BW21" s="20" t="s">
        <v>31</v>
      </c>
      <c r="BX21" s="20" t="s">
        <v>38</v>
      </c>
      <c r="BY21" s="7"/>
      <c r="BZ21" s="20" t="s">
        <v>484</v>
      </c>
      <c r="CA21" s="20" t="s">
        <v>524</v>
      </c>
      <c r="CB21" s="20" t="s">
        <v>665</v>
      </c>
      <c r="CC21" s="20" t="s">
        <v>666</v>
      </c>
      <c r="CD21" s="20" t="s">
        <v>667</v>
      </c>
      <c r="CE21" s="20" t="s">
        <v>925</v>
      </c>
      <c r="CF21" s="7"/>
      <c r="CG21" s="20" t="s">
        <v>926</v>
      </c>
      <c r="CH21" s="22" t="str">
        <f aca="false">IF(AND(ISNUMBER(BP21),ISNUMBER(AG21),AG21&gt;0),BP21*1000000/AG21,"")</f>
        <v/>
      </c>
      <c r="CI21" s="7"/>
      <c r="CJ21" s="7"/>
      <c r="CK21" s="7"/>
      <c r="CL21" s="7"/>
      <c r="CM21" s="7"/>
      <c r="CN21" s="7"/>
      <c r="CO21" s="7"/>
      <c r="CP21" s="7"/>
      <c r="CQ21" s="7"/>
      <c r="CR21" s="7"/>
      <c r="CS21" s="7"/>
    </row>
    <row r="22" customFormat="false" ht="833.55" hidden="false" customHeight="false" outlineLevel="0" collapsed="false">
      <c r="A22" s="4" t="n">
        <v>21</v>
      </c>
      <c r="B22" s="4" t="s">
        <v>451</v>
      </c>
      <c r="C22" s="4" t="s">
        <v>452</v>
      </c>
      <c r="D22" s="4" t="s">
        <v>453</v>
      </c>
      <c r="E22" s="4" t="s">
        <v>927</v>
      </c>
      <c r="F22" s="4" t="s">
        <v>928</v>
      </c>
      <c r="G22" s="4" t="s">
        <v>929</v>
      </c>
      <c r="H22" s="4" t="s">
        <v>930</v>
      </c>
      <c r="I22" s="4" t="s">
        <v>931</v>
      </c>
      <c r="J22" s="4" t="s">
        <v>932</v>
      </c>
      <c r="K22" s="17"/>
      <c r="L22" s="4"/>
      <c r="M22" s="4"/>
      <c r="N22" s="4"/>
      <c r="O22" s="23" t="s">
        <v>643</v>
      </c>
      <c r="P22" s="7"/>
      <c r="Q22" s="7"/>
      <c r="R22" s="23" t="s">
        <v>933</v>
      </c>
      <c r="S22" s="4" t="s">
        <v>462</v>
      </c>
      <c r="T22" s="4" t="s">
        <v>916</v>
      </c>
      <c r="U22" s="4" t="s">
        <v>579</v>
      </c>
      <c r="V22" s="4" t="s">
        <v>934</v>
      </c>
      <c r="W22" s="4" t="s">
        <v>935</v>
      </c>
      <c r="X22" s="4" t="s">
        <v>936</v>
      </c>
      <c r="Y22" s="4" t="s">
        <v>937</v>
      </c>
      <c r="Z22" s="23" t="s">
        <v>938</v>
      </c>
      <c r="AA22" s="7"/>
      <c r="AB22" s="4"/>
      <c r="AC22" s="4"/>
      <c r="AD22" s="4"/>
      <c r="AE22" s="18" t="s">
        <v>470</v>
      </c>
      <c r="AF22" s="4" t="s">
        <v>471</v>
      </c>
      <c r="AG22" s="4"/>
      <c r="AH22" s="4"/>
      <c r="AI22" s="4" t="s">
        <v>472</v>
      </c>
      <c r="AJ22" s="23" t="s">
        <v>939</v>
      </c>
      <c r="AK22" s="4"/>
      <c r="AL22" s="7"/>
      <c r="AM22" s="4"/>
      <c r="AN22" s="4"/>
      <c r="AO22" s="23" t="s">
        <v>940</v>
      </c>
      <c r="AP22" s="4"/>
      <c r="AQ22" s="7"/>
      <c r="AR22" s="4"/>
      <c r="AS22" s="4"/>
      <c r="AT22" s="4"/>
      <c r="AU22" s="4"/>
      <c r="AV22" s="23" t="s">
        <v>941</v>
      </c>
      <c r="AW22" s="23" t="s">
        <v>942</v>
      </c>
      <c r="AX22" s="19"/>
      <c r="AY22" s="19"/>
      <c r="AZ22" s="19"/>
      <c r="BA22" s="19"/>
      <c r="BB22" s="24" t="s">
        <v>943</v>
      </c>
      <c r="BC22" s="4" t="s">
        <v>944</v>
      </c>
      <c r="BD22" s="4" t="s">
        <v>945</v>
      </c>
      <c r="BE22" s="4" t="s">
        <v>946</v>
      </c>
      <c r="BF22" s="4" t="s">
        <v>947</v>
      </c>
      <c r="BG22" s="4" t="s">
        <v>948</v>
      </c>
      <c r="BH22" s="4" t="s">
        <v>949</v>
      </c>
      <c r="BI22" s="7"/>
      <c r="BJ22" s="7"/>
      <c r="BK22" s="7"/>
      <c r="BL22" s="7"/>
      <c r="BM22" s="4"/>
      <c r="BN22" s="4"/>
      <c r="BO22" s="7"/>
      <c r="BP22" s="7"/>
      <c r="BQ22" s="7"/>
      <c r="BR22" s="7"/>
      <c r="BS22" s="7"/>
      <c r="BT22" s="7"/>
      <c r="BU22" s="7"/>
      <c r="BV22" s="20" t="s">
        <v>24</v>
      </c>
      <c r="BW22" s="20" t="s">
        <v>31</v>
      </c>
      <c r="BX22" s="20" t="s">
        <v>38</v>
      </c>
      <c r="BY22" s="7"/>
      <c r="BZ22" s="20" t="s">
        <v>484</v>
      </c>
      <c r="CA22" s="20" t="s">
        <v>713</v>
      </c>
      <c r="CB22" s="20" t="s">
        <v>665</v>
      </c>
      <c r="CC22" s="20" t="s">
        <v>666</v>
      </c>
      <c r="CD22" s="20" t="s">
        <v>667</v>
      </c>
      <c r="CE22" s="20" t="s">
        <v>950</v>
      </c>
      <c r="CF22" s="7"/>
      <c r="CG22" s="20" t="s">
        <v>951</v>
      </c>
      <c r="CH22" s="22" t="str">
        <f aca="false">IF(AND(ISNUMBER(BP22),ISNUMBER(AG22),AG22&gt;0),BP22*1000000/AG22,"")</f>
        <v/>
      </c>
      <c r="CI22" s="7"/>
      <c r="CJ22" s="7"/>
      <c r="CK22" s="7"/>
      <c r="CL22" s="7"/>
      <c r="CM22" s="7"/>
      <c r="CN22" s="7"/>
      <c r="CO22" s="7"/>
      <c r="CP22" s="7"/>
      <c r="CQ22" s="7"/>
      <c r="CR22" s="7"/>
      <c r="CS22" s="7"/>
    </row>
    <row r="23" customFormat="false" ht="1142.5" hidden="false" customHeight="false" outlineLevel="0" collapsed="false">
      <c r="A23" s="4" t="n">
        <v>22</v>
      </c>
      <c r="B23" s="4" t="s">
        <v>451</v>
      </c>
      <c r="C23" s="4" t="s">
        <v>452</v>
      </c>
      <c r="D23" s="4" t="s">
        <v>453</v>
      </c>
      <c r="E23" s="4" t="s">
        <v>952</v>
      </c>
      <c r="F23" s="4" t="s">
        <v>953</v>
      </c>
      <c r="G23" s="4" t="s">
        <v>954</v>
      </c>
      <c r="H23" s="4" t="s">
        <v>955</v>
      </c>
      <c r="I23" s="4" t="s">
        <v>956</v>
      </c>
      <c r="J23" s="4" t="s">
        <v>957</v>
      </c>
      <c r="K23" s="25" t="n">
        <v>2.027433</v>
      </c>
      <c r="L23" s="23" t="n">
        <v>2025</v>
      </c>
      <c r="M23" s="23" t="s">
        <v>6</v>
      </c>
      <c r="N23" s="23" t="s">
        <v>958</v>
      </c>
      <c r="O23" s="23" t="s">
        <v>959</v>
      </c>
      <c r="P23" s="7"/>
      <c r="Q23" s="7"/>
      <c r="R23" s="23" t="s">
        <v>960</v>
      </c>
      <c r="S23" s="4" t="s">
        <v>462</v>
      </c>
      <c r="T23" s="4" t="s">
        <v>961</v>
      </c>
      <c r="U23" s="4" t="s">
        <v>962</v>
      </c>
      <c r="V23" s="4" t="s">
        <v>498</v>
      </c>
      <c r="W23" s="4"/>
      <c r="X23" s="4" t="s">
        <v>499</v>
      </c>
      <c r="Y23" s="4"/>
      <c r="Z23" s="23" t="s">
        <v>963</v>
      </c>
      <c r="AA23" s="7" t="n">
        <v>0.13</v>
      </c>
      <c r="AB23" s="4" t="s">
        <v>964</v>
      </c>
      <c r="AC23" s="4" t="s">
        <v>965</v>
      </c>
      <c r="AD23" s="4" t="s">
        <v>952</v>
      </c>
      <c r="AE23" s="18" t="s">
        <v>470</v>
      </c>
      <c r="AF23" s="4" t="s">
        <v>471</v>
      </c>
      <c r="AG23" s="23" t="n">
        <v>8</v>
      </c>
      <c r="AH23" s="23" t="s">
        <v>966</v>
      </c>
      <c r="AI23" s="23" t="s">
        <v>967</v>
      </c>
      <c r="AJ23" s="23" t="s">
        <v>503</v>
      </c>
      <c r="AK23" s="23" t="s">
        <v>968</v>
      </c>
      <c r="AL23" s="20" t="n">
        <v>0.48</v>
      </c>
      <c r="AM23" s="23" t="n">
        <v>2025</v>
      </c>
      <c r="AN23" s="23" t="s">
        <v>969</v>
      </c>
      <c r="AO23" s="23" t="s">
        <v>970</v>
      </c>
      <c r="AP23" s="23" t="s">
        <v>971</v>
      </c>
      <c r="AQ23" s="20" t="n">
        <v>0.452388</v>
      </c>
      <c r="AR23" s="23" t="n">
        <v>2025</v>
      </c>
      <c r="AS23" s="23" t="s">
        <v>972</v>
      </c>
      <c r="AT23" s="23" t="s">
        <v>973</v>
      </c>
      <c r="AU23" s="23" t="s">
        <v>968</v>
      </c>
      <c r="AV23" s="23" t="s">
        <v>974</v>
      </c>
      <c r="AW23" s="23" t="s">
        <v>975</v>
      </c>
      <c r="AX23" s="19"/>
      <c r="AY23" s="19"/>
      <c r="AZ23" s="19"/>
      <c r="BA23" s="19"/>
      <c r="BB23" s="24" t="s">
        <v>976</v>
      </c>
      <c r="BC23" s="4" t="s">
        <v>977</v>
      </c>
      <c r="BD23" s="4" t="s">
        <v>978</v>
      </c>
      <c r="BE23" s="4" t="s">
        <v>514</v>
      </c>
      <c r="BF23" s="4" t="s">
        <v>515</v>
      </c>
      <c r="BG23" s="4" t="s">
        <v>979</v>
      </c>
      <c r="BH23" s="4" t="s">
        <v>980</v>
      </c>
      <c r="BI23" s="7"/>
      <c r="BJ23" s="7"/>
      <c r="BK23" s="7"/>
      <c r="BL23" s="7"/>
      <c r="BM23" s="4"/>
      <c r="BN23" s="4"/>
      <c r="BO23" s="7"/>
      <c r="BP23" s="20" t="n">
        <v>0.452388</v>
      </c>
      <c r="BQ23" s="7"/>
      <c r="BR23" s="20" t="s">
        <v>519</v>
      </c>
      <c r="BS23" s="20" t="s">
        <v>981</v>
      </c>
      <c r="BT23" s="20" t="s">
        <v>968</v>
      </c>
      <c r="BU23" s="20" t="s">
        <v>982</v>
      </c>
      <c r="BV23" s="20" t="s">
        <v>24</v>
      </c>
      <c r="BW23" s="20" t="s">
        <v>31</v>
      </c>
      <c r="BX23" s="20" t="s">
        <v>36</v>
      </c>
      <c r="BY23" s="7"/>
      <c r="BZ23" s="20" t="s">
        <v>484</v>
      </c>
      <c r="CA23" s="20" t="s">
        <v>524</v>
      </c>
      <c r="CB23" s="20" t="s">
        <v>983</v>
      </c>
      <c r="CC23" s="20" t="s">
        <v>984</v>
      </c>
      <c r="CD23" s="7"/>
      <c r="CE23" s="20" t="s">
        <v>985</v>
      </c>
      <c r="CF23" s="7"/>
      <c r="CG23" s="7"/>
      <c r="CH23" s="22" t="n">
        <f aca="false">IF(AND(ISNUMBER(BP23),ISNUMBER(AG23),AG23&gt;0),BP23*1000000/AG23,"")</f>
        <v>56548.5</v>
      </c>
      <c r="CI23" s="21" t="n">
        <v>2</v>
      </c>
      <c r="CJ23" s="21" t="n">
        <v>4</v>
      </c>
      <c r="CK23" s="21" t="n">
        <v>1</v>
      </c>
      <c r="CL23" s="21" t="n">
        <v>7</v>
      </c>
      <c r="CM23" s="7"/>
      <c r="CN23" s="7"/>
      <c r="CO23" s="7"/>
      <c r="CP23" s="20" t="s">
        <v>986</v>
      </c>
      <c r="CQ23" s="20" t="s">
        <v>987</v>
      </c>
      <c r="CR23" s="20" t="s">
        <v>988</v>
      </c>
      <c r="CS23" s="20" t="s">
        <v>989</v>
      </c>
    </row>
    <row r="24" customFormat="false" ht="605.95" hidden="false" customHeight="false" outlineLevel="0" collapsed="false">
      <c r="A24" s="4" t="n">
        <v>23</v>
      </c>
      <c r="B24" s="4" t="s">
        <v>451</v>
      </c>
      <c r="C24" s="4" t="s">
        <v>452</v>
      </c>
      <c r="D24" s="4" t="s">
        <v>547</v>
      </c>
      <c r="E24" s="4" t="s">
        <v>990</v>
      </c>
      <c r="F24" s="4" t="s">
        <v>991</v>
      </c>
      <c r="G24" s="4" t="s">
        <v>992</v>
      </c>
      <c r="H24" s="4" t="s">
        <v>993</v>
      </c>
      <c r="I24" s="4" t="s">
        <v>994</v>
      </c>
      <c r="J24" s="4" t="s">
        <v>995</v>
      </c>
      <c r="K24" s="17"/>
      <c r="L24" s="4"/>
      <c r="M24" s="4"/>
      <c r="N24" s="4"/>
      <c r="O24" s="4" t="s">
        <v>780</v>
      </c>
      <c r="P24" s="7"/>
      <c r="Q24" s="7"/>
      <c r="R24" s="4" t="s">
        <v>996</v>
      </c>
      <c r="S24" s="4" t="s">
        <v>462</v>
      </c>
      <c r="T24" s="4" t="s">
        <v>997</v>
      </c>
      <c r="U24" s="4" t="s">
        <v>998</v>
      </c>
      <c r="V24" s="4" t="s">
        <v>498</v>
      </c>
      <c r="W24" s="4"/>
      <c r="X24" s="4" t="s">
        <v>499</v>
      </c>
      <c r="Y24" s="4"/>
      <c r="Z24" s="23" t="s">
        <v>999</v>
      </c>
      <c r="AA24" s="7"/>
      <c r="AB24" s="4"/>
      <c r="AC24" s="4"/>
      <c r="AD24" s="4"/>
      <c r="AE24" s="18" t="s">
        <v>470</v>
      </c>
      <c r="AF24" s="4" t="s">
        <v>471</v>
      </c>
      <c r="AG24" s="4" t="n">
        <v>30</v>
      </c>
      <c r="AH24" s="4" t="s">
        <v>1000</v>
      </c>
      <c r="AI24" s="4" t="s">
        <v>1001</v>
      </c>
      <c r="AJ24" s="4" t="s">
        <v>503</v>
      </c>
      <c r="AK24" s="4" t="s">
        <v>1002</v>
      </c>
      <c r="AL24" s="7"/>
      <c r="AM24" s="4"/>
      <c r="AN24" s="4"/>
      <c r="AO24" s="4" t="s">
        <v>474</v>
      </c>
      <c r="AP24" s="4"/>
      <c r="AQ24" s="7"/>
      <c r="AR24" s="4"/>
      <c r="AS24" s="4"/>
      <c r="AT24" s="4"/>
      <c r="AU24" s="4"/>
      <c r="AV24" s="4" t="s">
        <v>475</v>
      </c>
      <c r="AW24" s="4" t="s">
        <v>1003</v>
      </c>
      <c r="AX24" s="19" t="n">
        <v>47</v>
      </c>
      <c r="AY24" s="19" t="s">
        <v>1000</v>
      </c>
      <c r="AZ24" s="19" t="s">
        <v>1004</v>
      </c>
      <c r="BA24" s="19" t="s">
        <v>1002</v>
      </c>
      <c r="BB24" s="24" t="s">
        <v>1005</v>
      </c>
      <c r="BC24" s="4" t="s">
        <v>1006</v>
      </c>
      <c r="BD24" s="4" t="s">
        <v>1007</v>
      </c>
      <c r="BE24" s="4" t="s">
        <v>479</v>
      </c>
      <c r="BF24" s="4" t="s">
        <v>480</v>
      </c>
      <c r="BG24" s="4" t="s">
        <v>1008</v>
      </c>
      <c r="BH24" s="4" t="s">
        <v>1009</v>
      </c>
      <c r="BI24" s="7"/>
      <c r="BJ24" s="7"/>
      <c r="BK24" s="7"/>
      <c r="BL24" s="7"/>
      <c r="BM24" s="4"/>
      <c r="BN24" s="23" t="s">
        <v>1010</v>
      </c>
      <c r="BO24" s="7"/>
      <c r="BP24" s="7"/>
      <c r="BQ24" s="7"/>
      <c r="BR24" s="7"/>
      <c r="BS24" s="7"/>
      <c r="BT24" s="7"/>
      <c r="BU24" s="7"/>
      <c r="BV24" s="20" t="s">
        <v>23</v>
      </c>
      <c r="BW24" s="20" t="s">
        <v>28</v>
      </c>
      <c r="BX24" s="20" t="s">
        <v>37</v>
      </c>
      <c r="BY24" s="7"/>
      <c r="BZ24" s="20" t="s">
        <v>484</v>
      </c>
      <c r="CA24" s="20" t="s">
        <v>524</v>
      </c>
      <c r="CB24" s="20" t="s">
        <v>1011</v>
      </c>
      <c r="CC24" s="20" t="s">
        <v>1012</v>
      </c>
      <c r="CD24" s="7"/>
      <c r="CE24" s="20" t="s">
        <v>1013</v>
      </c>
      <c r="CF24" s="7"/>
      <c r="CG24" s="7"/>
      <c r="CH24" s="22" t="str">
        <f aca="false">IF(AND(ISNUMBER(BP24),ISNUMBER(AG24),AG24&gt;0),BP24*1000000/AG24,"")</f>
        <v/>
      </c>
      <c r="CI24" s="21" t="n">
        <v>27</v>
      </c>
      <c r="CJ24" s="21" t="n">
        <v>3</v>
      </c>
      <c r="CK24" s="21" t="n">
        <v>0</v>
      </c>
      <c r="CL24" s="21" t="n">
        <v>30</v>
      </c>
      <c r="CM24" s="7"/>
      <c r="CN24" s="7"/>
      <c r="CO24" s="7"/>
      <c r="CP24" s="20" t="s">
        <v>1014</v>
      </c>
      <c r="CQ24" s="20" t="s">
        <v>1015</v>
      </c>
      <c r="CR24" s="20" t="s">
        <v>1002</v>
      </c>
      <c r="CS24" s="20" t="s">
        <v>1016</v>
      </c>
    </row>
    <row r="25" customFormat="false" ht="1236.55" hidden="false" customHeight="false" outlineLevel="0" collapsed="false">
      <c r="A25" s="4" t="n">
        <v>24</v>
      </c>
      <c r="B25" s="4" t="s">
        <v>451</v>
      </c>
      <c r="C25" s="4" t="s">
        <v>452</v>
      </c>
      <c r="D25" s="4" t="s">
        <v>547</v>
      </c>
      <c r="E25" s="4" t="s">
        <v>121</v>
      </c>
      <c r="F25" s="4" t="s">
        <v>1017</v>
      </c>
      <c r="G25" s="4" t="s">
        <v>1018</v>
      </c>
      <c r="H25" s="4" t="s">
        <v>1019</v>
      </c>
      <c r="I25" s="4" t="s">
        <v>1020</v>
      </c>
      <c r="J25" s="4" t="s">
        <v>1021</v>
      </c>
      <c r="K25" s="17" t="n">
        <v>4846.353</v>
      </c>
      <c r="L25" s="4" t="n">
        <v>2026</v>
      </c>
      <c r="M25" s="4" t="s">
        <v>4</v>
      </c>
      <c r="N25" s="4" t="s">
        <v>493</v>
      </c>
      <c r="O25" s="4" t="s">
        <v>494</v>
      </c>
      <c r="P25" s="7" t="n">
        <v>3686.434</v>
      </c>
      <c r="Q25" s="7" t="n">
        <v>1159.919</v>
      </c>
      <c r="R25" s="4" t="s">
        <v>1022</v>
      </c>
      <c r="S25" s="4" t="s">
        <v>462</v>
      </c>
      <c r="T25" s="4" t="s">
        <v>1023</v>
      </c>
      <c r="U25" s="4" t="s">
        <v>1024</v>
      </c>
      <c r="V25" s="4" t="s">
        <v>1025</v>
      </c>
      <c r="W25" s="4" t="s">
        <v>1026</v>
      </c>
      <c r="X25" s="4" t="s">
        <v>1027</v>
      </c>
      <c r="Y25" s="4" t="s">
        <v>1028</v>
      </c>
      <c r="Z25" s="4" t="s">
        <v>1029</v>
      </c>
      <c r="AA25" s="7"/>
      <c r="AB25" s="4"/>
      <c r="AC25" s="4"/>
      <c r="AD25" s="4"/>
      <c r="AE25" s="18" t="s">
        <v>470</v>
      </c>
      <c r="AF25" s="4" t="s">
        <v>471</v>
      </c>
      <c r="AG25" s="4" t="n">
        <v>579</v>
      </c>
      <c r="AH25" s="4" t="s">
        <v>966</v>
      </c>
      <c r="AI25" s="4" t="s">
        <v>1030</v>
      </c>
      <c r="AJ25" s="4" t="s">
        <v>503</v>
      </c>
      <c r="AK25" s="4" t="s">
        <v>1031</v>
      </c>
      <c r="AL25" s="7" t="n">
        <v>47.618</v>
      </c>
      <c r="AM25" s="4" t="n">
        <v>2026</v>
      </c>
      <c r="AN25" s="4" t="s">
        <v>505</v>
      </c>
      <c r="AO25" s="4" t="s">
        <v>506</v>
      </c>
      <c r="AP25" s="4" t="s">
        <v>507</v>
      </c>
      <c r="AQ25" s="7" t="n">
        <v>29.507</v>
      </c>
      <c r="AR25" s="4" t="n">
        <v>2026</v>
      </c>
      <c r="AS25" s="4" t="s">
        <v>508</v>
      </c>
      <c r="AT25" s="4" t="s">
        <v>509</v>
      </c>
      <c r="AU25" s="4" t="s">
        <v>507</v>
      </c>
      <c r="AV25" s="4" t="s">
        <v>510</v>
      </c>
      <c r="AW25" s="4" t="s">
        <v>1032</v>
      </c>
      <c r="AX25" s="19"/>
      <c r="AY25" s="19"/>
      <c r="AZ25" s="19"/>
      <c r="BA25" s="19"/>
      <c r="BB25" s="19" t="s">
        <v>1033</v>
      </c>
      <c r="BC25" s="4" t="s">
        <v>1034</v>
      </c>
      <c r="BD25" s="4" t="s">
        <v>1035</v>
      </c>
      <c r="BE25" s="4" t="s">
        <v>1036</v>
      </c>
      <c r="BF25" s="4" t="s">
        <v>1037</v>
      </c>
      <c r="BG25" s="4" t="s">
        <v>1038</v>
      </c>
      <c r="BH25" s="4" t="s">
        <v>1039</v>
      </c>
      <c r="BI25" s="7" t="n">
        <v>29.507</v>
      </c>
      <c r="BJ25" s="7" t="n">
        <v>43.294</v>
      </c>
      <c r="BK25" s="7" t="n">
        <v>26.31</v>
      </c>
      <c r="BL25" s="7"/>
      <c r="BM25" s="4"/>
      <c r="BN25" s="4" t="s">
        <v>518</v>
      </c>
      <c r="BO25" s="7" t="n">
        <v>43.294</v>
      </c>
      <c r="BP25" s="7" t="n">
        <v>42.084</v>
      </c>
      <c r="BQ25" s="7" t="n">
        <v>42.084</v>
      </c>
      <c r="BR25" s="7" t="s">
        <v>519</v>
      </c>
      <c r="BS25" s="7" t="s">
        <v>520</v>
      </c>
      <c r="BT25" s="7" t="s">
        <v>521</v>
      </c>
      <c r="BU25" s="7" t="s">
        <v>522</v>
      </c>
      <c r="BV25" s="20" t="s">
        <v>23</v>
      </c>
      <c r="BW25" s="20" t="s">
        <v>28</v>
      </c>
      <c r="BX25" s="20" t="s">
        <v>35</v>
      </c>
      <c r="BY25" s="20" t="s">
        <v>1040</v>
      </c>
      <c r="BZ25" s="20" t="s">
        <v>1041</v>
      </c>
      <c r="CA25" s="20" t="s">
        <v>524</v>
      </c>
      <c r="CB25" s="20" t="s">
        <v>1042</v>
      </c>
      <c r="CC25" s="20" t="s">
        <v>1043</v>
      </c>
      <c r="CD25" s="7"/>
      <c r="CE25" s="20" t="s">
        <v>120</v>
      </c>
      <c r="CF25" s="21" t="n">
        <v>10</v>
      </c>
      <c r="CG25" s="7"/>
      <c r="CH25" s="22" t="n">
        <f aca="false">IF(AND(ISNUMBER(BP25),ISNUMBER(AG25),AG25&gt;0),BP25*1000000/AG25,"")</f>
        <v>72683.9378238342</v>
      </c>
      <c r="CI25" s="7"/>
      <c r="CJ25" s="7"/>
      <c r="CK25" s="7"/>
      <c r="CL25" s="7"/>
      <c r="CM25" s="7"/>
      <c r="CN25" s="7"/>
      <c r="CO25" s="7"/>
      <c r="CP25" s="7"/>
      <c r="CQ25" s="7"/>
      <c r="CR25" s="7"/>
      <c r="CS25" s="7"/>
    </row>
    <row r="26" customFormat="false" ht="538.8" hidden="false" customHeight="false" outlineLevel="0" collapsed="false">
      <c r="A26" s="4" t="n">
        <v>25</v>
      </c>
      <c r="B26" s="4" t="s">
        <v>451</v>
      </c>
      <c r="C26" s="4" t="s">
        <v>452</v>
      </c>
      <c r="D26" s="4" t="s">
        <v>453</v>
      </c>
      <c r="E26" s="4" t="s">
        <v>1044</v>
      </c>
      <c r="F26" s="4" t="s">
        <v>1045</v>
      </c>
      <c r="G26" s="4" t="s">
        <v>1046</v>
      </c>
      <c r="H26" s="4" t="s">
        <v>1047</v>
      </c>
      <c r="I26" s="4" t="s">
        <v>1048</v>
      </c>
      <c r="J26" s="4" t="s">
        <v>1049</v>
      </c>
      <c r="K26" s="17"/>
      <c r="L26" s="4"/>
      <c r="M26" s="4"/>
      <c r="N26" s="4"/>
      <c r="O26" s="4" t="s">
        <v>460</v>
      </c>
      <c r="P26" s="7"/>
      <c r="Q26" s="7"/>
      <c r="R26" s="4" t="s">
        <v>1050</v>
      </c>
      <c r="S26" s="4" t="s">
        <v>462</v>
      </c>
      <c r="T26" s="4" t="s">
        <v>1051</v>
      </c>
      <c r="U26" s="4" t="s">
        <v>1052</v>
      </c>
      <c r="V26" s="4" t="s">
        <v>1053</v>
      </c>
      <c r="W26" s="4" t="s">
        <v>1054</v>
      </c>
      <c r="X26" s="4" t="s">
        <v>1055</v>
      </c>
      <c r="Y26" s="4" t="s">
        <v>1056</v>
      </c>
      <c r="Z26" s="4" t="s">
        <v>1057</v>
      </c>
      <c r="AA26" s="7"/>
      <c r="AB26" s="4"/>
      <c r="AC26" s="4"/>
      <c r="AD26" s="4"/>
      <c r="AE26" s="18" t="s">
        <v>470</v>
      </c>
      <c r="AF26" s="4" t="s">
        <v>471</v>
      </c>
      <c r="AG26" s="4"/>
      <c r="AH26" s="4"/>
      <c r="AI26" s="4" t="s">
        <v>472</v>
      </c>
      <c r="AJ26" s="4" t="s">
        <v>473</v>
      </c>
      <c r="AK26" s="4"/>
      <c r="AL26" s="7"/>
      <c r="AM26" s="4"/>
      <c r="AN26" s="4"/>
      <c r="AO26" s="4" t="s">
        <v>474</v>
      </c>
      <c r="AP26" s="4"/>
      <c r="AQ26" s="7"/>
      <c r="AR26" s="4"/>
      <c r="AS26" s="4"/>
      <c r="AT26" s="4"/>
      <c r="AU26" s="4"/>
      <c r="AV26" s="4" t="s">
        <v>475</v>
      </c>
      <c r="AW26" s="4" t="s">
        <v>476</v>
      </c>
      <c r="AX26" s="19"/>
      <c r="AY26" s="19"/>
      <c r="AZ26" s="19"/>
      <c r="BA26" s="19"/>
      <c r="BB26" s="19"/>
      <c r="BC26" s="4" t="s">
        <v>1058</v>
      </c>
      <c r="BD26" s="4" t="s">
        <v>1059</v>
      </c>
      <c r="BE26" s="4" t="s">
        <v>540</v>
      </c>
      <c r="BF26" s="4" t="s">
        <v>1060</v>
      </c>
      <c r="BG26" s="4" t="s">
        <v>1061</v>
      </c>
      <c r="BH26" s="4" t="s">
        <v>1062</v>
      </c>
      <c r="BI26" s="7"/>
      <c r="BJ26" s="7"/>
      <c r="BK26" s="7"/>
      <c r="BL26" s="7"/>
      <c r="BM26" s="4"/>
      <c r="BN26" s="4"/>
      <c r="BO26" s="7"/>
      <c r="BP26" s="7"/>
      <c r="BQ26" s="7"/>
      <c r="BR26" s="7"/>
      <c r="BS26" s="7"/>
      <c r="BT26" s="7"/>
      <c r="BU26" s="7"/>
      <c r="BV26" s="20" t="s">
        <v>26</v>
      </c>
      <c r="BW26" s="20" t="s">
        <v>26</v>
      </c>
      <c r="BX26" s="20" t="s">
        <v>39</v>
      </c>
      <c r="BY26" s="20" t="s">
        <v>1063</v>
      </c>
      <c r="BZ26" s="20" t="s">
        <v>484</v>
      </c>
      <c r="CA26" s="20" t="s">
        <v>485</v>
      </c>
      <c r="CB26" s="20" t="s">
        <v>1064</v>
      </c>
      <c r="CC26" s="7"/>
      <c r="CD26" s="7"/>
      <c r="CE26" s="20" t="s">
        <v>120</v>
      </c>
      <c r="CF26" s="21" t="n">
        <v>10</v>
      </c>
      <c r="CG26" s="7"/>
      <c r="CH26" s="22" t="str">
        <f aca="false">IF(AND(ISNUMBER(BP26),ISNUMBER(AG26),AG26&gt;0),BP26*1000000/AG26,"")</f>
        <v/>
      </c>
      <c r="CI26" s="7"/>
      <c r="CJ26" s="7"/>
      <c r="CK26" s="7"/>
      <c r="CL26" s="7"/>
      <c r="CM26" s="7"/>
      <c r="CN26" s="7"/>
      <c r="CO26" s="7"/>
      <c r="CP26" s="7"/>
      <c r="CQ26" s="7"/>
      <c r="CR26" s="7"/>
      <c r="CS26" s="7"/>
    </row>
    <row r="27" customFormat="false" ht="538.8" hidden="false" customHeight="false" outlineLevel="0" collapsed="false">
      <c r="A27" s="4" t="n">
        <v>26</v>
      </c>
      <c r="B27" s="4" t="s">
        <v>451</v>
      </c>
      <c r="C27" s="4" t="s">
        <v>452</v>
      </c>
      <c r="D27" s="4" t="s">
        <v>453</v>
      </c>
      <c r="E27" s="4" t="s">
        <v>1065</v>
      </c>
      <c r="F27" s="4" t="s">
        <v>1066</v>
      </c>
      <c r="G27" s="4" t="s">
        <v>1067</v>
      </c>
      <c r="H27" s="4" t="s">
        <v>1068</v>
      </c>
      <c r="I27" s="4" t="s">
        <v>1069</v>
      </c>
      <c r="J27" s="4" t="s">
        <v>1070</v>
      </c>
      <c r="K27" s="17"/>
      <c r="L27" s="4"/>
      <c r="M27" s="4"/>
      <c r="N27" s="4"/>
      <c r="O27" s="4" t="s">
        <v>460</v>
      </c>
      <c r="P27" s="7"/>
      <c r="Q27" s="7"/>
      <c r="R27" s="4" t="s">
        <v>1071</v>
      </c>
      <c r="S27" s="4" t="s">
        <v>462</v>
      </c>
      <c r="T27" s="4" t="s">
        <v>1072</v>
      </c>
      <c r="U27" s="4" t="s">
        <v>1073</v>
      </c>
      <c r="V27" s="4" t="s">
        <v>1053</v>
      </c>
      <c r="W27" s="4" t="s">
        <v>1074</v>
      </c>
      <c r="X27" s="4" t="s">
        <v>1055</v>
      </c>
      <c r="Y27" s="4" t="s">
        <v>1056</v>
      </c>
      <c r="Z27" s="4" t="s">
        <v>1075</v>
      </c>
      <c r="AA27" s="7"/>
      <c r="AB27" s="4"/>
      <c r="AC27" s="4"/>
      <c r="AD27" s="4"/>
      <c r="AE27" s="18" t="s">
        <v>470</v>
      </c>
      <c r="AF27" s="4" t="s">
        <v>471</v>
      </c>
      <c r="AG27" s="4"/>
      <c r="AH27" s="4"/>
      <c r="AI27" s="4" t="s">
        <v>472</v>
      </c>
      <c r="AJ27" s="4" t="s">
        <v>473</v>
      </c>
      <c r="AK27" s="4"/>
      <c r="AL27" s="7"/>
      <c r="AM27" s="4"/>
      <c r="AN27" s="4"/>
      <c r="AO27" s="4" t="s">
        <v>474</v>
      </c>
      <c r="AP27" s="4"/>
      <c r="AQ27" s="7"/>
      <c r="AR27" s="4"/>
      <c r="AS27" s="4"/>
      <c r="AT27" s="4"/>
      <c r="AU27" s="4"/>
      <c r="AV27" s="4" t="s">
        <v>475</v>
      </c>
      <c r="AW27" s="4" t="s">
        <v>476</v>
      </c>
      <c r="AX27" s="19"/>
      <c r="AY27" s="19"/>
      <c r="AZ27" s="19"/>
      <c r="BA27" s="19"/>
      <c r="BB27" s="19"/>
      <c r="BC27" s="4" t="s">
        <v>1076</v>
      </c>
      <c r="BD27" s="4" t="s">
        <v>1077</v>
      </c>
      <c r="BE27" s="4" t="s">
        <v>540</v>
      </c>
      <c r="BF27" s="4" t="s">
        <v>1078</v>
      </c>
      <c r="BG27" s="4" t="s">
        <v>1079</v>
      </c>
      <c r="BH27" s="4" t="s">
        <v>1080</v>
      </c>
      <c r="BI27" s="7"/>
      <c r="BJ27" s="7"/>
      <c r="BK27" s="7"/>
      <c r="BL27" s="7"/>
      <c r="BM27" s="4"/>
      <c r="BN27" s="4"/>
      <c r="BO27" s="7"/>
      <c r="BP27" s="7"/>
      <c r="BQ27" s="7"/>
      <c r="BR27" s="7"/>
      <c r="BS27" s="7"/>
      <c r="BT27" s="7"/>
      <c r="BU27" s="7"/>
      <c r="BV27" s="20" t="s">
        <v>26</v>
      </c>
      <c r="BW27" s="20" t="s">
        <v>26</v>
      </c>
      <c r="BX27" s="20" t="s">
        <v>39</v>
      </c>
      <c r="BY27" s="7"/>
      <c r="BZ27" s="20" t="s">
        <v>484</v>
      </c>
      <c r="CA27" s="20" t="s">
        <v>485</v>
      </c>
      <c r="CB27" s="20" t="s">
        <v>1064</v>
      </c>
      <c r="CC27" s="7"/>
      <c r="CD27" s="7"/>
      <c r="CE27" s="20" t="s">
        <v>1081</v>
      </c>
      <c r="CF27" s="7"/>
      <c r="CG27" s="7"/>
      <c r="CH27" s="22" t="str">
        <f aca="false">IF(AND(ISNUMBER(BP27),ISNUMBER(AG27),AG27&gt;0),BP27*1000000/AG27,"")</f>
        <v/>
      </c>
      <c r="CI27" s="7"/>
      <c r="CJ27" s="7"/>
      <c r="CK27" s="7"/>
      <c r="CL27" s="7"/>
      <c r="CM27" s="7"/>
      <c r="CN27" s="7"/>
      <c r="CO27" s="7"/>
      <c r="CP27" s="7"/>
      <c r="CQ27" s="7"/>
      <c r="CR27" s="7"/>
      <c r="CS27" s="7"/>
    </row>
    <row r="28" customFormat="false" ht="444.75" hidden="false" customHeight="false" outlineLevel="0" collapsed="false">
      <c r="A28" s="4" t="n">
        <v>27</v>
      </c>
      <c r="B28" s="4" t="s">
        <v>451</v>
      </c>
      <c r="C28" s="4" t="s">
        <v>452</v>
      </c>
      <c r="D28" s="4" t="s">
        <v>547</v>
      </c>
      <c r="E28" s="4" t="s">
        <v>1082</v>
      </c>
      <c r="F28" s="4" t="s">
        <v>1083</v>
      </c>
      <c r="G28" s="4" t="s">
        <v>1084</v>
      </c>
      <c r="H28" s="4" t="s">
        <v>1085</v>
      </c>
      <c r="I28" s="4" t="s">
        <v>1086</v>
      </c>
      <c r="J28" s="4" t="s">
        <v>1087</v>
      </c>
      <c r="K28" s="17"/>
      <c r="L28" s="4"/>
      <c r="M28" s="4"/>
      <c r="N28" s="4"/>
      <c r="O28" s="4" t="s">
        <v>1088</v>
      </c>
      <c r="P28" s="7"/>
      <c r="Q28" s="7"/>
      <c r="R28" s="4" t="s">
        <v>1089</v>
      </c>
      <c r="S28" s="4" t="s">
        <v>462</v>
      </c>
      <c r="T28" s="4" t="s">
        <v>1090</v>
      </c>
      <c r="U28" s="4" t="s">
        <v>1091</v>
      </c>
      <c r="V28" s="4" t="s">
        <v>498</v>
      </c>
      <c r="W28" s="4"/>
      <c r="X28" s="4" t="s">
        <v>499</v>
      </c>
      <c r="Y28" s="4"/>
      <c r="Z28" s="23" t="s">
        <v>1092</v>
      </c>
      <c r="AA28" s="7" t="n">
        <v>20.371</v>
      </c>
      <c r="AB28" s="4" t="s">
        <v>964</v>
      </c>
      <c r="AC28" s="4" t="s">
        <v>1093</v>
      </c>
      <c r="AD28" s="4" t="s">
        <v>1094</v>
      </c>
      <c r="AE28" s="18" t="s">
        <v>470</v>
      </c>
      <c r="AF28" s="4" t="s">
        <v>471</v>
      </c>
      <c r="AG28" s="4"/>
      <c r="AH28" s="4"/>
      <c r="AI28" s="4" t="s">
        <v>472</v>
      </c>
      <c r="AJ28" s="4" t="s">
        <v>473</v>
      </c>
      <c r="AK28" s="4"/>
      <c r="AL28" s="7"/>
      <c r="AM28" s="4"/>
      <c r="AN28" s="4"/>
      <c r="AO28" s="4" t="s">
        <v>474</v>
      </c>
      <c r="AP28" s="4"/>
      <c r="AQ28" s="7"/>
      <c r="AR28" s="4"/>
      <c r="AS28" s="4"/>
      <c r="AT28" s="4"/>
      <c r="AU28" s="4"/>
      <c r="AV28" s="4" t="s">
        <v>475</v>
      </c>
      <c r="AW28" s="4" t="s">
        <v>1095</v>
      </c>
      <c r="AX28" s="19"/>
      <c r="AY28" s="19"/>
      <c r="AZ28" s="19"/>
      <c r="BA28" s="19"/>
      <c r="BB28" s="24" t="s">
        <v>1096</v>
      </c>
      <c r="BC28" s="4" t="s">
        <v>1097</v>
      </c>
      <c r="BD28" s="4" t="s">
        <v>1098</v>
      </c>
      <c r="BE28" s="4" t="s">
        <v>540</v>
      </c>
      <c r="BF28" s="4" t="s">
        <v>1099</v>
      </c>
      <c r="BG28" s="4" t="s">
        <v>1100</v>
      </c>
      <c r="BH28" s="4" t="s">
        <v>1101</v>
      </c>
      <c r="BI28" s="7"/>
      <c r="BJ28" s="7"/>
      <c r="BK28" s="7"/>
      <c r="BL28" s="7"/>
      <c r="BM28" s="4"/>
      <c r="BN28" s="4" t="s">
        <v>1102</v>
      </c>
      <c r="BO28" s="7"/>
      <c r="BP28" s="7"/>
      <c r="BQ28" s="7"/>
      <c r="BR28" s="7"/>
      <c r="BS28" s="7"/>
      <c r="BT28" s="7"/>
      <c r="BU28" s="7" t="s">
        <v>1103</v>
      </c>
      <c r="BV28" s="20" t="s">
        <v>26</v>
      </c>
      <c r="BW28" s="20" t="s">
        <v>26</v>
      </c>
      <c r="BX28" s="20" t="s">
        <v>39</v>
      </c>
      <c r="BY28" s="7"/>
      <c r="BZ28" s="20" t="s">
        <v>484</v>
      </c>
      <c r="CA28" s="20" t="s">
        <v>485</v>
      </c>
      <c r="CB28" s="20" t="s">
        <v>1104</v>
      </c>
      <c r="CC28" s="7"/>
      <c r="CD28" s="7"/>
      <c r="CE28" s="20" t="s">
        <v>1105</v>
      </c>
      <c r="CF28" s="7"/>
      <c r="CG28" s="7"/>
      <c r="CH28" s="22" t="str">
        <f aca="false">IF(AND(ISNUMBER(BP28),ISNUMBER(AG28),AG28&gt;0),BP28*1000000/AG28,"")</f>
        <v/>
      </c>
      <c r="CI28" s="7"/>
      <c r="CJ28" s="7"/>
      <c r="CK28" s="7"/>
      <c r="CL28" s="7"/>
      <c r="CM28" s="7"/>
      <c r="CN28" s="7"/>
      <c r="CO28" s="7"/>
      <c r="CP28" s="7"/>
      <c r="CQ28" s="7"/>
      <c r="CR28" s="7"/>
      <c r="CS28" s="7"/>
    </row>
    <row r="29" customFormat="false" ht="538.8" hidden="false" customHeight="false" outlineLevel="0" collapsed="false">
      <c r="A29" s="4" t="n">
        <v>28</v>
      </c>
      <c r="B29" s="4" t="s">
        <v>451</v>
      </c>
      <c r="C29" s="4" t="s">
        <v>452</v>
      </c>
      <c r="D29" s="4" t="s">
        <v>547</v>
      </c>
      <c r="E29" s="4" t="s">
        <v>1106</v>
      </c>
      <c r="F29" s="4" t="s">
        <v>1107</v>
      </c>
      <c r="G29" s="4" t="s">
        <v>1108</v>
      </c>
      <c r="H29" s="4" t="s">
        <v>1109</v>
      </c>
      <c r="I29" s="4" t="s">
        <v>1110</v>
      </c>
      <c r="J29" s="4" t="s">
        <v>1111</v>
      </c>
      <c r="K29" s="17" t="n">
        <v>9.655</v>
      </c>
      <c r="L29" s="4" t="n">
        <v>2026</v>
      </c>
      <c r="M29" s="4" t="s">
        <v>4</v>
      </c>
      <c r="N29" s="4" t="s">
        <v>493</v>
      </c>
      <c r="O29" s="4" t="s">
        <v>494</v>
      </c>
      <c r="P29" s="7" t="n">
        <v>9.305</v>
      </c>
      <c r="Q29" s="7" t="n">
        <v>0.35</v>
      </c>
      <c r="R29" s="4" t="s">
        <v>1112</v>
      </c>
      <c r="S29" s="4" t="s">
        <v>462</v>
      </c>
      <c r="T29" s="4" t="s">
        <v>496</v>
      </c>
      <c r="U29" s="23" t="s">
        <v>497</v>
      </c>
      <c r="V29" s="4" t="s">
        <v>1113</v>
      </c>
      <c r="W29" s="4" t="s">
        <v>1114</v>
      </c>
      <c r="X29" s="4" t="s">
        <v>1115</v>
      </c>
      <c r="Y29" s="4" t="s">
        <v>1116</v>
      </c>
      <c r="Z29" s="23" t="s">
        <v>1117</v>
      </c>
      <c r="AA29" s="7"/>
      <c r="AB29" s="4"/>
      <c r="AC29" s="4"/>
      <c r="AD29" s="4"/>
      <c r="AE29" s="18" t="s">
        <v>470</v>
      </c>
      <c r="AF29" s="4" t="s">
        <v>471</v>
      </c>
      <c r="AG29" s="23" t="n">
        <v>81</v>
      </c>
      <c r="AH29" s="23" t="s">
        <v>501</v>
      </c>
      <c r="AI29" s="23" t="s">
        <v>1118</v>
      </c>
      <c r="AJ29" s="23" t="s">
        <v>503</v>
      </c>
      <c r="AK29" s="23" t="s">
        <v>504</v>
      </c>
      <c r="AL29" s="7" t="n">
        <v>4.442</v>
      </c>
      <c r="AM29" s="4" t="n">
        <v>2026</v>
      </c>
      <c r="AN29" s="4" t="s">
        <v>505</v>
      </c>
      <c r="AO29" s="4" t="s">
        <v>506</v>
      </c>
      <c r="AP29" s="4" t="s">
        <v>507</v>
      </c>
      <c r="AQ29" s="7" t="n">
        <v>3.2</v>
      </c>
      <c r="AR29" s="4" t="n">
        <v>2026</v>
      </c>
      <c r="AS29" s="4" t="s">
        <v>508</v>
      </c>
      <c r="AT29" s="4" t="s">
        <v>509</v>
      </c>
      <c r="AU29" s="4" t="s">
        <v>507</v>
      </c>
      <c r="AV29" s="4" t="s">
        <v>510</v>
      </c>
      <c r="AW29" s="23" t="s">
        <v>511</v>
      </c>
      <c r="AX29" s="19"/>
      <c r="AY29" s="19"/>
      <c r="AZ29" s="19"/>
      <c r="BA29" s="19"/>
      <c r="BB29" s="19"/>
      <c r="BC29" s="4" t="s">
        <v>1119</v>
      </c>
      <c r="BD29" s="4" t="s">
        <v>1120</v>
      </c>
      <c r="BE29" s="4" t="s">
        <v>514</v>
      </c>
      <c r="BF29" s="4" t="s">
        <v>515</v>
      </c>
      <c r="BG29" s="4" t="s">
        <v>1121</v>
      </c>
      <c r="BH29" s="4" t="s">
        <v>1122</v>
      </c>
      <c r="BI29" s="7" t="n">
        <v>3.2</v>
      </c>
      <c r="BJ29" s="7" t="n">
        <v>4.092</v>
      </c>
      <c r="BK29" s="7" t="n">
        <v>2.833</v>
      </c>
      <c r="BL29" s="7"/>
      <c r="BM29" s="4"/>
      <c r="BN29" s="4" t="s">
        <v>518</v>
      </c>
      <c r="BO29" s="7" t="n">
        <v>4.828</v>
      </c>
      <c r="BP29" s="7" t="n">
        <v>4.554</v>
      </c>
      <c r="BQ29" s="7" t="n">
        <v>4.554</v>
      </c>
      <c r="BR29" s="7" t="s">
        <v>519</v>
      </c>
      <c r="BS29" s="7" t="s">
        <v>520</v>
      </c>
      <c r="BT29" s="7" t="s">
        <v>521</v>
      </c>
      <c r="BU29" s="7" t="s">
        <v>1123</v>
      </c>
      <c r="BV29" s="20" t="s">
        <v>23</v>
      </c>
      <c r="BW29" s="20" t="s">
        <v>28</v>
      </c>
      <c r="BX29" s="20" t="s">
        <v>35</v>
      </c>
      <c r="BY29" s="7"/>
      <c r="BZ29" s="20" t="s">
        <v>1124</v>
      </c>
      <c r="CA29" s="20" t="s">
        <v>524</v>
      </c>
      <c r="CB29" s="20" t="s">
        <v>1125</v>
      </c>
      <c r="CC29" s="20" t="s">
        <v>1126</v>
      </c>
      <c r="CD29" s="7"/>
      <c r="CE29" s="20" t="s">
        <v>1127</v>
      </c>
      <c r="CF29" s="7"/>
      <c r="CG29" s="7"/>
      <c r="CH29" s="22" t="n">
        <f aca="false">IF(AND(ISNUMBER(BP29),ISNUMBER(AG29),AG29&gt;0),BP29*1000000/AG29,"")</f>
        <v>56222.2222222222</v>
      </c>
      <c r="CI29" s="7"/>
      <c r="CJ29" s="7"/>
      <c r="CK29" s="7"/>
      <c r="CL29" s="7"/>
      <c r="CM29" s="7"/>
      <c r="CN29" s="7"/>
      <c r="CO29" s="7"/>
      <c r="CP29" s="7"/>
      <c r="CQ29" s="7"/>
      <c r="CR29" s="7"/>
      <c r="CS29" s="7"/>
    </row>
    <row r="30" customFormat="false" ht="967.9" hidden="false" customHeight="false" outlineLevel="0" collapsed="false">
      <c r="A30" s="4" t="n">
        <v>29</v>
      </c>
      <c r="B30" s="4" t="s">
        <v>451</v>
      </c>
      <c r="C30" s="4" t="s">
        <v>452</v>
      </c>
      <c r="D30" s="4" t="s">
        <v>547</v>
      </c>
      <c r="E30" s="4" t="s">
        <v>1128</v>
      </c>
      <c r="F30" s="4" t="s">
        <v>1129</v>
      </c>
      <c r="G30" s="4" t="s">
        <v>1108</v>
      </c>
      <c r="H30" s="4" t="s">
        <v>1130</v>
      </c>
      <c r="I30" s="4" t="s">
        <v>1131</v>
      </c>
      <c r="J30" s="4" t="s">
        <v>1132</v>
      </c>
      <c r="K30" s="17"/>
      <c r="L30" s="4"/>
      <c r="M30" s="4"/>
      <c r="N30" s="4"/>
      <c r="O30" s="23" t="s">
        <v>643</v>
      </c>
      <c r="P30" s="7"/>
      <c r="Q30" s="7"/>
      <c r="R30" s="23" t="s">
        <v>1133</v>
      </c>
      <c r="S30" s="4" t="s">
        <v>462</v>
      </c>
      <c r="T30" s="4" t="s">
        <v>1134</v>
      </c>
      <c r="U30" s="4" t="s">
        <v>579</v>
      </c>
      <c r="V30" s="4" t="s">
        <v>1113</v>
      </c>
      <c r="W30" s="4" t="s">
        <v>1135</v>
      </c>
      <c r="X30" s="4" t="s">
        <v>1115</v>
      </c>
      <c r="Y30" s="4" t="s">
        <v>1116</v>
      </c>
      <c r="Z30" s="23" t="s">
        <v>1136</v>
      </c>
      <c r="AA30" s="7"/>
      <c r="AB30" s="4"/>
      <c r="AC30" s="4"/>
      <c r="AD30" s="4"/>
      <c r="AE30" s="18" t="s">
        <v>470</v>
      </c>
      <c r="AF30" s="4" t="s">
        <v>471</v>
      </c>
      <c r="AG30" s="4"/>
      <c r="AH30" s="4"/>
      <c r="AI30" s="4" t="s">
        <v>472</v>
      </c>
      <c r="AJ30" s="23" t="s">
        <v>1137</v>
      </c>
      <c r="AK30" s="4"/>
      <c r="AL30" s="7"/>
      <c r="AM30" s="4"/>
      <c r="AN30" s="4"/>
      <c r="AO30" s="23" t="s">
        <v>1138</v>
      </c>
      <c r="AP30" s="4"/>
      <c r="AQ30" s="7"/>
      <c r="AR30" s="4"/>
      <c r="AS30" s="4"/>
      <c r="AT30" s="4"/>
      <c r="AU30" s="4"/>
      <c r="AV30" s="23" t="s">
        <v>1139</v>
      </c>
      <c r="AW30" s="23" t="s">
        <v>1140</v>
      </c>
      <c r="AX30" s="19"/>
      <c r="AY30" s="19"/>
      <c r="AZ30" s="19"/>
      <c r="BA30" s="19"/>
      <c r="BB30" s="24" t="s">
        <v>1141</v>
      </c>
      <c r="BC30" s="4" t="s">
        <v>1142</v>
      </c>
      <c r="BD30" s="4" t="s">
        <v>658</v>
      </c>
      <c r="BE30" s="4" t="s">
        <v>659</v>
      </c>
      <c r="BF30" s="4" t="s">
        <v>660</v>
      </c>
      <c r="BG30" s="4" t="s">
        <v>1143</v>
      </c>
      <c r="BH30" s="4" t="s">
        <v>1144</v>
      </c>
      <c r="BI30" s="7"/>
      <c r="BJ30" s="7"/>
      <c r="BK30" s="7"/>
      <c r="BL30" s="7"/>
      <c r="BM30" s="4"/>
      <c r="BN30" s="4"/>
      <c r="BO30" s="7"/>
      <c r="BP30" s="7"/>
      <c r="BQ30" s="7"/>
      <c r="BR30" s="7"/>
      <c r="BS30" s="7"/>
      <c r="BT30" s="7"/>
      <c r="BU30" s="7"/>
      <c r="BV30" s="20" t="s">
        <v>24</v>
      </c>
      <c r="BW30" s="20" t="s">
        <v>31</v>
      </c>
      <c r="BX30" s="20" t="s">
        <v>38</v>
      </c>
      <c r="BY30" s="7"/>
      <c r="BZ30" s="20" t="s">
        <v>484</v>
      </c>
      <c r="CA30" s="20" t="s">
        <v>524</v>
      </c>
      <c r="CB30" s="20" t="s">
        <v>665</v>
      </c>
      <c r="CC30" s="20" t="s">
        <v>666</v>
      </c>
      <c r="CD30" s="20" t="s">
        <v>667</v>
      </c>
      <c r="CE30" s="20" t="s">
        <v>1127</v>
      </c>
      <c r="CF30" s="7"/>
      <c r="CG30" s="20" t="s">
        <v>1145</v>
      </c>
      <c r="CH30" s="22" t="str">
        <f aca="false">IF(AND(ISNUMBER(BP30),ISNUMBER(AG30),AG30&gt;0),BP30*1000000/AG30,"")</f>
        <v/>
      </c>
      <c r="CI30" s="7"/>
      <c r="CJ30" s="7"/>
      <c r="CK30" s="7"/>
      <c r="CL30" s="7"/>
      <c r="CM30" s="7"/>
      <c r="CN30" s="7"/>
      <c r="CO30" s="7"/>
      <c r="CP30" s="7"/>
      <c r="CQ30" s="7"/>
      <c r="CR30" s="7"/>
      <c r="CS30" s="7"/>
    </row>
    <row r="31" customFormat="false" ht="752.95" hidden="false" customHeight="false" outlineLevel="0" collapsed="false">
      <c r="A31" s="4" t="n">
        <v>30</v>
      </c>
      <c r="B31" s="4" t="s">
        <v>451</v>
      </c>
      <c r="C31" s="4" t="s">
        <v>452</v>
      </c>
      <c r="D31" s="4" t="s">
        <v>547</v>
      </c>
      <c r="E31" s="4" t="s">
        <v>1146</v>
      </c>
      <c r="F31" s="4" t="s">
        <v>1147</v>
      </c>
      <c r="G31" s="4" t="s">
        <v>1148</v>
      </c>
      <c r="H31" s="4" t="s">
        <v>1149</v>
      </c>
      <c r="I31" s="4" t="s">
        <v>1150</v>
      </c>
      <c r="J31" s="4" t="s">
        <v>1151</v>
      </c>
      <c r="K31" s="17" t="n">
        <v>229.842</v>
      </c>
      <c r="L31" s="4" t="n">
        <v>2026</v>
      </c>
      <c r="M31" s="4" t="s">
        <v>4</v>
      </c>
      <c r="N31" s="4" t="s">
        <v>493</v>
      </c>
      <c r="O31" s="4" t="s">
        <v>494</v>
      </c>
      <c r="P31" s="7" t="n">
        <v>203.131</v>
      </c>
      <c r="Q31" s="7" t="n">
        <v>26.711</v>
      </c>
      <c r="R31" s="4" t="s">
        <v>1152</v>
      </c>
      <c r="S31" s="4" t="s">
        <v>462</v>
      </c>
      <c r="T31" s="4" t="s">
        <v>1153</v>
      </c>
      <c r="U31" s="23" t="s">
        <v>497</v>
      </c>
      <c r="V31" s="4" t="s">
        <v>498</v>
      </c>
      <c r="W31" s="4"/>
      <c r="X31" s="4" t="s">
        <v>499</v>
      </c>
      <c r="Y31" s="4"/>
      <c r="Z31" s="23" t="s">
        <v>1154</v>
      </c>
      <c r="AA31" s="7"/>
      <c r="AB31" s="4"/>
      <c r="AC31" s="4"/>
      <c r="AD31" s="4"/>
      <c r="AE31" s="18" t="s">
        <v>470</v>
      </c>
      <c r="AF31" s="4" t="s">
        <v>471</v>
      </c>
      <c r="AG31" s="23" t="n">
        <v>3596</v>
      </c>
      <c r="AH31" s="23" t="s">
        <v>501</v>
      </c>
      <c r="AI31" s="23" t="s">
        <v>1155</v>
      </c>
      <c r="AJ31" s="23" t="s">
        <v>503</v>
      </c>
      <c r="AK31" s="23" t="s">
        <v>504</v>
      </c>
      <c r="AL31" s="7" t="n">
        <v>192.673</v>
      </c>
      <c r="AM31" s="4" t="n">
        <v>2026</v>
      </c>
      <c r="AN31" s="4" t="s">
        <v>505</v>
      </c>
      <c r="AO31" s="4" t="s">
        <v>506</v>
      </c>
      <c r="AP31" s="4" t="s">
        <v>507</v>
      </c>
      <c r="AQ31" s="7" t="n">
        <v>124.35</v>
      </c>
      <c r="AR31" s="4" t="n">
        <v>2026</v>
      </c>
      <c r="AS31" s="4" t="s">
        <v>508</v>
      </c>
      <c r="AT31" s="4" t="s">
        <v>509</v>
      </c>
      <c r="AU31" s="4" t="s">
        <v>507</v>
      </c>
      <c r="AV31" s="4" t="s">
        <v>510</v>
      </c>
      <c r="AW31" s="23" t="s">
        <v>511</v>
      </c>
      <c r="AX31" s="19"/>
      <c r="AY31" s="19"/>
      <c r="AZ31" s="19"/>
      <c r="BA31" s="19"/>
      <c r="BB31" s="24" t="s">
        <v>1156</v>
      </c>
      <c r="BC31" s="4" t="s">
        <v>1157</v>
      </c>
      <c r="BD31" s="4" t="s">
        <v>1158</v>
      </c>
      <c r="BE31" s="4" t="s">
        <v>540</v>
      </c>
      <c r="BF31" s="4" t="s">
        <v>1159</v>
      </c>
      <c r="BG31" s="4" t="s">
        <v>1160</v>
      </c>
      <c r="BH31" s="4" t="s">
        <v>1161</v>
      </c>
      <c r="BI31" s="7" t="n">
        <v>124.35</v>
      </c>
      <c r="BJ31" s="7" t="n">
        <v>176.453</v>
      </c>
      <c r="BK31" s="7" t="n">
        <v>114.067</v>
      </c>
      <c r="BL31" s="7"/>
      <c r="BM31" s="4"/>
      <c r="BN31" s="4" t="s">
        <v>518</v>
      </c>
      <c r="BO31" s="7" t="n">
        <v>187.324</v>
      </c>
      <c r="BP31" s="7" t="n">
        <v>186.223</v>
      </c>
      <c r="BQ31" s="7" t="n">
        <v>186.223</v>
      </c>
      <c r="BR31" s="7" t="s">
        <v>519</v>
      </c>
      <c r="BS31" s="7" t="s">
        <v>520</v>
      </c>
      <c r="BT31" s="7" t="s">
        <v>521</v>
      </c>
      <c r="BU31" s="7" t="s">
        <v>1162</v>
      </c>
      <c r="BV31" s="20" t="s">
        <v>23</v>
      </c>
      <c r="BW31" s="20" t="s">
        <v>28</v>
      </c>
      <c r="BX31" s="20" t="s">
        <v>35</v>
      </c>
      <c r="BY31" s="7"/>
      <c r="BZ31" s="20" t="s">
        <v>484</v>
      </c>
      <c r="CA31" s="20" t="s">
        <v>524</v>
      </c>
      <c r="CB31" s="20" t="s">
        <v>1163</v>
      </c>
      <c r="CC31" s="20" t="s">
        <v>1164</v>
      </c>
      <c r="CD31" s="7"/>
      <c r="CE31" s="20" t="s">
        <v>1165</v>
      </c>
      <c r="CF31" s="7"/>
      <c r="CG31" s="7"/>
      <c r="CH31" s="22" t="n">
        <f aca="false">IF(AND(ISNUMBER(BP31),ISNUMBER(AG31),AG31&gt;0),BP31*1000000/AG31,"")</f>
        <v>51786.1512791991</v>
      </c>
      <c r="CI31" s="21" t="n">
        <v>2211</v>
      </c>
      <c r="CJ31" s="21" t="n">
        <v>1150</v>
      </c>
      <c r="CK31" s="21" t="n">
        <v>0</v>
      </c>
      <c r="CL31" s="21" t="n">
        <v>3361</v>
      </c>
      <c r="CM31" s="7"/>
      <c r="CN31" s="7"/>
      <c r="CO31" s="7"/>
      <c r="CP31" s="20" t="s">
        <v>1166</v>
      </c>
      <c r="CQ31" s="20" t="s">
        <v>1167</v>
      </c>
      <c r="CR31" s="20" t="s">
        <v>1168</v>
      </c>
      <c r="CS31" s="20" t="s">
        <v>1169</v>
      </c>
    </row>
    <row r="32" customFormat="false" ht="444.75" hidden="false" customHeight="false" outlineLevel="0" collapsed="false">
      <c r="A32" s="4" t="n">
        <v>31</v>
      </c>
      <c r="B32" s="4" t="s">
        <v>451</v>
      </c>
      <c r="C32" s="4" t="s">
        <v>452</v>
      </c>
      <c r="D32" s="4" t="s">
        <v>453</v>
      </c>
      <c r="E32" s="4" t="s">
        <v>258</v>
      </c>
      <c r="F32" s="4" t="s">
        <v>1170</v>
      </c>
      <c r="G32" s="4" t="s">
        <v>1171</v>
      </c>
      <c r="H32" s="4" t="s">
        <v>1172</v>
      </c>
      <c r="I32" s="4" t="s">
        <v>1173</v>
      </c>
      <c r="J32" s="4" t="s">
        <v>1174</v>
      </c>
      <c r="K32" s="17" t="n">
        <v>758.265</v>
      </c>
      <c r="L32" s="4" t="n">
        <v>2026</v>
      </c>
      <c r="M32" s="4" t="s">
        <v>4</v>
      </c>
      <c r="N32" s="4" t="s">
        <v>493</v>
      </c>
      <c r="O32" s="4" t="s">
        <v>494</v>
      </c>
      <c r="P32" s="7" t="n">
        <v>704.423</v>
      </c>
      <c r="Q32" s="7" t="n">
        <v>53.842</v>
      </c>
      <c r="R32" s="4" t="s">
        <v>1175</v>
      </c>
      <c r="S32" s="4" t="s">
        <v>462</v>
      </c>
      <c r="T32" s="4" t="s">
        <v>496</v>
      </c>
      <c r="U32" s="23" t="s">
        <v>497</v>
      </c>
      <c r="V32" s="4" t="s">
        <v>647</v>
      </c>
      <c r="W32" s="4" t="s">
        <v>1176</v>
      </c>
      <c r="X32" s="4" t="s">
        <v>1177</v>
      </c>
      <c r="Y32" s="4" t="s">
        <v>1178</v>
      </c>
      <c r="Z32" s="4" t="s">
        <v>1179</v>
      </c>
      <c r="AA32" s="7"/>
      <c r="AB32" s="4"/>
      <c r="AC32" s="4"/>
      <c r="AD32" s="4"/>
      <c r="AE32" s="18" t="s">
        <v>470</v>
      </c>
      <c r="AF32" s="4" t="s">
        <v>471</v>
      </c>
      <c r="AG32" s="4" t="n">
        <v>880</v>
      </c>
      <c r="AH32" s="4" t="s">
        <v>1180</v>
      </c>
      <c r="AI32" s="4" t="s">
        <v>1181</v>
      </c>
      <c r="AJ32" s="4" t="s">
        <v>503</v>
      </c>
      <c r="AK32" s="4" t="s">
        <v>1182</v>
      </c>
      <c r="AL32" s="7" t="n">
        <v>51.306</v>
      </c>
      <c r="AM32" s="4" t="n">
        <v>2026</v>
      </c>
      <c r="AN32" s="4" t="s">
        <v>505</v>
      </c>
      <c r="AO32" s="4" t="s">
        <v>506</v>
      </c>
      <c r="AP32" s="4" t="s">
        <v>507</v>
      </c>
      <c r="AQ32" s="7" t="n">
        <v>31.773</v>
      </c>
      <c r="AR32" s="4" t="n">
        <v>2026</v>
      </c>
      <c r="AS32" s="4" t="s">
        <v>508</v>
      </c>
      <c r="AT32" s="4" t="s">
        <v>509</v>
      </c>
      <c r="AU32" s="4" t="s">
        <v>507</v>
      </c>
      <c r="AV32" s="4" t="s">
        <v>510</v>
      </c>
      <c r="AW32" s="4" t="s">
        <v>1032</v>
      </c>
      <c r="AX32" s="19"/>
      <c r="AY32" s="19"/>
      <c r="AZ32" s="19"/>
      <c r="BA32" s="19"/>
      <c r="BB32" s="19" t="s">
        <v>1183</v>
      </c>
      <c r="BC32" s="4" t="s">
        <v>1184</v>
      </c>
      <c r="BD32" s="4" t="s">
        <v>1185</v>
      </c>
      <c r="BE32" s="4" t="s">
        <v>514</v>
      </c>
      <c r="BF32" s="4" t="s">
        <v>515</v>
      </c>
      <c r="BG32" s="4" t="s">
        <v>1186</v>
      </c>
      <c r="BH32" s="4" t="s">
        <v>1187</v>
      </c>
      <c r="BI32" s="7" t="n">
        <v>31.442</v>
      </c>
      <c r="BJ32" s="7" t="n">
        <v>51.306</v>
      </c>
      <c r="BK32" s="7" t="n">
        <v>27.971</v>
      </c>
      <c r="BL32" s="7"/>
      <c r="BM32" s="4"/>
      <c r="BN32" s="4" t="s">
        <v>518</v>
      </c>
      <c r="BO32" s="7" t="n">
        <v>51.38</v>
      </c>
      <c r="BP32" s="7" t="n">
        <v>43.833</v>
      </c>
      <c r="BQ32" s="7" t="n">
        <v>43.833</v>
      </c>
      <c r="BR32" s="7" t="s">
        <v>519</v>
      </c>
      <c r="BS32" s="7" t="s">
        <v>520</v>
      </c>
      <c r="BT32" s="7" t="s">
        <v>521</v>
      </c>
      <c r="BU32" s="7" t="s">
        <v>1188</v>
      </c>
      <c r="BV32" s="20" t="s">
        <v>23</v>
      </c>
      <c r="BW32" s="20" t="s">
        <v>29</v>
      </c>
      <c r="BX32" s="20" t="s">
        <v>36</v>
      </c>
      <c r="BY32" s="20" t="s">
        <v>1189</v>
      </c>
      <c r="BZ32" s="20" t="s">
        <v>484</v>
      </c>
      <c r="CA32" s="20" t="s">
        <v>524</v>
      </c>
      <c r="CB32" s="20" t="s">
        <v>1190</v>
      </c>
      <c r="CC32" s="20" t="s">
        <v>1191</v>
      </c>
      <c r="CD32" s="7"/>
      <c r="CE32" s="20" t="s">
        <v>257</v>
      </c>
      <c r="CF32" s="21" t="n">
        <v>6</v>
      </c>
      <c r="CG32" s="7"/>
      <c r="CH32" s="22" t="n">
        <f aca="false">IF(AND(ISNUMBER(BP32),ISNUMBER(AG32),AG32&gt;0),BP32*1000000/AG32,"")</f>
        <v>49810.2272727273</v>
      </c>
      <c r="CI32" s="7"/>
      <c r="CJ32" s="7"/>
      <c r="CK32" s="7"/>
      <c r="CL32" s="7"/>
      <c r="CM32" s="7"/>
      <c r="CN32" s="7"/>
      <c r="CO32" s="7"/>
      <c r="CP32" s="7"/>
      <c r="CQ32" s="7"/>
      <c r="CR32" s="7"/>
      <c r="CS32" s="7"/>
    </row>
    <row r="33" customFormat="false" ht="592.5" hidden="false" customHeight="false" outlineLevel="0" collapsed="false">
      <c r="A33" s="4" t="n">
        <v>32</v>
      </c>
      <c r="B33" s="4" t="s">
        <v>451</v>
      </c>
      <c r="C33" s="4" t="s">
        <v>452</v>
      </c>
      <c r="D33" s="4" t="s">
        <v>453</v>
      </c>
      <c r="E33" s="4" t="s">
        <v>1192</v>
      </c>
      <c r="F33" s="4" t="s">
        <v>1170</v>
      </c>
      <c r="G33" s="4" t="s">
        <v>1193</v>
      </c>
      <c r="H33" s="4" t="s">
        <v>1194</v>
      </c>
      <c r="I33" s="4" t="s">
        <v>1195</v>
      </c>
      <c r="J33" s="4" t="s">
        <v>1174</v>
      </c>
      <c r="K33" s="17" t="n">
        <v>33.708</v>
      </c>
      <c r="L33" s="4" t="n">
        <v>2026</v>
      </c>
      <c r="M33" s="4" t="s">
        <v>4</v>
      </c>
      <c r="N33" s="4" t="s">
        <v>493</v>
      </c>
      <c r="O33" s="4" t="s">
        <v>494</v>
      </c>
      <c r="P33" s="7" t="n">
        <v>33.114</v>
      </c>
      <c r="Q33" s="7" t="n">
        <v>0.594</v>
      </c>
      <c r="R33" s="4" t="s">
        <v>1196</v>
      </c>
      <c r="S33" s="4" t="s">
        <v>462</v>
      </c>
      <c r="T33" s="4" t="s">
        <v>496</v>
      </c>
      <c r="U33" s="23" t="s">
        <v>497</v>
      </c>
      <c r="V33" s="4" t="s">
        <v>498</v>
      </c>
      <c r="W33" s="4"/>
      <c r="X33" s="4" t="s">
        <v>499</v>
      </c>
      <c r="Y33" s="4"/>
      <c r="Z33" s="23" t="s">
        <v>1197</v>
      </c>
      <c r="AA33" s="7"/>
      <c r="AB33" s="4"/>
      <c r="AC33" s="4"/>
      <c r="AD33" s="4"/>
      <c r="AE33" s="18" t="s">
        <v>470</v>
      </c>
      <c r="AF33" s="4" t="s">
        <v>471</v>
      </c>
      <c r="AG33" s="23" t="n">
        <v>270</v>
      </c>
      <c r="AH33" s="23" t="s">
        <v>1198</v>
      </c>
      <c r="AI33" s="23" t="s">
        <v>1199</v>
      </c>
      <c r="AJ33" s="23" t="s">
        <v>503</v>
      </c>
      <c r="AK33" s="23" t="s">
        <v>1200</v>
      </c>
      <c r="AL33" s="7" t="n">
        <v>20.696</v>
      </c>
      <c r="AM33" s="4" t="n">
        <v>2026</v>
      </c>
      <c r="AN33" s="4" t="s">
        <v>505</v>
      </c>
      <c r="AO33" s="4" t="s">
        <v>506</v>
      </c>
      <c r="AP33" s="4" t="s">
        <v>507</v>
      </c>
      <c r="AQ33" s="7" t="n">
        <v>10.586</v>
      </c>
      <c r="AR33" s="4" t="n">
        <v>2026</v>
      </c>
      <c r="AS33" s="4" t="s">
        <v>508</v>
      </c>
      <c r="AT33" s="4" t="s">
        <v>509</v>
      </c>
      <c r="AU33" s="4" t="s">
        <v>507</v>
      </c>
      <c r="AV33" s="4" t="s">
        <v>510</v>
      </c>
      <c r="AW33" s="23" t="s">
        <v>1201</v>
      </c>
      <c r="AX33" s="19"/>
      <c r="AY33" s="19"/>
      <c r="AZ33" s="19"/>
      <c r="BA33" s="19"/>
      <c r="BB33" s="24" t="s">
        <v>1202</v>
      </c>
      <c r="BC33" s="4" t="s">
        <v>1203</v>
      </c>
      <c r="BD33" s="4" t="s">
        <v>1204</v>
      </c>
      <c r="BE33" s="4" t="s">
        <v>479</v>
      </c>
      <c r="BF33" s="4" t="s">
        <v>480</v>
      </c>
      <c r="BG33" s="4" t="s">
        <v>1205</v>
      </c>
      <c r="BH33" s="4" t="s">
        <v>1206</v>
      </c>
      <c r="BI33" s="7" t="n">
        <v>10.586</v>
      </c>
      <c r="BJ33" s="7" t="n">
        <v>20.696</v>
      </c>
      <c r="BK33" s="7" t="n">
        <v>10.232</v>
      </c>
      <c r="BL33" s="7"/>
      <c r="BM33" s="4"/>
      <c r="BN33" s="4" t="s">
        <v>518</v>
      </c>
      <c r="BO33" s="7" t="n">
        <v>20.696</v>
      </c>
      <c r="BP33" s="7" t="n">
        <v>15.933</v>
      </c>
      <c r="BQ33" s="7" t="n">
        <v>15.933</v>
      </c>
      <c r="BR33" s="7" t="s">
        <v>519</v>
      </c>
      <c r="BS33" s="7" t="s">
        <v>520</v>
      </c>
      <c r="BT33" s="7" t="s">
        <v>521</v>
      </c>
      <c r="BU33" s="7" t="s">
        <v>522</v>
      </c>
      <c r="BV33" s="20" t="s">
        <v>23</v>
      </c>
      <c r="BW33" s="20" t="s">
        <v>28</v>
      </c>
      <c r="BX33" s="20" t="s">
        <v>34</v>
      </c>
      <c r="BY33" s="7"/>
      <c r="BZ33" s="20" t="s">
        <v>484</v>
      </c>
      <c r="CA33" s="20" t="s">
        <v>524</v>
      </c>
      <c r="CB33" s="20" t="s">
        <v>1207</v>
      </c>
      <c r="CC33" s="20" t="s">
        <v>1208</v>
      </c>
      <c r="CD33" s="7"/>
      <c r="CE33" s="20" t="s">
        <v>1209</v>
      </c>
      <c r="CF33" s="7"/>
      <c r="CG33" s="7"/>
      <c r="CH33" s="22" t="n">
        <f aca="false">IF(AND(ISNUMBER(BP33),ISNUMBER(AG33),AG33&gt;0),BP33*1000000/AG33,"")</f>
        <v>59011.1111111111</v>
      </c>
      <c r="CI33" s="7"/>
      <c r="CJ33" s="7"/>
      <c r="CK33" s="7"/>
      <c r="CL33" s="7"/>
      <c r="CM33" s="7"/>
      <c r="CN33" s="7"/>
      <c r="CO33" s="7"/>
      <c r="CP33" s="7"/>
      <c r="CQ33" s="7"/>
      <c r="CR33" s="7"/>
      <c r="CS33" s="7"/>
    </row>
    <row r="34" customFormat="false" ht="847" hidden="false" customHeight="false" outlineLevel="0" collapsed="false">
      <c r="A34" s="4" t="n">
        <v>33</v>
      </c>
      <c r="B34" s="4" t="s">
        <v>451</v>
      </c>
      <c r="C34" s="4" t="s">
        <v>452</v>
      </c>
      <c r="D34" s="4" t="s">
        <v>453</v>
      </c>
      <c r="E34" s="4" t="s">
        <v>1210</v>
      </c>
      <c r="F34" s="4" t="s">
        <v>1170</v>
      </c>
      <c r="G34" s="4" t="s">
        <v>1211</v>
      </c>
      <c r="H34" s="4" t="s">
        <v>1212</v>
      </c>
      <c r="I34" s="4" t="s">
        <v>1213</v>
      </c>
      <c r="J34" s="4" t="s">
        <v>1174</v>
      </c>
      <c r="K34" s="17" t="n">
        <v>1543.754</v>
      </c>
      <c r="L34" s="4" t="n">
        <v>2026</v>
      </c>
      <c r="M34" s="4" t="s">
        <v>4</v>
      </c>
      <c r="N34" s="4" t="s">
        <v>493</v>
      </c>
      <c r="O34" s="4" t="s">
        <v>494</v>
      </c>
      <c r="P34" s="7" t="n">
        <v>1213.105</v>
      </c>
      <c r="Q34" s="7" t="n">
        <v>330.649</v>
      </c>
      <c r="R34" s="4" t="s">
        <v>1214</v>
      </c>
      <c r="S34" s="4" t="s">
        <v>462</v>
      </c>
      <c r="T34" s="4" t="s">
        <v>496</v>
      </c>
      <c r="U34" s="23" t="s">
        <v>497</v>
      </c>
      <c r="V34" s="4" t="s">
        <v>557</v>
      </c>
      <c r="W34" s="4" t="s">
        <v>1215</v>
      </c>
      <c r="X34" s="4" t="s">
        <v>559</v>
      </c>
      <c r="Y34" s="4" t="s">
        <v>560</v>
      </c>
      <c r="Z34" s="23" t="s">
        <v>1216</v>
      </c>
      <c r="AA34" s="7"/>
      <c r="AB34" s="4"/>
      <c r="AC34" s="4"/>
      <c r="AD34" s="4"/>
      <c r="AE34" s="18" t="s">
        <v>470</v>
      </c>
      <c r="AF34" s="4" t="s">
        <v>471</v>
      </c>
      <c r="AG34" s="23" t="n">
        <v>17130</v>
      </c>
      <c r="AH34" s="23" t="s">
        <v>501</v>
      </c>
      <c r="AI34" s="23" t="s">
        <v>1217</v>
      </c>
      <c r="AJ34" s="23" t="s">
        <v>503</v>
      </c>
      <c r="AK34" s="23" t="s">
        <v>504</v>
      </c>
      <c r="AL34" s="7" t="n">
        <v>614.97</v>
      </c>
      <c r="AM34" s="4" t="n">
        <v>2026</v>
      </c>
      <c r="AN34" s="4" t="s">
        <v>505</v>
      </c>
      <c r="AO34" s="4" t="s">
        <v>506</v>
      </c>
      <c r="AP34" s="4" t="s">
        <v>507</v>
      </c>
      <c r="AQ34" s="7" t="n">
        <v>407.367</v>
      </c>
      <c r="AR34" s="4" t="n">
        <v>2026</v>
      </c>
      <c r="AS34" s="4" t="s">
        <v>508</v>
      </c>
      <c r="AT34" s="4" t="s">
        <v>509</v>
      </c>
      <c r="AU34" s="4" t="s">
        <v>507</v>
      </c>
      <c r="AV34" s="4" t="s">
        <v>510</v>
      </c>
      <c r="AW34" s="23" t="s">
        <v>511</v>
      </c>
      <c r="AX34" s="19"/>
      <c r="AY34" s="19"/>
      <c r="AZ34" s="19"/>
      <c r="BA34" s="19"/>
      <c r="BB34" s="19"/>
      <c r="BC34" s="4" t="s">
        <v>1218</v>
      </c>
      <c r="BD34" s="4" t="s">
        <v>1219</v>
      </c>
      <c r="BE34" s="4" t="s">
        <v>479</v>
      </c>
      <c r="BF34" s="4" t="s">
        <v>480</v>
      </c>
      <c r="BG34" s="4" t="s">
        <v>1220</v>
      </c>
      <c r="BH34" s="4" t="s">
        <v>1221</v>
      </c>
      <c r="BI34" s="7" t="n">
        <v>407.365</v>
      </c>
      <c r="BJ34" s="7" t="n">
        <v>553.245</v>
      </c>
      <c r="BK34" s="7" t="n">
        <v>359.462</v>
      </c>
      <c r="BL34" s="7"/>
      <c r="BM34" s="4"/>
      <c r="BN34" s="4" t="s">
        <v>518</v>
      </c>
      <c r="BO34" s="7" t="n">
        <v>563.009</v>
      </c>
      <c r="BP34" s="7" t="n">
        <v>558.043</v>
      </c>
      <c r="BQ34" s="7" t="n">
        <v>558.043</v>
      </c>
      <c r="BR34" s="7" t="s">
        <v>519</v>
      </c>
      <c r="BS34" s="7" t="s">
        <v>520</v>
      </c>
      <c r="BT34" s="7" t="s">
        <v>521</v>
      </c>
      <c r="BU34" s="7" t="s">
        <v>1222</v>
      </c>
      <c r="BV34" s="20" t="s">
        <v>23</v>
      </c>
      <c r="BW34" s="20" t="s">
        <v>28</v>
      </c>
      <c r="BX34" s="20" t="s">
        <v>34</v>
      </c>
      <c r="BY34" s="7"/>
      <c r="BZ34" s="20" t="s">
        <v>484</v>
      </c>
      <c r="CA34" s="20" t="s">
        <v>524</v>
      </c>
      <c r="CB34" s="20" t="s">
        <v>1223</v>
      </c>
      <c r="CC34" s="20" t="s">
        <v>1208</v>
      </c>
      <c r="CD34" s="7"/>
      <c r="CE34" s="20" t="s">
        <v>1224</v>
      </c>
      <c r="CF34" s="7"/>
      <c r="CG34" s="7"/>
      <c r="CH34" s="22" t="n">
        <f aca="false">IF(AND(ISNUMBER(BP34),ISNUMBER(AG34),AG34&gt;0),BP34*1000000/AG34,"")</f>
        <v>32576.9410391127</v>
      </c>
      <c r="CI34" s="21" t="n">
        <v>15216</v>
      </c>
      <c r="CJ34" s="21" t="n">
        <v>1139</v>
      </c>
      <c r="CK34" s="21" t="n">
        <v>1116</v>
      </c>
      <c r="CL34" s="21" t="n">
        <v>17471</v>
      </c>
      <c r="CM34" s="7"/>
      <c r="CN34" s="7"/>
      <c r="CO34" s="7"/>
      <c r="CP34" s="20" t="s">
        <v>1225</v>
      </c>
      <c r="CQ34" s="20" t="s">
        <v>1226</v>
      </c>
      <c r="CR34" s="20" t="s">
        <v>1227</v>
      </c>
      <c r="CS34" s="20" t="s">
        <v>1228</v>
      </c>
    </row>
    <row r="35" customFormat="false" ht="538.8" hidden="false" customHeight="false" outlineLevel="0" collapsed="false">
      <c r="A35" s="4" t="n">
        <v>34</v>
      </c>
      <c r="B35" s="4" t="s">
        <v>451</v>
      </c>
      <c r="C35" s="4" t="s">
        <v>452</v>
      </c>
      <c r="D35" s="4" t="s">
        <v>453</v>
      </c>
      <c r="E35" s="4" t="s">
        <v>1229</v>
      </c>
      <c r="F35" s="4" t="s">
        <v>1170</v>
      </c>
      <c r="G35" s="4" t="s">
        <v>489</v>
      </c>
      <c r="H35" s="4" t="s">
        <v>1230</v>
      </c>
      <c r="I35" s="4" t="s">
        <v>1231</v>
      </c>
      <c r="J35" s="4" t="s">
        <v>1174</v>
      </c>
      <c r="K35" s="17" t="n">
        <v>201.096</v>
      </c>
      <c r="L35" s="4" t="n">
        <v>2026</v>
      </c>
      <c r="M35" s="4" t="s">
        <v>4</v>
      </c>
      <c r="N35" s="4" t="s">
        <v>493</v>
      </c>
      <c r="O35" s="4" t="s">
        <v>494</v>
      </c>
      <c r="P35" s="7" t="n">
        <v>133.758</v>
      </c>
      <c r="Q35" s="7" t="n">
        <v>67.338</v>
      </c>
      <c r="R35" s="4" t="s">
        <v>1232</v>
      </c>
      <c r="S35" s="4" t="s">
        <v>462</v>
      </c>
      <c r="T35" s="4" t="s">
        <v>496</v>
      </c>
      <c r="U35" s="23" t="s">
        <v>497</v>
      </c>
      <c r="V35" s="4" t="s">
        <v>498</v>
      </c>
      <c r="W35" s="4"/>
      <c r="X35" s="4" t="s">
        <v>499</v>
      </c>
      <c r="Y35" s="4"/>
      <c r="Z35" s="23" t="s">
        <v>1233</v>
      </c>
      <c r="AA35" s="7"/>
      <c r="AB35" s="4"/>
      <c r="AC35" s="4"/>
      <c r="AD35" s="4"/>
      <c r="AE35" s="18" t="s">
        <v>470</v>
      </c>
      <c r="AF35" s="4" t="s">
        <v>471</v>
      </c>
      <c r="AG35" s="23" t="n">
        <v>1058</v>
      </c>
      <c r="AH35" s="23" t="s">
        <v>501</v>
      </c>
      <c r="AI35" s="23" t="s">
        <v>1234</v>
      </c>
      <c r="AJ35" s="23" t="s">
        <v>503</v>
      </c>
      <c r="AK35" s="23" t="s">
        <v>504</v>
      </c>
      <c r="AL35" s="7" t="n">
        <v>51.574</v>
      </c>
      <c r="AM35" s="4" t="n">
        <v>2026</v>
      </c>
      <c r="AN35" s="4" t="s">
        <v>505</v>
      </c>
      <c r="AO35" s="4" t="s">
        <v>506</v>
      </c>
      <c r="AP35" s="4" t="s">
        <v>507</v>
      </c>
      <c r="AQ35" s="7" t="n">
        <v>30.707</v>
      </c>
      <c r="AR35" s="4" t="n">
        <v>2026</v>
      </c>
      <c r="AS35" s="4" t="s">
        <v>508</v>
      </c>
      <c r="AT35" s="4" t="s">
        <v>509</v>
      </c>
      <c r="AU35" s="4" t="s">
        <v>507</v>
      </c>
      <c r="AV35" s="4" t="s">
        <v>510</v>
      </c>
      <c r="AW35" s="23" t="s">
        <v>511</v>
      </c>
      <c r="AX35" s="19"/>
      <c r="AY35" s="19"/>
      <c r="AZ35" s="19"/>
      <c r="BA35" s="19"/>
      <c r="BB35" s="24" t="s">
        <v>1235</v>
      </c>
      <c r="BC35" s="4" t="s">
        <v>1236</v>
      </c>
      <c r="BD35" s="4" t="s">
        <v>1237</v>
      </c>
      <c r="BE35" s="4" t="s">
        <v>479</v>
      </c>
      <c r="BF35" s="4" t="s">
        <v>480</v>
      </c>
      <c r="BG35" s="4" t="s">
        <v>1238</v>
      </c>
      <c r="BH35" s="4" t="s">
        <v>1239</v>
      </c>
      <c r="BI35" s="7" t="n">
        <v>30.707</v>
      </c>
      <c r="BJ35" s="7" t="n">
        <v>43.832</v>
      </c>
      <c r="BK35" s="7" t="n">
        <v>28.13</v>
      </c>
      <c r="BL35" s="7" t="n">
        <v>43.24706</v>
      </c>
      <c r="BM35" s="4" t="s">
        <v>1240</v>
      </c>
      <c r="BN35" s="4" t="s">
        <v>1241</v>
      </c>
      <c r="BO35" s="7" t="n">
        <v>45.864</v>
      </c>
      <c r="BP35" s="7" t="n">
        <v>45.141</v>
      </c>
      <c r="BQ35" s="7" t="n">
        <v>45.141</v>
      </c>
      <c r="BR35" s="7" t="s">
        <v>519</v>
      </c>
      <c r="BS35" s="7" t="s">
        <v>520</v>
      </c>
      <c r="BT35" s="7" t="s">
        <v>521</v>
      </c>
      <c r="BU35" s="7" t="s">
        <v>1242</v>
      </c>
      <c r="BV35" s="20" t="s">
        <v>23</v>
      </c>
      <c r="BW35" s="20" t="s">
        <v>28</v>
      </c>
      <c r="BX35" s="20" t="s">
        <v>34</v>
      </c>
      <c r="BY35" s="7"/>
      <c r="BZ35" s="20" t="s">
        <v>484</v>
      </c>
      <c r="CA35" s="20" t="s">
        <v>524</v>
      </c>
      <c r="CB35" s="20" t="s">
        <v>1243</v>
      </c>
      <c r="CC35" s="20" t="s">
        <v>1208</v>
      </c>
      <c r="CD35" s="7"/>
      <c r="CE35" s="20" t="s">
        <v>1244</v>
      </c>
      <c r="CF35" s="7"/>
      <c r="CG35" s="7"/>
      <c r="CH35" s="22" t="n">
        <f aca="false">IF(AND(ISNUMBER(BP35),ISNUMBER(AG35),AG35&gt;0),BP35*1000000/AG35,"")</f>
        <v>42666.3516068053</v>
      </c>
      <c r="CI35" s="7"/>
      <c r="CJ35" s="7"/>
      <c r="CK35" s="7"/>
      <c r="CL35" s="7"/>
      <c r="CM35" s="7"/>
      <c r="CN35" s="7"/>
      <c r="CO35" s="7"/>
      <c r="CP35" s="7"/>
      <c r="CQ35" s="7"/>
      <c r="CR35" s="20" t="s">
        <v>1245</v>
      </c>
      <c r="CS35" s="20" t="s">
        <v>1246</v>
      </c>
    </row>
    <row r="36" customFormat="false" ht="605.95" hidden="false" customHeight="false" outlineLevel="0" collapsed="false">
      <c r="A36" s="4" t="n">
        <v>35</v>
      </c>
      <c r="B36" s="4" t="s">
        <v>451</v>
      </c>
      <c r="C36" s="4" t="s">
        <v>452</v>
      </c>
      <c r="D36" s="4" t="s">
        <v>453</v>
      </c>
      <c r="E36" s="4" t="s">
        <v>1247</v>
      </c>
      <c r="F36" s="4" t="s">
        <v>1170</v>
      </c>
      <c r="G36" s="4" t="s">
        <v>1248</v>
      </c>
      <c r="H36" s="4" t="s">
        <v>1249</v>
      </c>
      <c r="I36" s="4" t="s">
        <v>1250</v>
      </c>
      <c r="J36" s="4" t="s">
        <v>1174</v>
      </c>
      <c r="K36" s="17" t="n">
        <v>95.355</v>
      </c>
      <c r="L36" s="4" t="n">
        <v>2026</v>
      </c>
      <c r="M36" s="4" t="s">
        <v>4</v>
      </c>
      <c r="N36" s="4" t="s">
        <v>493</v>
      </c>
      <c r="O36" s="4" t="s">
        <v>494</v>
      </c>
      <c r="P36" s="7" t="n">
        <v>80.525</v>
      </c>
      <c r="Q36" s="7" t="n">
        <v>14.83</v>
      </c>
      <c r="R36" s="4" t="s">
        <v>1251</v>
      </c>
      <c r="S36" s="4" t="s">
        <v>462</v>
      </c>
      <c r="T36" s="4" t="s">
        <v>496</v>
      </c>
      <c r="U36" s="23" t="s">
        <v>497</v>
      </c>
      <c r="V36" s="4" t="s">
        <v>498</v>
      </c>
      <c r="W36" s="4"/>
      <c r="X36" s="4" t="s">
        <v>499</v>
      </c>
      <c r="Y36" s="4"/>
      <c r="Z36" s="23" t="s">
        <v>1252</v>
      </c>
      <c r="AA36" s="7"/>
      <c r="AB36" s="4"/>
      <c r="AC36" s="4"/>
      <c r="AD36" s="4"/>
      <c r="AE36" s="18" t="s">
        <v>470</v>
      </c>
      <c r="AF36" s="4" t="s">
        <v>471</v>
      </c>
      <c r="AG36" s="23" t="n">
        <v>629</v>
      </c>
      <c r="AH36" s="23" t="s">
        <v>501</v>
      </c>
      <c r="AI36" s="23" t="s">
        <v>1253</v>
      </c>
      <c r="AJ36" s="23" t="s">
        <v>503</v>
      </c>
      <c r="AK36" s="23" t="s">
        <v>504</v>
      </c>
      <c r="AL36" s="7" t="n">
        <v>39.13</v>
      </c>
      <c r="AM36" s="4" t="n">
        <v>2026</v>
      </c>
      <c r="AN36" s="4" t="s">
        <v>505</v>
      </c>
      <c r="AO36" s="4" t="s">
        <v>506</v>
      </c>
      <c r="AP36" s="4" t="s">
        <v>507</v>
      </c>
      <c r="AQ36" s="7" t="n">
        <v>21.351</v>
      </c>
      <c r="AR36" s="4" t="n">
        <v>2026</v>
      </c>
      <c r="AS36" s="4" t="s">
        <v>508</v>
      </c>
      <c r="AT36" s="4" t="s">
        <v>509</v>
      </c>
      <c r="AU36" s="4" t="s">
        <v>507</v>
      </c>
      <c r="AV36" s="4" t="s">
        <v>510</v>
      </c>
      <c r="AW36" s="23" t="s">
        <v>511</v>
      </c>
      <c r="AX36" s="19"/>
      <c r="AY36" s="19"/>
      <c r="AZ36" s="19"/>
      <c r="BA36" s="19"/>
      <c r="BB36" s="24" t="s">
        <v>1254</v>
      </c>
      <c r="BC36" s="4" t="s">
        <v>1255</v>
      </c>
      <c r="BD36" s="4" t="s">
        <v>1256</v>
      </c>
      <c r="BE36" s="4" t="s">
        <v>540</v>
      </c>
      <c r="BF36" s="4" t="s">
        <v>1257</v>
      </c>
      <c r="BG36" s="4" t="s">
        <v>1258</v>
      </c>
      <c r="BH36" s="4" t="s">
        <v>1259</v>
      </c>
      <c r="BI36" s="7" t="n">
        <v>21.351</v>
      </c>
      <c r="BJ36" s="7" t="n">
        <v>35.426</v>
      </c>
      <c r="BK36" s="7" t="n">
        <v>21.179</v>
      </c>
      <c r="BL36" s="7"/>
      <c r="BM36" s="4"/>
      <c r="BN36" s="4" t="s">
        <v>518</v>
      </c>
      <c r="BO36" s="7" t="n">
        <v>35.426</v>
      </c>
      <c r="BP36" s="7" t="n">
        <v>34.053</v>
      </c>
      <c r="BQ36" s="7" t="n">
        <v>34.053</v>
      </c>
      <c r="BR36" s="7" t="s">
        <v>519</v>
      </c>
      <c r="BS36" s="7" t="s">
        <v>520</v>
      </c>
      <c r="BT36" s="7" t="s">
        <v>521</v>
      </c>
      <c r="BU36" s="7" t="s">
        <v>522</v>
      </c>
      <c r="BV36" s="20" t="s">
        <v>23</v>
      </c>
      <c r="BW36" s="20" t="s">
        <v>28</v>
      </c>
      <c r="BX36" s="20" t="s">
        <v>35</v>
      </c>
      <c r="BY36" s="7"/>
      <c r="BZ36" s="20" t="s">
        <v>1260</v>
      </c>
      <c r="CA36" s="20" t="s">
        <v>524</v>
      </c>
      <c r="CB36" s="20" t="s">
        <v>1261</v>
      </c>
      <c r="CC36" s="20" t="s">
        <v>526</v>
      </c>
      <c r="CD36" s="7"/>
      <c r="CE36" s="20" t="s">
        <v>1262</v>
      </c>
      <c r="CF36" s="7"/>
      <c r="CG36" s="7"/>
      <c r="CH36" s="22" t="n">
        <f aca="false">IF(AND(ISNUMBER(BP36),ISNUMBER(AG36),AG36&gt;0),BP36*1000000/AG36,"")</f>
        <v>54138.3147853736</v>
      </c>
      <c r="CI36" s="21" t="n">
        <v>525</v>
      </c>
      <c r="CJ36" s="21" t="n">
        <v>108</v>
      </c>
      <c r="CK36" s="21" t="n">
        <v>22</v>
      </c>
      <c r="CL36" s="21" t="n">
        <v>655</v>
      </c>
      <c r="CM36" s="7"/>
      <c r="CN36" s="7"/>
      <c r="CO36" s="7"/>
      <c r="CP36" s="20" t="s">
        <v>1263</v>
      </c>
      <c r="CQ36" s="20" t="s">
        <v>1264</v>
      </c>
      <c r="CR36" s="20" t="s">
        <v>1265</v>
      </c>
      <c r="CS36" s="20" t="s">
        <v>1266</v>
      </c>
    </row>
    <row r="37" customFormat="false" ht="283.55" hidden="false" customHeight="false" outlineLevel="0" collapsed="false">
      <c r="A37" s="4" t="n">
        <v>36</v>
      </c>
      <c r="B37" s="4" t="s">
        <v>451</v>
      </c>
      <c r="C37" s="4" t="s">
        <v>452</v>
      </c>
      <c r="D37" s="4" t="s">
        <v>453</v>
      </c>
      <c r="E37" s="4" t="s">
        <v>1267</v>
      </c>
      <c r="F37" s="4" t="s">
        <v>1268</v>
      </c>
      <c r="G37" s="4" t="s">
        <v>1269</v>
      </c>
      <c r="H37" s="4" t="s">
        <v>1270</v>
      </c>
      <c r="I37" s="4" t="s">
        <v>1271</v>
      </c>
      <c r="J37" s="4" t="s">
        <v>1272</v>
      </c>
      <c r="K37" s="17" t="n">
        <v>330.608</v>
      </c>
      <c r="L37" s="4" t="n">
        <v>2026</v>
      </c>
      <c r="M37" s="4" t="s">
        <v>4</v>
      </c>
      <c r="N37" s="4" t="s">
        <v>493</v>
      </c>
      <c r="O37" s="4" t="s">
        <v>494</v>
      </c>
      <c r="P37" s="7" t="n">
        <v>255.108</v>
      </c>
      <c r="Q37" s="7" t="n">
        <v>75.5</v>
      </c>
      <c r="R37" s="4" t="s">
        <v>1273</v>
      </c>
      <c r="S37" s="4" t="s">
        <v>462</v>
      </c>
      <c r="T37" s="4" t="s">
        <v>496</v>
      </c>
      <c r="U37" s="23" t="s">
        <v>497</v>
      </c>
      <c r="V37" s="4" t="s">
        <v>498</v>
      </c>
      <c r="W37" s="4"/>
      <c r="X37" s="4" t="s">
        <v>499</v>
      </c>
      <c r="Y37" s="4"/>
      <c r="Z37" s="4" t="s">
        <v>1274</v>
      </c>
      <c r="AA37" s="7"/>
      <c r="AB37" s="4"/>
      <c r="AC37" s="4"/>
      <c r="AD37" s="4"/>
      <c r="AE37" s="18" t="s">
        <v>470</v>
      </c>
      <c r="AF37" s="4" t="s">
        <v>471</v>
      </c>
      <c r="AG37" s="4" t="n">
        <v>197</v>
      </c>
      <c r="AH37" s="4" t="s">
        <v>605</v>
      </c>
      <c r="AI37" s="4" t="s">
        <v>1275</v>
      </c>
      <c r="AJ37" s="4" t="s">
        <v>503</v>
      </c>
      <c r="AK37" s="4" t="s">
        <v>1276</v>
      </c>
      <c r="AL37" s="7" t="n">
        <v>14.568</v>
      </c>
      <c r="AM37" s="4" t="n">
        <v>2026</v>
      </c>
      <c r="AN37" s="4" t="s">
        <v>505</v>
      </c>
      <c r="AO37" s="4" t="s">
        <v>506</v>
      </c>
      <c r="AP37" s="4" t="s">
        <v>507</v>
      </c>
      <c r="AQ37" s="7" t="n">
        <v>7.146</v>
      </c>
      <c r="AR37" s="4" t="n">
        <v>2026</v>
      </c>
      <c r="AS37" s="4" t="s">
        <v>508</v>
      </c>
      <c r="AT37" s="4" t="s">
        <v>509</v>
      </c>
      <c r="AU37" s="4" t="s">
        <v>507</v>
      </c>
      <c r="AV37" s="4" t="s">
        <v>510</v>
      </c>
      <c r="AW37" s="4" t="s">
        <v>1032</v>
      </c>
      <c r="AX37" s="19" t="n">
        <v>339</v>
      </c>
      <c r="AY37" s="19" t="s">
        <v>605</v>
      </c>
      <c r="AZ37" s="19" t="s">
        <v>1277</v>
      </c>
      <c r="BA37" s="19" t="s">
        <v>1276</v>
      </c>
      <c r="BB37" s="19"/>
      <c r="BC37" s="4" t="s">
        <v>1278</v>
      </c>
      <c r="BD37" s="4" t="s">
        <v>1279</v>
      </c>
      <c r="BE37" s="4" t="s">
        <v>514</v>
      </c>
      <c r="BF37" s="4" t="s">
        <v>515</v>
      </c>
      <c r="BG37" s="4" t="s">
        <v>1280</v>
      </c>
      <c r="BH37" s="4" t="s">
        <v>1281</v>
      </c>
      <c r="BI37" s="7" t="n">
        <v>7.146</v>
      </c>
      <c r="BJ37" s="7" t="n">
        <v>14.568</v>
      </c>
      <c r="BK37" s="7" t="n">
        <v>7.075</v>
      </c>
      <c r="BL37" s="7"/>
      <c r="BM37" s="4"/>
      <c r="BN37" s="4" t="s">
        <v>518</v>
      </c>
      <c r="BO37" s="7" t="n">
        <v>14.784</v>
      </c>
      <c r="BP37" s="7" t="n">
        <v>11.659</v>
      </c>
      <c r="BQ37" s="7" t="n">
        <v>11.659</v>
      </c>
      <c r="BR37" s="7" t="s">
        <v>519</v>
      </c>
      <c r="BS37" s="7" t="s">
        <v>520</v>
      </c>
      <c r="BT37" s="7" t="s">
        <v>521</v>
      </c>
      <c r="BU37" s="7" t="s">
        <v>1282</v>
      </c>
      <c r="BV37" s="20" t="s">
        <v>23</v>
      </c>
      <c r="BW37" s="20" t="s">
        <v>29</v>
      </c>
      <c r="BX37" s="20" t="s">
        <v>34</v>
      </c>
      <c r="BY37" s="7"/>
      <c r="BZ37" s="20" t="s">
        <v>484</v>
      </c>
      <c r="CA37" s="20" t="s">
        <v>524</v>
      </c>
      <c r="CB37" s="20" t="s">
        <v>1283</v>
      </c>
      <c r="CC37" s="20" t="s">
        <v>1284</v>
      </c>
      <c r="CD37" s="7"/>
      <c r="CE37" s="20" t="s">
        <v>1285</v>
      </c>
      <c r="CF37" s="7"/>
      <c r="CG37" s="7"/>
      <c r="CH37" s="22" t="n">
        <f aca="false">IF(AND(ISNUMBER(BP37),ISNUMBER(AG37),AG37&gt;0),BP37*1000000/AG37,"")</f>
        <v>59182.7411167513</v>
      </c>
      <c r="CI37" s="7"/>
      <c r="CJ37" s="7"/>
      <c r="CK37" s="7"/>
      <c r="CL37" s="7"/>
      <c r="CM37" s="7"/>
      <c r="CN37" s="7"/>
      <c r="CO37" s="7"/>
      <c r="CP37" s="7"/>
      <c r="CQ37" s="7"/>
      <c r="CR37" s="7"/>
      <c r="CS37" s="7"/>
    </row>
    <row r="38" customFormat="false" ht="538.8" hidden="false" customHeight="false" outlineLevel="0" collapsed="false">
      <c r="A38" s="4" t="n">
        <v>37</v>
      </c>
      <c r="B38" s="4" t="s">
        <v>451</v>
      </c>
      <c r="C38" s="4" t="s">
        <v>452</v>
      </c>
      <c r="D38" s="4" t="s">
        <v>453</v>
      </c>
      <c r="E38" s="4" t="s">
        <v>1286</v>
      </c>
      <c r="F38" s="4" t="s">
        <v>1287</v>
      </c>
      <c r="G38" s="4" t="s">
        <v>1288</v>
      </c>
      <c r="H38" s="4" t="s">
        <v>1289</v>
      </c>
      <c r="I38" s="4" t="s">
        <v>1290</v>
      </c>
      <c r="J38" s="4" t="s">
        <v>1291</v>
      </c>
      <c r="K38" s="17" t="n">
        <v>52.232</v>
      </c>
      <c r="L38" s="4" t="n">
        <v>2026</v>
      </c>
      <c r="M38" s="4" t="s">
        <v>4</v>
      </c>
      <c r="N38" s="4" t="s">
        <v>493</v>
      </c>
      <c r="O38" s="4" t="s">
        <v>494</v>
      </c>
      <c r="P38" s="7" t="n">
        <v>48.162</v>
      </c>
      <c r="Q38" s="7" t="n">
        <v>4.07</v>
      </c>
      <c r="R38" s="4" t="s">
        <v>1292</v>
      </c>
      <c r="S38" s="4" t="s">
        <v>462</v>
      </c>
      <c r="T38" s="4" t="s">
        <v>496</v>
      </c>
      <c r="U38" s="23" t="s">
        <v>497</v>
      </c>
      <c r="V38" s="4" t="s">
        <v>1293</v>
      </c>
      <c r="W38" s="4" t="s">
        <v>1294</v>
      </c>
      <c r="X38" s="4" t="s">
        <v>1295</v>
      </c>
      <c r="Y38" s="4" t="s">
        <v>1296</v>
      </c>
      <c r="Z38" s="23" t="s">
        <v>1297</v>
      </c>
      <c r="AA38" s="7"/>
      <c r="AB38" s="4"/>
      <c r="AC38" s="4"/>
      <c r="AD38" s="4"/>
      <c r="AE38" s="18" t="s">
        <v>470</v>
      </c>
      <c r="AF38" s="4" t="s">
        <v>471</v>
      </c>
      <c r="AG38" s="23" t="n">
        <v>210</v>
      </c>
      <c r="AH38" s="23" t="s">
        <v>501</v>
      </c>
      <c r="AI38" s="23" t="s">
        <v>1298</v>
      </c>
      <c r="AJ38" s="23" t="s">
        <v>503</v>
      </c>
      <c r="AK38" s="23" t="s">
        <v>504</v>
      </c>
      <c r="AL38" s="7" t="n">
        <v>10.459</v>
      </c>
      <c r="AM38" s="4" t="n">
        <v>2026</v>
      </c>
      <c r="AN38" s="4" t="s">
        <v>505</v>
      </c>
      <c r="AO38" s="4" t="s">
        <v>506</v>
      </c>
      <c r="AP38" s="4" t="s">
        <v>507</v>
      </c>
      <c r="AQ38" s="7" t="n">
        <v>5.967</v>
      </c>
      <c r="AR38" s="4" t="n">
        <v>2026</v>
      </c>
      <c r="AS38" s="4" t="s">
        <v>508</v>
      </c>
      <c r="AT38" s="4" t="s">
        <v>509</v>
      </c>
      <c r="AU38" s="4" t="s">
        <v>507</v>
      </c>
      <c r="AV38" s="4" t="s">
        <v>510</v>
      </c>
      <c r="AW38" s="23" t="s">
        <v>511</v>
      </c>
      <c r="AX38" s="19"/>
      <c r="AY38" s="19"/>
      <c r="AZ38" s="19"/>
      <c r="BA38" s="19"/>
      <c r="BB38" s="19"/>
      <c r="BC38" s="4" t="s">
        <v>1299</v>
      </c>
      <c r="BD38" s="4" t="s">
        <v>1300</v>
      </c>
      <c r="BE38" s="4" t="s">
        <v>1301</v>
      </c>
      <c r="BF38" s="4" t="s">
        <v>1302</v>
      </c>
      <c r="BG38" s="4" t="s">
        <v>1303</v>
      </c>
      <c r="BH38" s="4" t="s">
        <v>1304</v>
      </c>
      <c r="BI38" s="7" t="n">
        <v>5.967</v>
      </c>
      <c r="BJ38" s="7" t="n">
        <v>8.375</v>
      </c>
      <c r="BK38" s="7" t="n">
        <v>5.221</v>
      </c>
      <c r="BL38" s="7"/>
      <c r="BM38" s="4"/>
      <c r="BN38" s="4" t="s">
        <v>518</v>
      </c>
      <c r="BO38" s="7" t="n">
        <v>8.784</v>
      </c>
      <c r="BP38" s="7" t="n">
        <v>8.562</v>
      </c>
      <c r="BQ38" s="7" t="n">
        <v>8.562</v>
      </c>
      <c r="BR38" s="7" t="s">
        <v>519</v>
      </c>
      <c r="BS38" s="7" t="s">
        <v>520</v>
      </c>
      <c r="BT38" s="7" t="s">
        <v>521</v>
      </c>
      <c r="BU38" s="7" t="s">
        <v>1305</v>
      </c>
      <c r="BV38" s="20" t="s">
        <v>23</v>
      </c>
      <c r="BW38" s="20" t="s">
        <v>28</v>
      </c>
      <c r="BX38" s="20" t="s">
        <v>35</v>
      </c>
      <c r="BY38" s="7"/>
      <c r="BZ38" s="20" t="s">
        <v>484</v>
      </c>
      <c r="CA38" s="20" t="s">
        <v>524</v>
      </c>
      <c r="CB38" s="20" t="s">
        <v>1306</v>
      </c>
      <c r="CC38" s="20" t="s">
        <v>1307</v>
      </c>
      <c r="CD38" s="7"/>
      <c r="CE38" s="20" t="s">
        <v>1308</v>
      </c>
      <c r="CF38" s="7"/>
      <c r="CG38" s="7"/>
      <c r="CH38" s="22" t="n">
        <f aca="false">IF(AND(ISNUMBER(BP38),ISNUMBER(AG38),AG38&gt;0),BP38*1000000/AG38,"")</f>
        <v>40771.4285714286</v>
      </c>
      <c r="CI38" s="7"/>
      <c r="CJ38" s="7"/>
      <c r="CK38" s="7"/>
      <c r="CL38" s="7"/>
      <c r="CM38" s="7"/>
      <c r="CN38" s="7"/>
      <c r="CO38" s="7"/>
      <c r="CP38" s="7"/>
      <c r="CQ38" s="7"/>
      <c r="CR38" s="7"/>
      <c r="CS38" s="7"/>
    </row>
    <row r="39" customFormat="false" ht="538.8" hidden="false" customHeight="false" outlineLevel="0" collapsed="false">
      <c r="A39" s="4" t="n">
        <v>38</v>
      </c>
      <c r="B39" s="4" t="s">
        <v>451</v>
      </c>
      <c r="C39" s="4" t="s">
        <v>452</v>
      </c>
      <c r="D39" s="4" t="s">
        <v>453</v>
      </c>
      <c r="E39" s="4" t="s">
        <v>1309</v>
      </c>
      <c r="F39" s="4" t="s">
        <v>1287</v>
      </c>
      <c r="G39" s="4" t="s">
        <v>1288</v>
      </c>
      <c r="H39" s="4" t="s">
        <v>1289</v>
      </c>
      <c r="I39" s="4" t="s">
        <v>1290</v>
      </c>
      <c r="J39" s="4" t="s">
        <v>1291</v>
      </c>
      <c r="K39" s="17" t="n">
        <v>27.491</v>
      </c>
      <c r="L39" s="4" t="n">
        <v>2026</v>
      </c>
      <c r="M39" s="4" t="s">
        <v>4</v>
      </c>
      <c r="N39" s="4" t="s">
        <v>493</v>
      </c>
      <c r="O39" s="4" t="s">
        <v>494</v>
      </c>
      <c r="P39" s="7" t="n">
        <v>25.386</v>
      </c>
      <c r="Q39" s="7" t="n">
        <v>2.105</v>
      </c>
      <c r="R39" s="4" t="s">
        <v>1310</v>
      </c>
      <c r="S39" s="4" t="s">
        <v>462</v>
      </c>
      <c r="T39" s="4" t="s">
        <v>496</v>
      </c>
      <c r="U39" s="23" t="s">
        <v>497</v>
      </c>
      <c r="V39" s="4" t="s">
        <v>1293</v>
      </c>
      <c r="W39" s="4" t="s">
        <v>1311</v>
      </c>
      <c r="X39" s="4" t="s">
        <v>1295</v>
      </c>
      <c r="Y39" s="4" t="s">
        <v>1296</v>
      </c>
      <c r="Z39" s="23" t="s">
        <v>1297</v>
      </c>
      <c r="AA39" s="7"/>
      <c r="AB39" s="4"/>
      <c r="AC39" s="4"/>
      <c r="AD39" s="4"/>
      <c r="AE39" s="18" t="s">
        <v>470</v>
      </c>
      <c r="AF39" s="4" t="s">
        <v>471</v>
      </c>
      <c r="AG39" s="23" t="n">
        <v>260</v>
      </c>
      <c r="AH39" s="23" t="s">
        <v>501</v>
      </c>
      <c r="AI39" s="23" t="s">
        <v>1312</v>
      </c>
      <c r="AJ39" s="23" t="s">
        <v>503</v>
      </c>
      <c r="AK39" s="23" t="s">
        <v>504</v>
      </c>
      <c r="AL39" s="7" t="n">
        <v>11.902</v>
      </c>
      <c r="AM39" s="4" t="n">
        <v>2026</v>
      </c>
      <c r="AN39" s="4" t="s">
        <v>505</v>
      </c>
      <c r="AO39" s="4" t="s">
        <v>506</v>
      </c>
      <c r="AP39" s="4" t="s">
        <v>507</v>
      </c>
      <c r="AQ39" s="7" t="n">
        <v>7.322</v>
      </c>
      <c r="AR39" s="4" t="n">
        <v>2026</v>
      </c>
      <c r="AS39" s="4" t="s">
        <v>508</v>
      </c>
      <c r="AT39" s="4" t="s">
        <v>509</v>
      </c>
      <c r="AU39" s="4" t="s">
        <v>507</v>
      </c>
      <c r="AV39" s="4" t="s">
        <v>510</v>
      </c>
      <c r="AW39" s="23" t="s">
        <v>511</v>
      </c>
      <c r="AX39" s="19"/>
      <c r="AY39" s="19"/>
      <c r="AZ39" s="19"/>
      <c r="BA39" s="19"/>
      <c r="BB39" s="19"/>
      <c r="BC39" s="4" t="s">
        <v>1299</v>
      </c>
      <c r="BD39" s="4" t="s">
        <v>1300</v>
      </c>
      <c r="BE39" s="4" t="s">
        <v>1301</v>
      </c>
      <c r="BF39" s="4" t="s">
        <v>1302</v>
      </c>
      <c r="BG39" s="4" t="s">
        <v>1303</v>
      </c>
      <c r="BH39" s="4" t="s">
        <v>1304</v>
      </c>
      <c r="BI39" s="7" t="n">
        <v>7.322</v>
      </c>
      <c r="BJ39" s="7" t="n">
        <v>10.987</v>
      </c>
      <c r="BK39" s="7" t="n">
        <v>6.867</v>
      </c>
      <c r="BL39" s="7"/>
      <c r="BM39" s="4"/>
      <c r="BN39" s="4" t="s">
        <v>518</v>
      </c>
      <c r="BO39" s="7" t="n">
        <v>11.069</v>
      </c>
      <c r="BP39" s="7" t="n">
        <v>11.013</v>
      </c>
      <c r="BQ39" s="7" t="n">
        <v>11.013</v>
      </c>
      <c r="BR39" s="7" t="s">
        <v>519</v>
      </c>
      <c r="BS39" s="7" t="s">
        <v>520</v>
      </c>
      <c r="BT39" s="7" t="s">
        <v>521</v>
      </c>
      <c r="BU39" s="7" t="s">
        <v>1313</v>
      </c>
      <c r="BV39" s="20" t="s">
        <v>23</v>
      </c>
      <c r="BW39" s="20" t="s">
        <v>28</v>
      </c>
      <c r="BX39" s="20" t="s">
        <v>35</v>
      </c>
      <c r="BY39" s="7"/>
      <c r="BZ39" s="20" t="s">
        <v>484</v>
      </c>
      <c r="CA39" s="20" t="s">
        <v>524</v>
      </c>
      <c r="CB39" s="20" t="s">
        <v>1306</v>
      </c>
      <c r="CC39" s="20" t="s">
        <v>1307</v>
      </c>
      <c r="CD39" s="7"/>
      <c r="CE39" s="20" t="s">
        <v>1308</v>
      </c>
      <c r="CF39" s="7"/>
      <c r="CG39" s="7"/>
      <c r="CH39" s="22" t="n">
        <f aca="false">IF(AND(ISNUMBER(BP39),ISNUMBER(AG39),AG39&gt;0),BP39*1000000/AG39,"")</f>
        <v>42357.6923076923</v>
      </c>
      <c r="CI39" s="7"/>
      <c r="CJ39" s="7"/>
      <c r="CK39" s="7"/>
      <c r="CL39" s="7"/>
      <c r="CM39" s="7"/>
      <c r="CN39" s="7"/>
      <c r="CO39" s="7"/>
      <c r="CP39" s="7"/>
      <c r="CQ39" s="7"/>
      <c r="CR39" s="7"/>
      <c r="CS39" s="7"/>
    </row>
    <row r="40" customFormat="false" ht="592.5" hidden="false" customHeight="false" outlineLevel="0" collapsed="false">
      <c r="A40" s="4" t="n">
        <v>39</v>
      </c>
      <c r="B40" s="4" t="s">
        <v>451</v>
      </c>
      <c r="C40" s="4" t="s">
        <v>452</v>
      </c>
      <c r="D40" s="4" t="s">
        <v>453</v>
      </c>
      <c r="E40" s="4" t="s">
        <v>1314</v>
      </c>
      <c r="F40" s="4" t="s">
        <v>1315</v>
      </c>
      <c r="G40" s="4" t="s">
        <v>1316</v>
      </c>
      <c r="H40" s="4" t="s">
        <v>1317</v>
      </c>
      <c r="I40" s="4" t="s">
        <v>1318</v>
      </c>
      <c r="J40" s="4" t="s">
        <v>1319</v>
      </c>
      <c r="K40" s="17" t="n">
        <v>89.328</v>
      </c>
      <c r="L40" s="4" t="n">
        <v>2026</v>
      </c>
      <c r="M40" s="4" t="s">
        <v>4</v>
      </c>
      <c r="N40" s="4" t="s">
        <v>493</v>
      </c>
      <c r="O40" s="4" t="s">
        <v>494</v>
      </c>
      <c r="P40" s="7" t="n">
        <v>53.994</v>
      </c>
      <c r="Q40" s="7" t="n">
        <v>35.334</v>
      </c>
      <c r="R40" s="4" t="s">
        <v>1320</v>
      </c>
      <c r="S40" s="4" t="s">
        <v>462</v>
      </c>
      <c r="T40" s="4" t="s">
        <v>1321</v>
      </c>
      <c r="U40" s="4" t="s">
        <v>1322</v>
      </c>
      <c r="V40" s="4" t="s">
        <v>498</v>
      </c>
      <c r="W40" s="4"/>
      <c r="X40" s="4" t="s">
        <v>499</v>
      </c>
      <c r="Y40" s="4"/>
      <c r="Z40" s="23" t="s">
        <v>1323</v>
      </c>
      <c r="AA40" s="7"/>
      <c r="AB40" s="4"/>
      <c r="AC40" s="4"/>
      <c r="AD40" s="4"/>
      <c r="AE40" s="18" t="s">
        <v>470</v>
      </c>
      <c r="AF40" s="4" t="s">
        <v>471</v>
      </c>
      <c r="AG40" s="23" t="n">
        <v>120</v>
      </c>
      <c r="AH40" s="23" t="s">
        <v>501</v>
      </c>
      <c r="AI40" s="23" t="s">
        <v>1324</v>
      </c>
      <c r="AJ40" s="23" t="s">
        <v>503</v>
      </c>
      <c r="AK40" s="23" t="s">
        <v>504</v>
      </c>
      <c r="AL40" s="7" t="n">
        <v>9.831</v>
      </c>
      <c r="AM40" s="4" t="n">
        <v>2026</v>
      </c>
      <c r="AN40" s="4" t="s">
        <v>505</v>
      </c>
      <c r="AO40" s="4" t="s">
        <v>506</v>
      </c>
      <c r="AP40" s="4" t="s">
        <v>507</v>
      </c>
      <c r="AQ40" s="7" t="n">
        <v>4.498</v>
      </c>
      <c r="AR40" s="4" t="n">
        <v>2026</v>
      </c>
      <c r="AS40" s="4" t="s">
        <v>508</v>
      </c>
      <c r="AT40" s="4" t="s">
        <v>509</v>
      </c>
      <c r="AU40" s="4" t="s">
        <v>507</v>
      </c>
      <c r="AV40" s="4" t="s">
        <v>510</v>
      </c>
      <c r="AW40" s="23" t="s">
        <v>511</v>
      </c>
      <c r="AX40" s="19"/>
      <c r="AY40" s="19"/>
      <c r="AZ40" s="19"/>
      <c r="BA40" s="19"/>
      <c r="BB40" s="19"/>
      <c r="BC40" s="4" t="s">
        <v>1325</v>
      </c>
      <c r="BD40" s="4" t="s">
        <v>1326</v>
      </c>
      <c r="BE40" s="4" t="s">
        <v>479</v>
      </c>
      <c r="BF40" s="4" t="s">
        <v>480</v>
      </c>
      <c r="BG40" s="4" t="s">
        <v>1327</v>
      </c>
      <c r="BH40" s="4" t="s">
        <v>1328</v>
      </c>
      <c r="BI40" s="7" t="n">
        <v>4.498</v>
      </c>
      <c r="BJ40" s="7" t="n">
        <v>8.884</v>
      </c>
      <c r="BK40" s="7" t="n">
        <v>3.73</v>
      </c>
      <c r="BL40" s="7"/>
      <c r="BM40" s="4"/>
      <c r="BN40" s="4" t="s">
        <v>518</v>
      </c>
      <c r="BO40" s="7" t="n">
        <v>8.884</v>
      </c>
      <c r="BP40" s="7" t="n">
        <v>6.655</v>
      </c>
      <c r="BQ40" s="7" t="n">
        <v>6.655</v>
      </c>
      <c r="BR40" s="7" t="s">
        <v>519</v>
      </c>
      <c r="BS40" s="7" t="s">
        <v>520</v>
      </c>
      <c r="BT40" s="7" t="s">
        <v>521</v>
      </c>
      <c r="BU40" s="7" t="s">
        <v>522</v>
      </c>
      <c r="BV40" s="20" t="s">
        <v>23</v>
      </c>
      <c r="BW40" s="20" t="s">
        <v>28</v>
      </c>
      <c r="BX40" s="20" t="s">
        <v>36</v>
      </c>
      <c r="BY40" s="7"/>
      <c r="BZ40" s="20" t="s">
        <v>1329</v>
      </c>
      <c r="CA40" s="20" t="s">
        <v>524</v>
      </c>
      <c r="CB40" s="20" t="s">
        <v>1330</v>
      </c>
      <c r="CC40" s="20" t="s">
        <v>1331</v>
      </c>
      <c r="CD40" s="7"/>
      <c r="CE40" s="20" t="s">
        <v>1332</v>
      </c>
      <c r="CF40" s="7"/>
      <c r="CG40" s="7"/>
      <c r="CH40" s="22" t="n">
        <f aca="false">IF(AND(ISNUMBER(BP40),ISNUMBER(AG40),AG40&gt;0),BP40*1000000/AG40,"")</f>
        <v>55458.3333333333</v>
      </c>
      <c r="CI40" s="7"/>
      <c r="CJ40" s="7"/>
      <c r="CK40" s="7"/>
      <c r="CL40" s="7"/>
      <c r="CM40" s="7"/>
      <c r="CN40" s="7"/>
      <c r="CO40" s="7"/>
      <c r="CP40" s="7"/>
      <c r="CQ40" s="7"/>
      <c r="CR40" s="7"/>
      <c r="CS40" s="7"/>
    </row>
    <row r="41" customFormat="false" ht="632.8" hidden="false" customHeight="false" outlineLevel="0" collapsed="false">
      <c r="A41" s="4" t="n">
        <v>40</v>
      </c>
      <c r="B41" s="4" t="s">
        <v>451</v>
      </c>
      <c r="C41" s="4" t="s">
        <v>452</v>
      </c>
      <c r="D41" s="4" t="s">
        <v>1333</v>
      </c>
      <c r="E41" s="4" t="s">
        <v>1334</v>
      </c>
      <c r="F41" s="4" t="s">
        <v>1335</v>
      </c>
      <c r="G41" s="4" t="s">
        <v>1336</v>
      </c>
      <c r="H41" s="4" t="s">
        <v>1337</v>
      </c>
      <c r="I41" s="4" t="s">
        <v>1338</v>
      </c>
      <c r="J41" s="4" t="s">
        <v>1339</v>
      </c>
      <c r="K41" s="17" t="n">
        <v>962.514</v>
      </c>
      <c r="L41" s="4" t="n">
        <v>2026</v>
      </c>
      <c r="M41" s="4" t="s">
        <v>4</v>
      </c>
      <c r="N41" s="4" t="s">
        <v>493</v>
      </c>
      <c r="O41" s="4" t="s">
        <v>494</v>
      </c>
      <c r="P41" s="7" t="n">
        <v>315.001</v>
      </c>
      <c r="Q41" s="7" t="n">
        <v>647.513</v>
      </c>
      <c r="R41" s="4" t="s">
        <v>1340</v>
      </c>
      <c r="S41" s="4" t="s">
        <v>1341</v>
      </c>
      <c r="T41" s="4" t="s">
        <v>1342</v>
      </c>
      <c r="U41" s="4" t="s">
        <v>1343</v>
      </c>
      <c r="V41" s="4" t="s">
        <v>1113</v>
      </c>
      <c r="W41" s="4" t="s">
        <v>1344</v>
      </c>
      <c r="X41" s="4" t="s">
        <v>1345</v>
      </c>
      <c r="Y41" s="4" t="s">
        <v>1346</v>
      </c>
      <c r="Z41" s="23" t="s">
        <v>1347</v>
      </c>
      <c r="AA41" s="7"/>
      <c r="AB41" s="4"/>
      <c r="AC41" s="4"/>
      <c r="AD41" s="4"/>
      <c r="AE41" s="18" t="s">
        <v>470</v>
      </c>
      <c r="AF41" s="4" t="s">
        <v>471</v>
      </c>
      <c r="AG41" s="23" t="n">
        <v>65</v>
      </c>
      <c r="AH41" s="23" t="s">
        <v>501</v>
      </c>
      <c r="AI41" s="23" t="s">
        <v>1348</v>
      </c>
      <c r="AJ41" s="23" t="s">
        <v>503</v>
      </c>
      <c r="AK41" s="23" t="s">
        <v>504</v>
      </c>
      <c r="AL41" s="7" t="n">
        <v>7.7</v>
      </c>
      <c r="AM41" s="4" t="n">
        <v>2026</v>
      </c>
      <c r="AN41" s="4" t="s">
        <v>505</v>
      </c>
      <c r="AO41" s="4" t="s">
        <v>506</v>
      </c>
      <c r="AP41" s="4" t="s">
        <v>507</v>
      </c>
      <c r="AQ41" s="7" t="n">
        <v>3.081</v>
      </c>
      <c r="AR41" s="4" t="n">
        <v>2026</v>
      </c>
      <c r="AS41" s="4" t="s">
        <v>508</v>
      </c>
      <c r="AT41" s="4" t="s">
        <v>509</v>
      </c>
      <c r="AU41" s="4" t="s">
        <v>507</v>
      </c>
      <c r="AV41" s="4" t="s">
        <v>510</v>
      </c>
      <c r="AW41" s="23" t="s">
        <v>511</v>
      </c>
      <c r="AX41" s="19"/>
      <c r="AY41" s="19"/>
      <c r="AZ41" s="19"/>
      <c r="BA41" s="19"/>
      <c r="BB41" s="19"/>
      <c r="BC41" s="4" t="s">
        <v>1349</v>
      </c>
      <c r="BD41" s="4" t="s">
        <v>1350</v>
      </c>
      <c r="BE41" s="4" t="s">
        <v>479</v>
      </c>
      <c r="BF41" s="4" t="s">
        <v>480</v>
      </c>
      <c r="BG41" s="4" t="s">
        <v>1351</v>
      </c>
      <c r="BH41" s="4" t="s">
        <v>1352</v>
      </c>
      <c r="BI41" s="7" t="n">
        <v>3.03</v>
      </c>
      <c r="BJ41" s="7" t="n">
        <v>7.4</v>
      </c>
      <c r="BK41" s="7" t="n">
        <v>2.199</v>
      </c>
      <c r="BL41" s="7"/>
      <c r="BM41" s="4"/>
      <c r="BN41" s="4" t="s">
        <v>518</v>
      </c>
      <c r="BO41" s="7" t="n">
        <v>7.4</v>
      </c>
      <c r="BP41" s="7" t="n">
        <v>4.465</v>
      </c>
      <c r="BQ41" s="7" t="n">
        <v>4.462</v>
      </c>
      <c r="BR41" s="7" t="s">
        <v>519</v>
      </c>
      <c r="BS41" s="7" t="s">
        <v>520</v>
      </c>
      <c r="BT41" s="7" t="s">
        <v>521</v>
      </c>
      <c r="BU41" s="7" t="s">
        <v>522</v>
      </c>
      <c r="BV41" s="20" t="s">
        <v>24</v>
      </c>
      <c r="BW41" s="20" t="s">
        <v>30</v>
      </c>
      <c r="BX41" s="20" t="s">
        <v>36</v>
      </c>
      <c r="BY41" s="7"/>
      <c r="BZ41" s="20" t="s">
        <v>484</v>
      </c>
      <c r="CA41" s="20" t="s">
        <v>524</v>
      </c>
      <c r="CB41" s="20" t="s">
        <v>1353</v>
      </c>
      <c r="CC41" s="20" t="s">
        <v>1354</v>
      </c>
      <c r="CD41" s="20" t="s">
        <v>1355</v>
      </c>
      <c r="CE41" s="20" t="s">
        <v>1356</v>
      </c>
      <c r="CF41" s="7"/>
      <c r="CG41" s="7"/>
      <c r="CH41" s="22" t="n">
        <f aca="false">IF(AND(ISNUMBER(BP41),ISNUMBER(AG41),AG41&gt;0),BP41*1000000/AG41,"")</f>
        <v>68692.3076923077</v>
      </c>
      <c r="CI41" s="7"/>
      <c r="CJ41" s="7"/>
      <c r="CK41" s="7"/>
      <c r="CL41" s="7"/>
      <c r="CM41" s="7"/>
      <c r="CN41" s="7"/>
      <c r="CO41" s="7"/>
      <c r="CP41" s="7"/>
      <c r="CQ41" s="7"/>
      <c r="CR41" s="7"/>
      <c r="CS41" s="7"/>
    </row>
    <row r="42" customFormat="false" ht="1155.95" hidden="false" customHeight="false" outlineLevel="0" collapsed="false">
      <c r="A42" s="4" t="n">
        <v>41</v>
      </c>
      <c r="B42" s="4" t="s">
        <v>451</v>
      </c>
      <c r="C42" s="4" t="s">
        <v>452</v>
      </c>
      <c r="D42" s="4" t="s">
        <v>1333</v>
      </c>
      <c r="E42" s="4" t="s">
        <v>1357</v>
      </c>
      <c r="F42" s="4" t="s">
        <v>1358</v>
      </c>
      <c r="G42" s="4" t="s">
        <v>1359</v>
      </c>
      <c r="H42" s="4" t="s">
        <v>1360</v>
      </c>
      <c r="I42" s="4" t="s">
        <v>1361</v>
      </c>
      <c r="J42" s="4" t="s">
        <v>1362</v>
      </c>
      <c r="K42" s="17" t="n">
        <v>6.994</v>
      </c>
      <c r="L42" s="4" t="n">
        <v>2026</v>
      </c>
      <c r="M42" s="4" t="s">
        <v>4</v>
      </c>
      <c r="N42" s="4" t="s">
        <v>493</v>
      </c>
      <c r="O42" s="4" t="s">
        <v>494</v>
      </c>
      <c r="P42" s="7" t="n">
        <v>4.999</v>
      </c>
      <c r="Q42" s="7" t="n">
        <v>1.995</v>
      </c>
      <c r="R42" s="4" t="s">
        <v>1363</v>
      </c>
      <c r="S42" s="4" t="s">
        <v>1341</v>
      </c>
      <c r="T42" s="4" t="s">
        <v>1342</v>
      </c>
      <c r="U42" s="4" t="s">
        <v>1364</v>
      </c>
      <c r="V42" s="4" t="s">
        <v>498</v>
      </c>
      <c r="W42" s="4"/>
      <c r="X42" s="4" t="s">
        <v>499</v>
      </c>
      <c r="Y42" s="4"/>
      <c r="Z42" s="23" t="s">
        <v>1365</v>
      </c>
      <c r="AA42" s="7"/>
      <c r="AB42" s="4"/>
      <c r="AC42" s="4"/>
      <c r="AD42" s="4"/>
      <c r="AE42" s="18" t="s">
        <v>470</v>
      </c>
      <c r="AF42" s="4" t="s">
        <v>471</v>
      </c>
      <c r="AG42" s="23" t="n">
        <v>35</v>
      </c>
      <c r="AH42" s="23" t="s">
        <v>501</v>
      </c>
      <c r="AI42" s="23" t="s">
        <v>1366</v>
      </c>
      <c r="AJ42" s="23" t="s">
        <v>503</v>
      </c>
      <c r="AK42" s="23" t="s">
        <v>504</v>
      </c>
      <c r="AL42" s="7" t="n">
        <v>3.144</v>
      </c>
      <c r="AM42" s="4" t="n">
        <v>2026</v>
      </c>
      <c r="AN42" s="4" t="s">
        <v>505</v>
      </c>
      <c r="AO42" s="4" t="s">
        <v>506</v>
      </c>
      <c r="AP42" s="4" t="s">
        <v>507</v>
      </c>
      <c r="AQ42" s="7" t="n">
        <v>1.582</v>
      </c>
      <c r="AR42" s="4" t="n">
        <v>2026</v>
      </c>
      <c r="AS42" s="4" t="s">
        <v>508</v>
      </c>
      <c r="AT42" s="4" t="s">
        <v>509</v>
      </c>
      <c r="AU42" s="4" t="s">
        <v>507</v>
      </c>
      <c r="AV42" s="4" t="s">
        <v>510</v>
      </c>
      <c r="AW42" s="23" t="s">
        <v>511</v>
      </c>
      <c r="AX42" s="19"/>
      <c r="AY42" s="19"/>
      <c r="AZ42" s="19"/>
      <c r="BA42" s="19"/>
      <c r="BB42" s="24" t="s">
        <v>1367</v>
      </c>
      <c r="BC42" s="4" t="s">
        <v>1368</v>
      </c>
      <c r="BD42" s="4" t="s">
        <v>1369</v>
      </c>
      <c r="BE42" s="4" t="s">
        <v>540</v>
      </c>
      <c r="BF42" s="4" t="s">
        <v>1370</v>
      </c>
      <c r="BG42" s="4" t="s">
        <v>1371</v>
      </c>
      <c r="BH42" s="4" t="s">
        <v>1372</v>
      </c>
      <c r="BI42" s="7" t="n">
        <v>1.582</v>
      </c>
      <c r="BJ42" s="7"/>
      <c r="BK42" s="7"/>
      <c r="BL42" s="7"/>
      <c r="BM42" s="4"/>
      <c r="BN42" s="23" t="s">
        <v>1373</v>
      </c>
      <c r="BO42" s="7"/>
      <c r="BP42" s="7"/>
      <c r="BQ42" s="7"/>
      <c r="BR42" s="7"/>
      <c r="BS42" s="7"/>
      <c r="BT42" s="7"/>
      <c r="BU42" s="20" t="s">
        <v>1374</v>
      </c>
      <c r="BV42" s="20" t="s">
        <v>23</v>
      </c>
      <c r="BW42" s="20" t="s">
        <v>28</v>
      </c>
      <c r="BX42" s="20" t="s">
        <v>35</v>
      </c>
      <c r="BY42" s="7"/>
      <c r="BZ42" s="20" t="s">
        <v>1375</v>
      </c>
      <c r="CA42" s="20" t="s">
        <v>524</v>
      </c>
      <c r="CB42" s="20" t="s">
        <v>1376</v>
      </c>
      <c r="CC42" s="20" t="s">
        <v>526</v>
      </c>
      <c r="CD42" s="7"/>
      <c r="CE42" s="20" t="s">
        <v>1377</v>
      </c>
      <c r="CF42" s="7"/>
      <c r="CG42" s="7"/>
      <c r="CH42" s="22" t="str">
        <f aca="false">IF(AND(ISNUMBER(BP42),ISNUMBER(AG42),AG42&gt;0),BP42*1000000/AG42,"")</f>
        <v/>
      </c>
      <c r="CI42" s="7"/>
      <c r="CJ42" s="7"/>
      <c r="CK42" s="7"/>
      <c r="CL42" s="7"/>
      <c r="CM42" s="7"/>
      <c r="CN42" s="21" t="n">
        <v>1</v>
      </c>
      <c r="CO42" s="7"/>
      <c r="CP42" s="7"/>
      <c r="CQ42" s="7"/>
      <c r="CR42" s="20" t="s">
        <v>1378</v>
      </c>
      <c r="CS42" s="20" t="s">
        <v>1379</v>
      </c>
    </row>
    <row r="43" customFormat="false" ht="914.15" hidden="false" customHeight="false" outlineLevel="0" collapsed="false">
      <c r="A43" s="4" t="n">
        <v>42</v>
      </c>
      <c r="B43" s="4" t="s">
        <v>451</v>
      </c>
      <c r="C43" s="4" t="s">
        <v>452</v>
      </c>
      <c r="D43" s="4" t="s">
        <v>1333</v>
      </c>
      <c r="E43" s="4" t="s">
        <v>202</v>
      </c>
      <c r="F43" s="4" t="s">
        <v>1380</v>
      </c>
      <c r="G43" s="4" t="s">
        <v>1381</v>
      </c>
      <c r="H43" s="4" t="s">
        <v>1382</v>
      </c>
      <c r="I43" s="4" t="s">
        <v>1383</v>
      </c>
      <c r="J43" s="4" t="s">
        <v>1384</v>
      </c>
      <c r="K43" s="17" t="n">
        <v>205.525</v>
      </c>
      <c r="L43" s="4" t="n">
        <v>2026</v>
      </c>
      <c r="M43" s="4" t="s">
        <v>4</v>
      </c>
      <c r="N43" s="4" t="s">
        <v>493</v>
      </c>
      <c r="O43" s="4" t="s">
        <v>494</v>
      </c>
      <c r="P43" s="7" t="n">
        <v>49.972</v>
      </c>
      <c r="Q43" s="7" t="n">
        <v>155.553</v>
      </c>
      <c r="R43" s="4" t="s">
        <v>1385</v>
      </c>
      <c r="S43" s="4" t="s">
        <v>1341</v>
      </c>
      <c r="T43" s="4" t="s">
        <v>1342</v>
      </c>
      <c r="U43" s="4" t="s">
        <v>1386</v>
      </c>
      <c r="V43" s="4" t="s">
        <v>498</v>
      </c>
      <c r="W43" s="4"/>
      <c r="X43" s="4" t="s">
        <v>499</v>
      </c>
      <c r="Y43" s="4"/>
      <c r="Z43" s="23" t="s">
        <v>1387</v>
      </c>
      <c r="AA43" s="7"/>
      <c r="AB43" s="4"/>
      <c r="AC43" s="4"/>
      <c r="AD43" s="4"/>
      <c r="AE43" s="18" t="s">
        <v>470</v>
      </c>
      <c r="AF43" s="4" t="s">
        <v>471</v>
      </c>
      <c r="AG43" s="23" t="n">
        <v>438</v>
      </c>
      <c r="AH43" s="23" t="s">
        <v>501</v>
      </c>
      <c r="AI43" s="23" t="s">
        <v>1388</v>
      </c>
      <c r="AJ43" s="23" t="s">
        <v>503</v>
      </c>
      <c r="AK43" s="23" t="s">
        <v>504</v>
      </c>
      <c r="AL43" s="7" t="n">
        <v>24.485</v>
      </c>
      <c r="AM43" s="4" t="n">
        <v>2026</v>
      </c>
      <c r="AN43" s="4" t="s">
        <v>505</v>
      </c>
      <c r="AO43" s="4" t="s">
        <v>506</v>
      </c>
      <c r="AP43" s="4" t="s">
        <v>507</v>
      </c>
      <c r="AQ43" s="7" t="n">
        <v>13.83</v>
      </c>
      <c r="AR43" s="4" t="n">
        <v>2026</v>
      </c>
      <c r="AS43" s="4" t="s">
        <v>508</v>
      </c>
      <c r="AT43" s="4" t="s">
        <v>509</v>
      </c>
      <c r="AU43" s="4" t="s">
        <v>507</v>
      </c>
      <c r="AV43" s="4" t="s">
        <v>510</v>
      </c>
      <c r="AW43" s="23" t="s">
        <v>511</v>
      </c>
      <c r="AX43" s="19"/>
      <c r="AY43" s="19"/>
      <c r="AZ43" s="19"/>
      <c r="BA43" s="19"/>
      <c r="BB43" s="19"/>
      <c r="BC43" s="4" t="s">
        <v>1389</v>
      </c>
      <c r="BD43" s="4" t="s">
        <v>1390</v>
      </c>
      <c r="BE43" s="4" t="s">
        <v>540</v>
      </c>
      <c r="BF43" s="4" t="s">
        <v>1391</v>
      </c>
      <c r="BG43" s="4" t="s">
        <v>1392</v>
      </c>
      <c r="BH43" s="4" t="s">
        <v>1393</v>
      </c>
      <c r="BI43" s="7" t="n">
        <v>13.83</v>
      </c>
      <c r="BJ43" s="7"/>
      <c r="BK43" s="7"/>
      <c r="BL43" s="7"/>
      <c r="BM43" s="4"/>
      <c r="BN43" s="23" t="s">
        <v>1394</v>
      </c>
      <c r="BO43" s="7"/>
      <c r="BP43" s="7"/>
      <c r="BQ43" s="7"/>
      <c r="BR43" s="7"/>
      <c r="BS43" s="7"/>
      <c r="BT43" s="7"/>
      <c r="BU43" s="20" t="s">
        <v>1395</v>
      </c>
      <c r="BV43" s="20" t="s">
        <v>23</v>
      </c>
      <c r="BW43" s="20" t="s">
        <v>28</v>
      </c>
      <c r="BX43" s="20" t="s">
        <v>34</v>
      </c>
      <c r="BY43" s="20" t="s">
        <v>1040</v>
      </c>
      <c r="BZ43" s="20" t="s">
        <v>484</v>
      </c>
      <c r="CA43" s="20" t="s">
        <v>524</v>
      </c>
      <c r="CB43" s="20" t="s">
        <v>1396</v>
      </c>
      <c r="CC43" s="20" t="s">
        <v>1397</v>
      </c>
      <c r="CD43" s="7"/>
      <c r="CE43" s="20" t="s">
        <v>201</v>
      </c>
      <c r="CF43" s="21" t="n">
        <v>10</v>
      </c>
      <c r="CG43" s="7"/>
      <c r="CH43" s="22" t="str">
        <f aca="false">IF(AND(ISNUMBER(BP43),ISNUMBER(AG43),AG43&gt;0),BP43*1000000/AG43,"")</f>
        <v/>
      </c>
      <c r="CI43" s="7"/>
      <c r="CJ43" s="7"/>
      <c r="CK43" s="7"/>
      <c r="CL43" s="7"/>
      <c r="CM43" s="7"/>
      <c r="CN43" s="7"/>
      <c r="CO43" s="7"/>
      <c r="CP43" s="7"/>
      <c r="CQ43" s="7"/>
      <c r="CR43" s="7"/>
      <c r="CS43" s="7"/>
    </row>
    <row r="44" customFormat="false" ht="967.9" hidden="false" customHeight="false" outlineLevel="0" collapsed="false">
      <c r="A44" s="4" t="n">
        <v>43</v>
      </c>
      <c r="B44" s="4" t="s">
        <v>451</v>
      </c>
      <c r="C44" s="4" t="s">
        <v>452</v>
      </c>
      <c r="D44" s="4" t="s">
        <v>1333</v>
      </c>
      <c r="E44" s="4" t="s">
        <v>1398</v>
      </c>
      <c r="F44" s="4" t="s">
        <v>1399</v>
      </c>
      <c r="G44" s="4" t="s">
        <v>1400</v>
      </c>
      <c r="H44" s="4" t="s">
        <v>1401</v>
      </c>
      <c r="I44" s="4" t="s">
        <v>1402</v>
      </c>
      <c r="J44" s="4" t="s">
        <v>1403</v>
      </c>
      <c r="K44" s="17" t="n">
        <v>4.288</v>
      </c>
      <c r="L44" s="4" t="n">
        <v>2026</v>
      </c>
      <c r="M44" s="4" t="s">
        <v>4</v>
      </c>
      <c r="N44" s="4" t="s">
        <v>493</v>
      </c>
      <c r="O44" s="4" t="s">
        <v>494</v>
      </c>
      <c r="P44" s="7" t="n">
        <v>4.288</v>
      </c>
      <c r="Q44" s="7" t="n">
        <v>0</v>
      </c>
      <c r="R44" s="4" t="s">
        <v>1404</v>
      </c>
      <c r="S44" s="4" t="s">
        <v>1341</v>
      </c>
      <c r="T44" s="4" t="s">
        <v>1342</v>
      </c>
      <c r="U44" s="23" t="s">
        <v>1405</v>
      </c>
      <c r="V44" s="4" t="s">
        <v>1406</v>
      </c>
      <c r="W44" s="4" t="s">
        <v>1407</v>
      </c>
      <c r="X44" s="4" t="s">
        <v>1408</v>
      </c>
      <c r="Y44" s="4" t="s">
        <v>1409</v>
      </c>
      <c r="Z44" s="23" t="s">
        <v>1410</v>
      </c>
      <c r="AA44" s="7"/>
      <c r="AB44" s="4"/>
      <c r="AC44" s="4"/>
      <c r="AD44" s="4"/>
      <c r="AE44" s="18" t="s">
        <v>470</v>
      </c>
      <c r="AF44" s="4" t="s">
        <v>471</v>
      </c>
      <c r="AG44" s="23" t="n">
        <v>17</v>
      </c>
      <c r="AH44" s="23" t="s">
        <v>1411</v>
      </c>
      <c r="AI44" s="23" t="s">
        <v>1412</v>
      </c>
      <c r="AJ44" s="23" t="s">
        <v>503</v>
      </c>
      <c r="AK44" s="23" t="s">
        <v>1413</v>
      </c>
      <c r="AL44" s="7" t="n">
        <v>2.599</v>
      </c>
      <c r="AM44" s="4" t="n">
        <v>2026</v>
      </c>
      <c r="AN44" s="4" t="s">
        <v>505</v>
      </c>
      <c r="AO44" s="4" t="s">
        <v>506</v>
      </c>
      <c r="AP44" s="4" t="s">
        <v>507</v>
      </c>
      <c r="AQ44" s="7" t="n">
        <v>0.922</v>
      </c>
      <c r="AR44" s="4" t="n">
        <v>2026</v>
      </c>
      <c r="AS44" s="4" t="s">
        <v>508</v>
      </c>
      <c r="AT44" s="4" t="s">
        <v>509</v>
      </c>
      <c r="AU44" s="4" t="s">
        <v>507</v>
      </c>
      <c r="AV44" s="4" t="s">
        <v>510</v>
      </c>
      <c r="AW44" s="23" t="s">
        <v>1414</v>
      </c>
      <c r="AX44" s="24" t="n">
        <v>22</v>
      </c>
      <c r="AY44" s="24" t="s">
        <v>1411</v>
      </c>
      <c r="AZ44" s="24" t="s">
        <v>1415</v>
      </c>
      <c r="BA44" s="24" t="s">
        <v>1413</v>
      </c>
      <c r="BB44" s="24" t="s">
        <v>1416</v>
      </c>
      <c r="BC44" s="4" t="s">
        <v>1417</v>
      </c>
      <c r="BD44" s="4" t="s">
        <v>1418</v>
      </c>
      <c r="BE44" s="4" t="s">
        <v>540</v>
      </c>
      <c r="BF44" s="4" t="s">
        <v>541</v>
      </c>
      <c r="BG44" s="4" t="s">
        <v>1419</v>
      </c>
      <c r="BH44" s="4" t="s">
        <v>1420</v>
      </c>
      <c r="BI44" s="7" t="n">
        <v>0.922</v>
      </c>
      <c r="BJ44" s="7"/>
      <c r="BK44" s="7"/>
      <c r="BL44" s="7"/>
      <c r="BM44" s="4"/>
      <c r="BN44" s="23" t="s">
        <v>1421</v>
      </c>
      <c r="BO44" s="7"/>
      <c r="BP44" s="7"/>
      <c r="BQ44" s="7"/>
      <c r="BR44" s="7"/>
      <c r="BS44" s="7"/>
      <c r="BT44" s="7"/>
      <c r="BU44" s="20" t="s">
        <v>1422</v>
      </c>
      <c r="BV44" s="20" t="s">
        <v>23</v>
      </c>
      <c r="BW44" s="20" t="s">
        <v>28</v>
      </c>
      <c r="BX44" s="20" t="s">
        <v>37</v>
      </c>
      <c r="BY44" s="20" t="s">
        <v>1040</v>
      </c>
      <c r="BZ44" s="20" t="s">
        <v>1423</v>
      </c>
      <c r="CA44" s="20" t="s">
        <v>524</v>
      </c>
      <c r="CB44" s="20" t="s">
        <v>1424</v>
      </c>
      <c r="CC44" s="20" t="s">
        <v>1425</v>
      </c>
      <c r="CD44" s="7"/>
      <c r="CE44" s="20" t="s">
        <v>134</v>
      </c>
      <c r="CF44" s="21" t="n">
        <v>10</v>
      </c>
      <c r="CG44" s="7"/>
      <c r="CH44" s="22" t="str">
        <f aca="false">IF(AND(ISNUMBER(BP44),ISNUMBER(AG44),AG44&gt;0),BP44*1000000/AG44,"")</f>
        <v/>
      </c>
      <c r="CI44" s="21" t="n">
        <v>5</v>
      </c>
      <c r="CJ44" s="21" t="n">
        <v>8</v>
      </c>
      <c r="CK44" s="21" t="n">
        <v>4</v>
      </c>
      <c r="CL44" s="21" t="n">
        <v>17</v>
      </c>
      <c r="CM44" s="7"/>
      <c r="CN44" s="21" t="n">
        <v>1</v>
      </c>
      <c r="CO44" s="7"/>
      <c r="CP44" s="20" t="s">
        <v>1426</v>
      </c>
      <c r="CQ44" s="20" t="s">
        <v>1427</v>
      </c>
      <c r="CR44" s="20" t="s">
        <v>1413</v>
      </c>
      <c r="CS44" s="20" t="s">
        <v>1428</v>
      </c>
    </row>
    <row r="45" customFormat="false" ht="1223.1" hidden="false" customHeight="false" outlineLevel="0" collapsed="false">
      <c r="A45" s="4" t="n">
        <v>44</v>
      </c>
      <c r="B45" s="4" t="s">
        <v>451</v>
      </c>
      <c r="C45" s="4" t="s">
        <v>452</v>
      </c>
      <c r="D45" s="4" t="s">
        <v>1333</v>
      </c>
      <c r="E45" s="4" t="s">
        <v>1429</v>
      </c>
      <c r="F45" s="4" t="s">
        <v>1430</v>
      </c>
      <c r="G45" s="4" t="s">
        <v>1431</v>
      </c>
      <c r="H45" s="4" t="s">
        <v>1432</v>
      </c>
      <c r="I45" s="4" t="s">
        <v>1433</v>
      </c>
      <c r="J45" s="4" t="s">
        <v>1434</v>
      </c>
      <c r="K45" s="17"/>
      <c r="L45" s="4"/>
      <c r="M45" s="4"/>
      <c r="N45" s="4"/>
      <c r="O45" s="4" t="s">
        <v>780</v>
      </c>
      <c r="P45" s="7"/>
      <c r="Q45" s="7"/>
      <c r="R45" s="23" t="s">
        <v>1435</v>
      </c>
      <c r="S45" s="4" t="s">
        <v>1341</v>
      </c>
      <c r="T45" s="4" t="s">
        <v>1342</v>
      </c>
      <c r="U45" s="4" t="s">
        <v>1436</v>
      </c>
      <c r="V45" s="4" t="s">
        <v>498</v>
      </c>
      <c r="W45" s="4"/>
      <c r="X45" s="4" t="s">
        <v>499</v>
      </c>
      <c r="Y45" s="4"/>
      <c r="Z45" s="23" t="s">
        <v>1437</v>
      </c>
      <c r="AA45" s="7"/>
      <c r="AB45" s="4"/>
      <c r="AC45" s="4"/>
      <c r="AD45" s="4"/>
      <c r="AE45" s="18" t="s">
        <v>470</v>
      </c>
      <c r="AF45" s="4" t="s">
        <v>471</v>
      </c>
      <c r="AG45" s="4"/>
      <c r="AH45" s="4"/>
      <c r="AI45" s="4" t="s">
        <v>472</v>
      </c>
      <c r="AJ45" s="4" t="s">
        <v>473</v>
      </c>
      <c r="AK45" s="4"/>
      <c r="AL45" s="7"/>
      <c r="AM45" s="4"/>
      <c r="AN45" s="4"/>
      <c r="AO45" s="4" t="s">
        <v>474</v>
      </c>
      <c r="AP45" s="4"/>
      <c r="AQ45" s="7"/>
      <c r="AR45" s="4"/>
      <c r="AS45" s="4"/>
      <c r="AT45" s="4"/>
      <c r="AU45" s="4"/>
      <c r="AV45" s="4" t="s">
        <v>475</v>
      </c>
      <c r="AW45" s="4" t="s">
        <v>1095</v>
      </c>
      <c r="AX45" s="19"/>
      <c r="AY45" s="19"/>
      <c r="AZ45" s="19"/>
      <c r="BA45" s="19"/>
      <c r="BB45" s="24" t="s">
        <v>1438</v>
      </c>
      <c r="BC45" s="4" t="s">
        <v>1439</v>
      </c>
      <c r="BD45" s="4" t="s">
        <v>1440</v>
      </c>
      <c r="BE45" s="4" t="s">
        <v>540</v>
      </c>
      <c r="BF45" s="4" t="s">
        <v>1441</v>
      </c>
      <c r="BG45" s="4" t="s">
        <v>1442</v>
      </c>
      <c r="BH45" s="4" t="s">
        <v>1443</v>
      </c>
      <c r="BI45" s="7"/>
      <c r="BJ45" s="7"/>
      <c r="BK45" s="7"/>
      <c r="BL45" s="7"/>
      <c r="BM45" s="4"/>
      <c r="BN45" s="4"/>
      <c r="BO45" s="7"/>
      <c r="BP45" s="7"/>
      <c r="BQ45" s="7"/>
      <c r="BR45" s="7"/>
      <c r="BS45" s="7"/>
      <c r="BT45" s="7"/>
      <c r="BU45" s="7"/>
      <c r="BV45" s="20" t="s">
        <v>24</v>
      </c>
      <c r="BW45" s="20" t="s">
        <v>30</v>
      </c>
      <c r="BX45" s="20" t="s">
        <v>37</v>
      </c>
      <c r="BY45" s="7"/>
      <c r="BZ45" s="20" t="s">
        <v>1444</v>
      </c>
      <c r="CA45" s="20" t="s">
        <v>713</v>
      </c>
      <c r="CB45" s="20" t="s">
        <v>1445</v>
      </c>
      <c r="CC45" s="20" t="s">
        <v>1446</v>
      </c>
      <c r="CD45" s="20" t="s">
        <v>1447</v>
      </c>
      <c r="CE45" s="20" t="s">
        <v>1448</v>
      </c>
      <c r="CF45" s="7"/>
      <c r="CG45" s="7"/>
      <c r="CH45" s="22" t="str">
        <f aca="false">IF(AND(ISNUMBER(BP45),ISNUMBER(AG45),AG45&gt;0),BP45*1000000/AG45,"")</f>
        <v/>
      </c>
      <c r="CI45" s="7"/>
      <c r="CJ45" s="7"/>
      <c r="CK45" s="7"/>
      <c r="CL45" s="7"/>
      <c r="CM45" s="7"/>
      <c r="CN45" s="7"/>
      <c r="CO45" s="7"/>
      <c r="CP45" s="7"/>
      <c r="CQ45" s="7"/>
      <c r="CR45" s="7"/>
      <c r="CS45" s="7"/>
    </row>
    <row r="46" customFormat="false" ht="1155.95" hidden="false" customHeight="false" outlineLevel="0" collapsed="false">
      <c r="A46" s="4" t="n">
        <v>45</v>
      </c>
      <c r="B46" s="4" t="s">
        <v>451</v>
      </c>
      <c r="C46" s="4" t="s">
        <v>452</v>
      </c>
      <c r="D46" s="4" t="s">
        <v>1333</v>
      </c>
      <c r="E46" s="4" t="s">
        <v>165</v>
      </c>
      <c r="F46" s="4" t="s">
        <v>1449</v>
      </c>
      <c r="G46" s="4" t="s">
        <v>1450</v>
      </c>
      <c r="H46" s="4" t="s">
        <v>1451</v>
      </c>
      <c r="I46" s="4" t="s">
        <v>1452</v>
      </c>
      <c r="J46" s="4" t="s">
        <v>1453</v>
      </c>
      <c r="K46" s="17"/>
      <c r="L46" s="4"/>
      <c r="M46" s="4"/>
      <c r="N46" s="4"/>
      <c r="O46" s="4" t="s">
        <v>780</v>
      </c>
      <c r="P46" s="7"/>
      <c r="Q46" s="7"/>
      <c r="R46" s="23" t="s">
        <v>1454</v>
      </c>
      <c r="S46" s="4" t="s">
        <v>1341</v>
      </c>
      <c r="T46" s="4" t="s">
        <v>1455</v>
      </c>
      <c r="U46" s="4" t="s">
        <v>1456</v>
      </c>
      <c r="V46" s="4" t="s">
        <v>465</v>
      </c>
      <c r="W46" s="4" t="s">
        <v>1457</v>
      </c>
      <c r="X46" s="4" t="s">
        <v>467</v>
      </c>
      <c r="Y46" s="4" t="s">
        <v>468</v>
      </c>
      <c r="Z46" s="23" t="s">
        <v>1458</v>
      </c>
      <c r="AA46" s="7"/>
      <c r="AB46" s="4"/>
      <c r="AC46" s="4"/>
      <c r="AD46" s="4"/>
      <c r="AE46" s="18" t="s">
        <v>470</v>
      </c>
      <c r="AF46" s="4" t="s">
        <v>471</v>
      </c>
      <c r="AG46" s="4"/>
      <c r="AH46" s="4"/>
      <c r="AI46" s="4" t="s">
        <v>472</v>
      </c>
      <c r="AJ46" s="4" t="s">
        <v>473</v>
      </c>
      <c r="AK46" s="4"/>
      <c r="AL46" s="7"/>
      <c r="AM46" s="4"/>
      <c r="AN46" s="4"/>
      <c r="AO46" s="4" t="s">
        <v>474</v>
      </c>
      <c r="AP46" s="4"/>
      <c r="AQ46" s="7"/>
      <c r="AR46" s="4"/>
      <c r="AS46" s="4"/>
      <c r="AT46" s="4"/>
      <c r="AU46" s="4"/>
      <c r="AV46" s="4" t="s">
        <v>475</v>
      </c>
      <c r="AW46" s="4" t="s">
        <v>1095</v>
      </c>
      <c r="AX46" s="19"/>
      <c r="AY46" s="19"/>
      <c r="AZ46" s="19"/>
      <c r="BA46" s="19"/>
      <c r="BB46" s="24" t="s">
        <v>1459</v>
      </c>
      <c r="BC46" s="4" t="s">
        <v>1460</v>
      </c>
      <c r="BD46" s="4" t="s">
        <v>1461</v>
      </c>
      <c r="BE46" s="4" t="s">
        <v>540</v>
      </c>
      <c r="BF46" s="4" t="s">
        <v>541</v>
      </c>
      <c r="BG46" s="4" t="s">
        <v>1462</v>
      </c>
      <c r="BH46" s="4" t="s">
        <v>1463</v>
      </c>
      <c r="BI46" s="7"/>
      <c r="BJ46" s="7"/>
      <c r="BK46" s="7"/>
      <c r="BL46" s="7"/>
      <c r="BM46" s="4"/>
      <c r="BN46" s="4"/>
      <c r="BO46" s="7"/>
      <c r="BP46" s="7"/>
      <c r="BQ46" s="7"/>
      <c r="BR46" s="7"/>
      <c r="BS46" s="7"/>
      <c r="BT46" s="7"/>
      <c r="BU46" s="7"/>
      <c r="BV46" s="20" t="s">
        <v>24</v>
      </c>
      <c r="BW46" s="20" t="s">
        <v>30</v>
      </c>
      <c r="BX46" s="20" t="s">
        <v>37</v>
      </c>
      <c r="BY46" s="20" t="s">
        <v>1464</v>
      </c>
      <c r="BZ46" s="20" t="s">
        <v>484</v>
      </c>
      <c r="CA46" s="20" t="s">
        <v>664</v>
      </c>
      <c r="CB46" s="20" t="s">
        <v>1465</v>
      </c>
      <c r="CC46" s="20" t="s">
        <v>1466</v>
      </c>
      <c r="CD46" s="20" t="s">
        <v>572</v>
      </c>
      <c r="CE46" s="20" t="s">
        <v>164</v>
      </c>
      <c r="CF46" s="21" t="n">
        <v>3</v>
      </c>
      <c r="CG46" s="7"/>
      <c r="CH46" s="22" t="str">
        <f aca="false">IF(AND(ISNUMBER(BP46),ISNUMBER(AG46),AG46&gt;0),BP46*1000000/AG46,"")</f>
        <v/>
      </c>
      <c r="CI46" s="7"/>
      <c r="CJ46" s="7"/>
      <c r="CK46" s="7"/>
      <c r="CL46" s="7"/>
      <c r="CM46" s="7"/>
      <c r="CN46" s="7"/>
      <c r="CO46" s="7"/>
      <c r="CP46" s="7"/>
      <c r="CQ46" s="7"/>
      <c r="CR46" s="7"/>
      <c r="CS46" s="7"/>
    </row>
    <row r="47" customFormat="false" ht="1196.25" hidden="false" customHeight="false" outlineLevel="0" collapsed="false">
      <c r="A47" s="4" t="n">
        <v>46</v>
      </c>
      <c r="B47" s="4" t="s">
        <v>451</v>
      </c>
      <c r="C47" s="4" t="s">
        <v>452</v>
      </c>
      <c r="D47" s="4" t="s">
        <v>1333</v>
      </c>
      <c r="E47" s="4" t="s">
        <v>249</v>
      </c>
      <c r="F47" s="4" t="s">
        <v>1467</v>
      </c>
      <c r="G47" s="4" t="s">
        <v>1468</v>
      </c>
      <c r="H47" s="4" t="s">
        <v>1469</v>
      </c>
      <c r="I47" s="4" t="s">
        <v>1470</v>
      </c>
      <c r="J47" s="4" t="s">
        <v>1471</v>
      </c>
      <c r="K47" s="17"/>
      <c r="L47" s="4"/>
      <c r="M47" s="4"/>
      <c r="N47" s="4"/>
      <c r="O47" s="4" t="s">
        <v>780</v>
      </c>
      <c r="P47" s="7"/>
      <c r="Q47" s="7"/>
      <c r="R47" s="23" t="s">
        <v>1472</v>
      </c>
      <c r="S47" s="4" t="s">
        <v>1341</v>
      </c>
      <c r="T47" s="4" t="s">
        <v>1342</v>
      </c>
      <c r="U47" s="4" t="s">
        <v>1473</v>
      </c>
      <c r="V47" s="4" t="s">
        <v>498</v>
      </c>
      <c r="W47" s="4"/>
      <c r="X47" s="4" t="s">
        <v>499</v>
      </c>
      <c r="Y47" s="4"/>
      <c r="Z47" s="23" t="s">
        <v>1474</v>
      </c>
      <c r="AA47" s="7"/>
      <c r="AB47" s="4"/>
      <c r="AC47" s="4"/>
      <c r="AD47" s="4"/>
      <c r="AE47" s="18" t="s">
        <v>470</v>
      </c>
      <c r="AF47" s="4" t="s">
        <v>471</v>
      </c>
      <c r="AG47" s="4"/>
      <c r="AH47" s="4"/>
      <c r="AI47" s="4" t="s">
        <v>472</v>
      </c>
      <c r="AJ47" s="4" t="s">
        <v>473</v>
      </c>
      <c r="AK47" s="4"/>
      <c r="AL47" s="7"/>
      <c r="AM47" s="4"/>
      <c r="AN47" s="4"/>
      <c r="AO47" s="4" t="s">
        <v>474</v>
      </c>
      <c r="AP47" s="4"/>
      <c r="AQ47" s="7"/>
      <c r="AR47" s="4"/>
      <c r="AS47" s="4"/>
      <c r="AT47" s="4"/>
      <c r="AU47" s="4"/>
      <c r="AV47" s="4" t="s">
        <v>475</v>
      </c>
      <c r="AW47" s="4" t="s">
        <v>1095</v>
      </c>
      <c r="AX47" s="19"/>
      <c r="AY47" s="19"/>
      <c r="AZ47" s="19"/>
      <c r="BA47" s="19"/>
      <c r="BB47" s="24" t="s">
        <v>1475</v>
      </c>
      <c r="BC47" s="4" t="s">
        <v>1476</v>
      </c>
      <c r="BD47" s="4" t="s">
        <v>1477</v>
      </c>
      <c r="BE47" s="4" t="s">
        <v>514</v>
      </c>
      <c r="BF47" s="4" t="s">
        <v>515</v>
      </c>
      <c r="BG47" s="4" t="s">
        <v>1478</v>
      </c>
      <c r="BH47" s="4" t="s">
        <v>1479</v>
      </c>
      <c r="BI47" s="7"/>
      <c r="BJ47" s="7"/>
      <c r="BK47" s="7"/>
      <c r="BL47" s="7"/>
      <c r="BM47" s="4"/>
      <c r="BN47" s="4"/>
      <c r="BO47" s="7"/>
      <c r="BP47" s="7"/>
      <c r="BQ47" s="7"/>
      <c r="BR47" s="7"/>
      <c r="BS47" s="7"/>
      <c r="BT47" s="7"/>
      <c r="BU47" s="7"/>
      <c r="BV47" s="20" t="s">
        <v>25</v>
      </c>
      <c r="BW47" s="20" t="s">
        <v>32</v>
      </c>
      <c r="BX47" s="20" t="s">
        <v>34</v>
      </c>
      <c r="BY47" s="20" t="s">
        <v>1480</v>
      </c>
      <c r="BZ47" s="20" t="s">
        <v>484</v>
      </c>
      <c r="CA47" s="20" t="s">
        <v>713</v>
      </c>
      <c r="CB47" s="20" t="s">
        <v>1481</v>
      </c>
      <c r="CC47" s="20" t="s">
        <v>1482</v>
      </c>
      <c r="CD47" s="20" t="s">
        <v>1483</v>
      </c>
      <c r="CE47" s="20" t="s">
        <v>248</v>
      </c>
      <c r="CF47" s="21" t="n">
        <v>5</v>
      </c>
      <c r="CG47" s="7"/>
      <c r="CH47" s="22" t="str">
        <f aca="false">IF(AND(ISNUMBER(BP47),ISNUMBER(AG47),AG47&gt;0),BP47*1000000/AG47,"")</f>
        <v/>
      </c>
      <c r="CI47" s="7"/>
      <c r="CJ47" s="7"/>
      <c r="CK47" s="7"/>
      <c r="CL47" s="7"/>
      <c r="CM47" s="7"/>
      <c r="CN47" s="7"/>
      <c r="CO47" s="7"/>
      <c r="CP47" s="7"/>
      <c r="CQ47" s="7"/>
      <c r="CR47" s="7"/>
      <c r="CS47" s="7"/>
    </row>
    <row r="48" customFormat="false" ht="954.45" hidden="false" customHeight="false" outlineLevel="0" collapsed="false">
      <c r="A48" s="4" t="n">
        <v>47</v>
      </c>
      <c r="B48" s="4" t="s">
        <v>451</v>
      </c>
      <c r="C48" s="4" t="s">
        <v>452</v>
      </c>
      <c r="D48" s="4" t="s">
        <v>1333</v>
      </c>
      <c r="E48" s="4" t="s">
        <v>1484</v>
      </c>
      <c r="F48" s="4" t="s">
        <v>1485</v>
      </c>
      <c r="G48" s="4" t="s">
        <v>1486</v>
      </c>
      <c r="H48" s="4" t="s">
        <v>1487</v>
      </c>
      <c r="I48" s="4" t="s">
        <v>1488</v>
      </c>
      <c r="J48" s="4" t="s">
        <v>1489</v>
      </c>
      <c r="K48" s="17"/>
      <c r="L48" s="4"/>
      <c r="M48" s="4"/>
      <c r="N48" s="4"/>
      <c r="O48" s="23" t="s">
        <v>643</v>
      </c>
      <c r="P48" s="7"/>
      <c r="Q48" s="7"/>
      <c r="R48" s="23" t="s">
        <v>1490</v>
      </c>
      <c r="S48" s="4" t="s">
        <v>1341</v>
      </c>
      <c r="T48" s="4" t="s">
        <v>1491</v>
      </c>
      <c r="U48" s="4" t="s">
        <v>1492</v>
      </c>
      <c r="V48" s="4" t="s">
        <v>498</v>
      </c>
      <c r="W48" s="4"/>
      <c r="X48" s="4" t="s">
        <v>499</v>
      </c>
      <c r="Y48" s="4"/>
      <c r="Z48" s="23" t="s">
        <v>1493</v>
      </c>
      <c r="AA48" s="7"/>
      <c r="AB48" s="4"/>
      <c r="AC48" s="4"/>
      <c r="AD48" s="4"/>
      <c r="AE48" s="18" t="s">
        <v>470</v>
      </c>
      <c r="AF48" s="4" t="s">
        <v>471</v>
      </c>
      <c r="AG48" s="4"/>
      <c r="AH48" s="4"/>
      <c r="AI48" s="4" t="s">
        <v>472</v>
      </c>
      <c r="AJ48" s="23" t="s">
        <v>1494</v>
      </c>
      <c r="AK48" s="4"/>
      <c r="AL48" s="7"/>
      <c r="AM48" s="4"/>
      <c r="AN48" s="4"/>
      <c r="AO48" s="23" t="s">
        <v>1495</v>
      </c>
      <c r="AP48" s="4"/>
      <c r="AQ48" s="7"/>
      <c r="AR48" s="4"/>
      <c r="AS48" s="4"/>
      <c r="AT48" s="4"/>
      <c r="AU48" s="4"/>
      <c r="AV48" s="23" t="s">
        <v>1496</v>
      </c>
      <c r="AW48" s="23" t="s">
        <v>1497</v>
      </c>
      <c r="AX48" s="19"/>
      <c r="AY48" s="19"/>
      <c r="AZ48" s="19"/>
      <c r="BA48" s="19"/>
      <c r="BB48" s="24" t="s">
        <v>1498</v>
      </c>
      <c r="BC48" s="4" t="s">
        <v>1499</v>
      </c>
      <c r="BD48" s="4" t="s">
        <v>1500</v>
      </c>
      <c r="BE48" s="4" t="s">
        <v>1501</v>
      </c>
      <c r="BF48" s="4" t="s">
        <v>1502</v>
      </c>
      <c r="BG48" s="4" t="s">
        <v>1503</v>
      </c>
      <c r="BH48" s="4" t="s">
        <v>1504</v>
      </c>
      <c r="BI48" s="7"/>
      <c r="BJ48" s="7"/>
      <c r="BK48" s="7"/>
      <c r="BL48" s="7"/>
      <c r="BM48" s="4"/>
      <c r="BN48" s="4"/>
      <c r="BO48" s="7"/>
      <c r="BP48" s="7"/>
      <c r="BQ48" s="7"/>
      <c r="BR48" s="7"/>
      <c r="BS48" s="7"/>
      <c r="BT48" s="7"/>
      <c r="BU48" s="7"/>
      <c r="BV48" s="20" t="s">
        <v>24</v>
      </c>
      <c r="BW48" s="20" t="s">
        <v>31</v>
      </c>
      <c r="BX48" s="20" t="s">
        <v>38</v>
      </c>
      <c r="BY48" s="7"/>
      <c r="BZ48" s="20" t="s">
        <v>484</v>
      </c>
      <c r="CA48" s="20" t="s">
        <v>664</v>
      </c>
      <c r="CB48" s="20" t="s">
        <v>665</v>
      </c>
      <c r="CC48" s="20" t="s">
        <v>666</v>
      </c>
      <c r="CD48" s="20" t="s">
        <v>667</v>
      </c>
      <c r="CE48" s="20" t="s">
        <v>1505</v>
      </c>
      <c r="CF48" s="7"/>
      <c r="CG48" s="20" t="s">
        <v>1506</v>
      </c>
      <c r="CH48" s="22" t="str">
        <f aca="false">IF(AND(ISNUMBER(BP48),ISNUMBER(AG48),AG48&gt;0),BP48*1000000/AG48,"")</f>
        <v/>
      </c>
      <c r="CI48" s="7"/>
      <c r="CJ48" s="7"/>
      <c r="CK48" s="7"/>
      <c r="CL48" s="7"/>
      <c r="CM48" s="7"/>
      <c r="CN48" s="7"/>
      <c r="CO48" s="7"/>
      <c r="CP48" s="7"/>
      <c r="CQ48" s="7"/>
      <c r="CR48" s="7"/>
      <c r="CS48" s="7"/>
    </row>
    <row r="49" customFormat="false" ht="605.95" hidden="false" customHeight="false" outlineLevel="0" collapsed="false">
      <c r="A49" s="4" t="n">
        <v>48</v>
      </c>
      <c r="B49" s="4" t="s">
        <v>451</v>
      </c>
      <c r="C49" s="4" t="s">
        <v>452</v>
      </c>
      <c r="D49" s="4" t="s">
        <v>1333</v>
      </c>
      <c r="E49" s="4" t="s">
        <v>1507</v>
      </c>
      <c r="F49" s="4" t="s">
        <v>1508</v>
      </c>
      <c r="G49" s="4" t="s">
        <v>1509</v>
      </c>
      <c r="H49" s="4" t="s">
        <v>1510</v>
      </c>
      <c r="I49" s="4" t="s">
        <v>1511</v>
      </c>
      <c r="J49" s="4" t="s">
        <v>1512</v>
      </c>
      <c r="K49" s="17"/>
      <c r="L49" s="4"/>
      <c r="M49" s="4"/>
      <c r="N49" s="4"/>
      <c r="O49" s="23" t="s">
        <v>643</v>
      </c>
      <c r="P49" s="7"/>
      <c r="Q49" s="7"/>
      <c r="R49" s="23" t="s">
        <v>1513</v>
      </c>
      <c r="S49" s="4" t="s">
        <v>1341</v>
      </c>
      <c r="T49" s="4" t="s">
        <v>1342</v>
      </c>
      <c r="U49" s="4" t="s">
        <v>1514</v>
      </c>
      <c r="V49" s="4" t="s">
        <v>934</v>
      </c>
      <c r="W49" s="4" t="s">
        <v>1515</v>
      </c>
      <c r="X49" s="4" t="s">
        <v>936</v>
      </c>
      <c r="Y49" s="4" t="s">
        <v>937</v>
      </c>
      <c r="Z49" s="23" t="s">
        <v>1516</v>
      </c>
      <c r="AA49" s="7"/>
      <c r="AB49" s="4"/>
      <c r="AC49" s="4"/>
      <c r="AD49" s="4"/>
      <c r="AE49" s="18" t="s">
        <v>470</v>
      </c>
      <c r="AF49" s="4" t="s">
        <v>471</v>
      </c>
      <c r="AG49" s="4"/>
      <c r="AH49" s="4"/>
      <c r="AI49" s="4" t="s">
        <v>472</v>
      </c>
      <c r="AJ49" s="23" t="s">
        <v>1517</v>
      </c>
      <c r="AK49" s="4"/>
      <c r="AL49" s="7"/>
      <c r="AM49" s="4"/>
      <c r="AN49" s="4"/>
      <c r="AO49" s="23" t="s">
        <v>1518</v>
      </c>
      <c r="AP49" s="4"/>
      <c r="AQ49" s="7"/>
      <c r="AR49" s="4"/>
      <c r="AS49" s="4"/>
      <c r="AT49" s="4"/>
      <c r="AU49" s="4"/>
      <c r="AV49" s="23" t="s">
        <v>1519</v>
      </c>
      <c r="AW49" s="23" t="s">
        <v>1520</v>
      </c>
      <c r="AX49" s="19"/>
      <c r="AY49" s="19"/>
      <c r="AZ49" s="19"/>
      <c r="BA49" s="19"/>
      <c r="BB49" s="24" t="s">
        <v>1521</v>
      </c>
      <c r="BC49" s="4" t="s">
        <v>1522</v>
      </c>
      <c r="BD49" s="4" t="s">
        <v>685</v>
      </c>
      <c r="BE49" s="4" t="s">
        <v>686</v>
      </c>
      <c r="BF49" s="4" t="s">
        <v>687</v>
      </c>
      <c r="BG49" s="4" t="s">
        <v>1523</v>
      </c>
      <c r="BH49" s="4" t="s">
        <v>1524</v>
      </c>
      <c r="BI49" s="7"/>
      <c r="BJ49" s="7"/>
      <c r="BK49" s="7"/>
      <c r="BL49" s="7"/>
      <c r="BM49" s="4"/>
      <c r="BN49" s="4"/>
      <c r="BO49" s="7"/>
      <c r="BP49" s="7"/>
      <c r="BQ49" s="7"/>
      <c r="BR49" s="7"/>
      <c r="BS49" s="7"/>
      <c r="BT49" s="7"/>
      <c r="BU49" s="7"/>
      <c r="BV49" s="20" t="s">
        <v>24</v>
      </c>
      <c r="BW49" s="20" t="s">
        <v>31</v>
      </c>
      <c r="BX49" s="20" t="s">
        <v>38</v>
      </c>
      <c r="BY49" s="7"/>
      <c r="BZ49" s="20" t="s">
        <v>484</v>
      </c>
      <c r="CA49" s="20" t="s">
        <v>713</v>
      </c>
      <c r="CB49" s="20" t="s">
        <v>665</v>
      </c>
      <c r="CC49" s="20" t="s">
        <v>666</v>
      </c>
      <c r="CD49" s="20" t="s">
        <v>667</v>
      </c>
      <c r="CE49" s="20" t="s">
        <v>1525</v>
      </c>
      <c r="CF49" s="7"/>
      <c r="CG49" s="20" t="s">
        <v>1526</v>
      </c>
      <c r="CH49" s="22" t="str">
        <f aca="false">IF(AND(ISNUMBER(BP49),ISNUMBER(AG49),AG49&gt;0),BP49*1000000/AG49,"")</f>
        <v/>
      </c>
      <c r="CI49" s="7"/>
      <c r="CJ49" s="7"/>
      <c r="CK49" s="7"/>
      <c r="CL49" s="7"/>
      <c r="CM49" s="7"/>
      <c r="CN49" s="7"/>
      <c r="CO49" s="7"/>
      <c r="CP49" s="7"/>
      <c r="CQ49" s="7"/>
      <c r="CR49" s="7"/>
      <c r="CS49" s="7"/>
    </row>
    <row r="50" customFormat="false" ht="673.1" hidden="false" customHeight="false" outlineLevel="0" collapsed="false">
      <c r="A50" s="4" t="n">
        <v>49</v>
      </c>
      <c r="B50" s="4" t="s">
        <v>451</v>
      </c>
      <c r="C50" s="4" t="s">
        <v>452</v>
      </c>
      <c r="D50" s="4" t="s">
        <v>1333</v>
      </c>
      <c r="E50" s="4" t="s">
        <v>1527</v>
      </c>
      <c r="F50" s="4" t="s">
        <v>1528</v>
      </c>
      <c r="G50" s="4" t="s">
        <v>1529</v>
      </c>
      <c r="H50" s="4" t="s">
        <v>1530</v>
      </c>
      <c r="I50" s="4" t="s">
        <v>1531</v>
      </c>
      <c r="J50" s="4" t="s">
        <v>1532</v>
      </c>
      <c r="K50" s="17"/>
      <c r="L50" s="4"/>
      <c r="M50" s="4"/>
      <c r="N50" s="4"/>
      <c r="O50" s="23" t="s">
        <v>643</v>
      </c>
      <c r="P50" s="7"/>
      <c r="Q50" s="7"/>
      <c r="R50" s="23" t="s">
        <v>1533</v>
      </c>
      <c r="S50" s="4" t="s">
        <v>1341</v>
      </c>
      <c r="T50" s="4" t="s">
        <v>1342</v>
      </c>
      <c r="U50" s="4" t="s">
        <v>1534</v>
      </c>
      <c r="V50" s="4" t="s">
        <v>498</v>
      </c>
      <c r="W50" s="4"/>
      <c r="X50" s="4" t="s">
        <v>499</v>
      </c>
      <c r="Y50" s="4"/>
      <c r="Z50" s="23" t="s">
        <v>1535</v>
      </c>
      <c r="AA50" s="7"/>
      <c r="AB50" s="4"/>
      <c r="AC50" s="4"/>
      <c r="AD50" s="4"/>
      <c r="AE50" s="18" t="s">
        <v>470</v>
      </c>
      <c r="AF50" s="4" t="s">
        <v>471</v>
      </c>
      <c r="AG50" s="4"/>
      <c r="AH50" s="4"/>
      <c r="AI50" s="4" t="s">
        <v>472</v>
      </c>
      <c r="AJ50" s="23" t="s">
        <v>1536</v>
      </c>
      <c r="AK50" s="4"/>
      <c r="AL50" s="7"/>
      <c r="AM50" s="4"/>
      <c r="AN50" s="4"/>
      <c r="AO50" s="23" t="s">
        <v>1537</v>
      </c>
      <c r="AP50" s="4"/>
      <c r="AQ50" s="7"/>
      <c r="AR50" s="4"/>
      <c r="AS50" s="4"/>
      <c r="AT50" s="4"/>
      <c r="AU50" s="4"/>
      <c r="AV50" s="23" t="s">
        <v>1538</v>
      </c>
      <c r="AW50" s="23" t="s">
        <v>1539</v>
      </c>
      <c r="AX50" s="19"/>
      <c r="AY50" s="19"/>
      <c r="AZ50" s="19"/>
      <c r="BA50" s="19"/>
      <c r="BB50" s="24" t="s">
        <v>1540</v>
      </c>
      <c r="BC50" s="4" t="s">
        <v>1541</v>
      </c>
      <c r="BD50" s="4" t="s">
        <v>685</v>
      </c>
      <c r="BE50" s="4" t="s">
        <v>686</v>
      </c>
      <c r="BF50" s="4" t="s">
        <v>687</v>
      </c>
      <c r="BG50" s="4" t="s">
        <v>1542</v>
      </c>
      <c r="BH50" s="4" t="s">
        <v>1543</v>
      </c>
      <c r="BI50" s="7"/>
      <c r="BJ50" s="7"/>
      <c r="BK50" s="7"/>
      <c r="BL50" s="7"/>
      <c r="BM50" s="4"/>
      <c r="BN50" s="4"/>
      <c r="BO50" s="7"/>
      <c r="BP50" s="7"/>
      <c r="BQ50" s="7"/>
      <c r="BR50" s="7"/>
      <c r="BS50" s="7"/>
      <c r="BT50" s="7"/>
      <c r="BU50" s="7"/>
      <c r="BV50" s="20" t="s">
        <v>24</v>
      </c>
      <c r="BW50" s="20" t="s">
        <v>31</v>
      </c>
      <c r="BX50" s="20" t="s">
        <v>38</v>
      </c>
      <c r="BY50" s="7"/>
      <c r="BZ50" s="20" t="s">
        <v>484</v>
      </c>
      <c r="CA50" s="20" t="s">
        <v>713</v>
      </c>
      <c r="CB50" s="20" t="s">
        <v>665</v>
      </c>
      <c r="CC50" s="20" t="s">
        <v>666</v>
      </c>
      <c r="CD50" s="20" t="s">
        <v>667</v>
      </c>
      <c r="CE50" s="20" t="s">
        <v>1544</v>
      </c>
      <c r="CF50" s="7"/>
      <c r="CG50" s="20" t="s">
        <v>1545</v>
      </c>
      <c r="CH50" s="22" t="str">
        <f aca="false">IF(AND(ISNUMBER(BP50),ISNUMBER(AG50),AG50&gt;0),BP50*1000000/AG50,"")</f>
        <v/>
      </c>
      <c r="CI50" s="7"/>
      <c r="CJ50" s="7"/>
      <c r="CK50" s="7"/>
      <c r="CL50" s="7"/>
      <c r="CM50" s="7"/>
      <c r="CN50" s="7"/>
      <c r="CO50" s="7"/>
      <c r="CP50" s="7"/>
      <c r="CQ50" s="7"/>
      <c r="CR50" s="7"/>
      <c r="CS50" s="7"/>
    </row>
    <row r="51" customFormat="false" ht="605.95" hidden="false" customHeight="false" outlineLevel="0" collapsed="false">
      <c r="A51" s="4" t="n">
        <v>50</v>
      </c>
      <c r="B51" s="4" t="s">
        <v>451</v>
      </c>
      <c r="C51" s="4" t="s">
        <v>452</v>
      </c>
      <c r="D51" s="4" t="s">
        <v>1333</v>
      </c>
      <c r="E51" s="4" t="s">
        <v>1546</v>
      </c>
      <c r="F51" s="4" t="s">
        <v>1547</v>
      </c>
      <c r="G51" s="4" t="s">
        <v>1548</v>
      </c>
      <c r="H51" s="4" t="s">
        <v>1549</v>
      </c>
      <c r="I51" s="4" t="s">
        <v>1550</v>
      </c>
      <c r="J51" s="4" t="s">
        <v>1551</v>
      </c>
      <c r="K51" s="17"/>
      <c r="L51" s="4"/>
      <c r="M51" s="4"/>
      <c r="N51" s="4"/>
      <c r="O51" s="23" t="s">
        <v>643</v>
      </c>
      <c r="P51" s="7"/>
      <c r="Q51" s="7"/>
      <c r="R51" s="23" t="s">
        <v>1552</v>
      </c>
      <c r="S51" s="4" t="s">
        <v>1341</v>
      </c>
      <c r="T51" s="4" t="s">
        <v>1342</v>
      </c>
      <c r="U51" s="4" t="s">
        <v>1553</v>
      </c>
      <c r="V51" s="4" t="s">
        <v>934</v>
      </c>
      <c r="W51" s="4" t="s">
        <v>1554</v>
      </c>
      <c r="X51" s="4" t="s">
        <v>936</v>
      </c>
      <c r="Y51" s="4" t="s">
        <v>937</v>
      </c>
      <c r="Z51" s="23" t="s">
        <v>1555</v>
      </c>
      <c r="AA51" s="7"/>
      <c r="AB51" s="4"/>
      <c r="AC51" s="4"/>
      <c r="AD51" s="4"/>
      <c r="AE51" s="18" t="s">
        <v>470</v>
      </c>
      <c r="AF51" s="4" t="s">
        <v>471</v>
      </c>
      <c r="AG51" s="4"/>
      <c r="AH51" s="4"/>
      <c r="AI51" s="4" t="s">
        <v>472</v>
      </c>
      <c r="AJ51" s="23" t="s">
        <v>1556</v>
      </c>
      <c r="AK51" s="4"/>
      <c r="AL51" s="7"/>
      <c r="AM51" s="4"/>
      <c r="AN51" s="4"/>
      <c r="AO51" s="23" t="s">
        <v>1557</v>
      </c>
      <c r="AP51" s="4"/>
      <c r="AQ51" s="7"/>
      <c r="AR51" s="4"/>
      <c r="AS51" s="4"/>
      <c r="AT51" s="4"/>
      <c r="AU51" s="4"/>
      <c r="AV51" s="23" t="s">
        <v>1558</v>
      </c>
      <c r="AW51" s="23" t="s">
        <v>1559</v>
      </c>
      <c r="AX51" s="19"/>
      <c r="AY51" s="19"/>
      <c r="AZ51" s="19"/>
      <c r="BA51" s="19"/>
      <c r="BB51" s="24" t="s">
        <v>1560</v>
      </c>
      <c r="BC51" s="4" t="s">
        <v>1561</v>
      </c>
      <c r="BD51" s="4" t="s">
        <v>1562</v>
      </c>
      <c r="BE51" s="4" t="s">
        <v>686</v>
      </c>
      <c r="BF51" s="4" t="s">
        <v>1563</v>
      </c>
      <c r="BG51" s="4" t="s">
        <v>1564</v>
      </c>
      <c r="BH51" s="4" t="s">
        <v>1565</v>
      </c>
      <c r="BI51" s="7"/>
      <c r="BJ51" s="7"/>
      <c r="BK51" s="7"/>
      <c r="BL51" s="7"/>
      <c r="BM51" s="4"/>
      <c r="BN51" s="4"/>
      <c r="BO51" s="7"/>
      <c r="BP51" s="7"/>
      <c r="BQ51" s="7"/>
      <c r="BR51" s="7"/>
      <c r="BS51" s="7"/>
      <c r="BT51" s="7"/>
      <c r="BU51" s="7"/>
      <c r="BV51" s="20" t="s">
        <v>24</v>
      </c>
      <c r="BW51" s="20" t="s">
        <v>31</v>
      </c>
      <c r="BX51" s="20" t="s">
        <v>38</v>
      </c>
      <c r="BY51" s="7"/>
      <c r="BZ51" s="20" t="s">
        <v>484</v>
      </c>
      <c r="CA51" s="20" t="s">
        <v>664</v>
      </c>
      <c r="CB51" s="20" t="s">
        <v>665</v>
      </c>
      <c r="CC51" s="20" t="s">
        <v>666</v>
      </c>
      <c r="CD51" s="20" t="s">
        <v>667</v>
      </c>
      <c r="CE51" s="20" t="s">
        <v>1525</v>
      </c>
      <c r="CF51" s="7"/>
      <c r="CG51" s="20" t="s">
        <v>1566</v>
      </c>
      <c r="CH51" s="22" t="str">
        <f aca="false">IF(AND(ISNUMBER(BP51),ISNUMBER(AG51),AG51&gt;0),BP51*1000000/AG51,"")</f>
        <v/>
      </c>
      <c r="CI51" s="7"/>
      <c r="CJ51" s="7"/>
      <c r="CK51" s="7"/>
      <c r="CL51" s="7"/>
      <c r="CM51" s="7"/>
      <c r="CN51" s="7"/>
      <c r="CO51" s="7"/>
      <c r="CP51" s="7"/>
      <c r="CQ51" s="7"/>
      <c r="CR51" s="7"/>
      <c r="CS51" s="7"/>
    </row>
    <row r="52" customFormat="false" ht="673.1" hidden="false" customHeight="false" outlineLevel="0" collapsed="false">
      <c r="A52" s="4" t="n">
        <v>51</v>
      </c>
      <c r="B52" s="4" t="s">
        <v>451</v>
      </c>
      <c r="C52" s="4" t="s">
        <v>452</v>
      </c>
      <c r="D52" s="4" t="s">
        <v>1333</v>
      </c>
      <c r="E52" s="4" t="s">
        <v>1567</v>
      </c>
      <c r="F52" s="4" t="s">
        <v>1568</v>
      </c>
      <c r="G52" s="4" t="s">
        <v>1569</v>
      </c>
      <c r="H52" s="4" t="s">
        <v>1570</v>
      </c>
      <c r="I52" s="4" t="s">
        <v>1571</v>
      </c>
      <c r="J52" s="4" t="s">
        <v>1572</v>
      </c>
      <c r="K52" s="17"/>
      <c r="L52" s="4"/>
      <c r="M52" s="4"/>
      <c r="N52" s="4"/>
      <c r="O52" s="23" t="s">
        <v>643</v>
      </c>
      <c r="P52" s="7"/>
      <c r="Q52" s="7"/>
      <c r="R52" s="23" t="s">
        <v>1573</v>
      </c>
      <c r="S52" s="4" t="s">
        <v>1341</v>
      </c>
      <c r="T52" s="4" t="s">
        <v>1342</v>
      </c>
      <c r="U52" s="4" t="s">
        <v>1574</v>
      </c>
      <c r="V52" s="4" t="s">
        <v>498</v>
      </c>
      <c r="W52" s="4"/>
      <c r="X52" s="4" t="s">
        <v>499</v>
      </c>
      <c r="Y52" s="4"/>
      <c r="Z52" s="23" t="s">
        <v>1575</v>
      </c>
      <c r="AA52" s="7"/>
      <c r="AB52" s="4"/>
      <c r="AC52" s="4"/>
      <c r="AD52" s="4"/>
      <c r="AE52" s="18" t="s">
        <v>470</v>
      </c>
      <c r="AF52" s="4" t="s">
        <v>471</v>
      </c>
      <c r="AG52" s="4"/>
      <c r="AH52" s="4"/>
      <c r="AI52" s="4" t="s">
        <v>472</v>
      </c>
      <c r="AJ52" s="23" t="s">
        <v>1576</v>
      </c>
      <c r="AK52" s="4"/>
      <c r="AL52" s="7"/>
      <c r="AM52" s="4"/>
      <c r="AN52" s="4"/>
      <c r="AO52" s="23" t="s">
        <v>1577</v>
      </c>
      <c r="AP52" s="4"/>
      <c r="AQ52" s="7"/>
      <c r="AR52" s="4"/>
      <c r="AS52" s="4"/>
      <c r="AT52" s="4"/>
      <c r="AU52" s="4"/>
      <c r="AV52" s="23" t="s">
        <v>1578</v>
      </c>
      <c r="AW52" s="23" t="s">
        <v>1579</v>
      </c>
      <c r="AX52" s="19"/>
      <c r="AY52" s="19"/>
      <c r="AZ52" s="19"/>
      <c r="BA52" s="19"/>
      <c r="BB52" s="24" t="s">
        <v>1580</v>
      </c>
      <c r="BC52" s="4" t="s">
        <v>1581</v>
      </c>
      <c r="BD52" s="4" t="s">
        <v>685</v>
      </c>
      <c r="BE52" s="4" t="s">
        <v>686</v>
      </c>
      <c r="BF52" s="4" t="s">
        <v>687</v>
      </c>
      <c r="BG52" s="4" t="s">
        <v>1582</v>
      </c>
      <c r="BH52" s="4" t="s">
        <v>1583</v>
      </c>
      <c r="BI52" s="7"/>
      <c r="BJ52" s="7"/>
      <c r="BK52" s="7"/>
      <c r="BL52" s="7"/>
      <c r="BM52" s="4"/>
      <c r="BN52" s="4"/>
      <c r="BO52" s="7"/>
      <c r="BP52" s="7"/>
      <c r="BQ52" s="7"/>
      <c r="BR52" s="7"/>
      <c r="BS52" s="7"/>
      <c r="BT52" s="7"/>
      <c r="BU52" s="7"/>
      <c r="BV52" s="20" t="s">
        <v>24</v>
      </c>
      <c r="BW52" s="20" t="s">
        <v>31</v>
      </c>
      <c r="BX52" s="20" t="s">
        <v>38</v>
      </c>
      <c r="BY52" s="7"/>
      <c r="BZ52" s="20" t="s">
        <v>484</v>
      </c>
      <c r="CA52" s="20" t="s">
        <v>524</v>
      </c>
      <c r="CB52" s="20" t="s">
        <v>665</v>
      </c>
      <c r="CC52" s="20" t="s">
        <v>666</v>
      </c>
      <c r="CD52" s="20" t="s">
        <v>667</v>
      </c>
      <c r="CE52" s="20" t="s">
        <v>1584</v>
      </c>
      <c r="CF52" s="7"/>
      <c r="CG52" s="20" t="s">
        <v>1585</v>
      </c>
      <c r="CH52" s="22" t="str">
        <f aca="false">IF(AND(ISNUMBER(BP52),ISNUMBER(AG52),AG52&gt;0),BP52*1000000/AG52,"")</f>
        <v/>
      </c>
      <c r="CI52" s="7"/>
      <c r="CJ52" s="7"/>
      <c r="CK52" s="7"/>
      <c r="CL52" s="7"/>
      <c r="CM52" s="7"/>
      <c r="CN52" s="7"/>
      <c r="CO52" s="7"/>
      <c r="CP52" s="7"/>
      <c r="CQ52" s="7"/>
      <c r="CR52" s="7"/>
      <c r="CS52" s="7"/>
    </row>
    <row r="53" customFormat="false" ht="712.65" hidden="false" customHeight="false" outlineLevel="0" collapsed="false">
      <c r="A53" s="4" t="n">
        <v>52</v>
      </c>
      <c r="B53" s="4" t="s">
        <v>451</v>
      </c>
      <c r="C53" s="4" t="s">
        <v>452</v>
      </c>
      <c r="D53" s="4" t="s">
        <v>1333</v>
      </c>
      <c r="E53" s="4" t="s">
        <v>1586</v>
      </c>
      <c r="F53" s="4" t="s">
        <v>1587</v>
      </c>
      <c r="G53" s="4" t="s">
        <v>1588</v>
      </c>
      <c r="H53" s="4" t="s">
        <v>1589</v>
      </c>
      <c r="I53" s="4" t="s">
        <v>1590</v>
      </c>
      <c r="J53" s="4" t="s">
        <v>1591</v>
      </c>
      <c r="K53" s="17"/>
      <c r="L53" s="4"/>
      <c r="M53" s="4"/>
      <c r="N53" s="4"/>
      <c r="O53" s="23" t="s">
        <v>643</v>
      </c>
      <c r="P53" s="7"/>
      <c r="Q53" s="7"/>
      <c r="R53" s="23" t="s">
        <v>1592</v>
      </c>
      <c r="S53" s="4" t="s">
        <v>1341</v>
      </c>
      <c r="T53" s="4" t="s">
        <v>1342</v>
      </c>
      <c r="U53" s="4" t="s">
        <v>1593</v>
      </c>
      <c r="V53" s="4" t="s">
        <v>1594</v>
      </c>
      <c r="W53" s="4" t="s">
        <v>1595</v>
      </c>
      <c r="X53" s="4" t="s">
        <v>1596</v>
      </c>
      <c r="Y53" s="4" t="s">
        <v>1597</v>
      </c>
      <c r="Z53" s="23" t="s">
        <v>1598</v>
      </c>
      <c r="AA53" s="7"/>
      <c r="AB53" s="4"/>
      <c r="AC53" s="4"/>
      <c r="AD53" s="4"/>
      <c r="AE53" s="18" t="s">
        <v>470</v>
      </c>
      <c r="AF53" s="4" t="s">
        <v>471</v>
      </c>
      <c r="AG53" s="4"/>
      <c r="AH53" s="4"/>
      <c r="AI53" s="4" t="s">
        <v>472</v>
      </c>
      <c r="AJ53" s="23" t="s">
        <v>1599</v>
      </c>
      <c r="AK53" s="4"/>
      <c r="AL53" s="7"/>
      <c r="AM53" s="4"/>
      <c r="AN53" s="4"/>
      <c r="AO53" s="23" t="s">
        <v>1600</v>
      </c>
      <c r="AP53" s="4"/>
      <c r="AQ53" s="7"/>
      <c r="AR53" s="4"/>
      <c r="AS53" s="4"/>
      <c r="AT53" s="4"/>
      <c r="AU53" s="4"/>
      <c r="AV53" s="23" t="s">
        <v>1601</v>
      </c>
      <c r="AW53" s="23" t="s">
        <v>1602</v>
      </c>
      <c r="AX53" s="19"/>
      <c r="AY53" s="19"/>
      <c r="AZ53" s="19"/>
      <c r="BA53" s="19"/>
      <c r="BB53" s="24" t="s">
        <v>1603</v>
      </c>
      <c r="BC53" s="4" t="s">
        <v>1604</v>
      </c>
      <c r="BD53" s="4" t="s">
        <v>685</v>
      </c>
      <c r="BE53" s="4" t="s">
        <v>686</v>
      </c>
      <c r="BF53" s="4" t="s">
        <v>1605</v>
      </c>
      <c r="BG53" s="4" t="s">
        <v>1606</v>
      </c>
      <c r="BH53" s="4" t="s">
        <v>1597</v>
      </c>
      <c r="BI53" s="7"/>
      <c r="BJ53" s="7"/>
      <c r="BK53" s="7"/>
      <c r="BL53" s="7"/>
      <c r="BM53" s="4"/>
      <c r="BN53" s="4"/>
      <c r="BO53" s="7"/>
      <c r="BP53" s="7"/>
      <c r="BQ53" s="7"/>
      <c r="BR53" s="7"/>
      <c r="BS53" s="7"/>
      <c r="BT53" s="7"/>
      <c r="BU53" s="7"/>
      <c r="BV53" s="20" t="s">
        <v>24</v>
      </c>
      <c r="BW53" s="20" t="s">
        <v>31</v>
      </c>
      <c r="BX53" s="20" t="s">
        <v>38</v>
      </c>
      <c r="BY53" s="7"/>
      <c r="BZ53" s="20" t="s">
        <v>484</v>
      </c>
      <c r="CA53" s="20" t="s">
        <v>713</v>
      </c>
      <c r="CB53" s="20" t="s">
        <v>665</v>
      </c>
      <c r="CC53" s="20" t="s">
        <v>666</v>
      </c>
      <c r="CD53" s="20" t="s">
        <v>667</v>
      </c>
      <c r="CE53" s="20" t="s">
        <v>1607</v>
      </c>
      <c r="CF53" s="7"/>
      <c r="CG53" s="20" t="s">
        <v>1608</v>
      </c>
      <c r="CH53" s="22" t="str">
        <f aca="false">IF(AND(ISNUMBER(BP53),ISNUMBER(AG53),AG53&gt;0),BP53*1000000/AG53,"")</f>
        <v/>
      </c>
      <c r="CI53" s="7"/>
      <c r="CJ53" s="7"/>
      <c r="CK53" s="7"/>
      <c r="CL53" s="7"/>
      <c r="CM53" s="7"/>
      <c r="CN53" s="7"/>
      <c r="CO53" s="7"/>
      <c r="CP53" s="7"/>
      <c r="CQ53" s="7"/>
      <c r="CR53" s="7"/>
      <c r="CS53" s="7"/>
    </row>
    <row r="54" customFormat="false" ht="605.95" hidden="false" customHeight="false" outlineLevel="0" collapsed="false">
      <c r="A54" s="4" t="n">
        <v>53</v>
      </c>
      <c r="B54" s="4" t="s">
        <v>451</v>
      </c>
      <c r="C54" s="4" t="s">
        <v>452</v>
      </c>
      <c r="D54" s="4" t="s">
        <v>1333</v>
      </c>
      <c r="E54" s="4" t="s">
        <v>1609</v>
      </c>
      <c r="F54" s="4" t="s">
        <v>1610</v>
      </c>
      <c r="G54" s="4" t="s">
        <v>1588</v>
      </c>
      <c r="H54" s="4" t="s">
        <v>1611</v>
      </c>
      <c r="I54" s="4" t="s">
        <v>1612</v>
      </c>
      <c r="J54" s="4" t="s">
        <v>1613</v>
      </c>
      <c r="K54" s="17"/>
      <c r="L54" s="4"/>
      <c r="M54" s="4"/>
      <c r="N54" s="4"/>
      <c r="O54" s="23" t="s">
        <v>643</v>
      </c>
      <c r="P54" s="7"/>
      <c r="Q54" s="7"/>
      <c r="R54" s="23" t="s">
        <v>1614</v>
      </c>
      <c r="S54" s="4" t="s">
        <v>1341</v>
      </c>
      <c r="T54" s="4" t="s">
        <v>1342</v>
      </c>
      <c r="U54" s="4" t="s">
        <v>1615</v>
      </c>
      <c r="V54" s="4" t="s">
        <v>1594</v>
      </c>
      <c r="W54" s="4" t="s">
        <v>1616</v>
      </c>
      <c r="X54" s="4" t="s">
        <v>1596</v>
      </c>
      <c r="Y54" s="4" t="s">
        <v>1597</v>
      </c>
      <c r="Z54" s="23" t="s">
        <v>1598</v>
      </c>
      <c r="AA54" s="7"/>
      <c r="AB54" s="4"/>
      <c r="AC54" s="4"/>
      <c r="AD54" s="4"/>
      <c r="AE54" s="18" t="s">
        <v>470</v>
      </c>
      <c r="AF54" s="4" t="s">
        <v>471</v>
      </c>
      <c r="AG54" s="4"/>
      <c r="AH54" s="4"/>
      <c r="AI54" s="4" t="s">
        <v>472</v>
      </c>
      <c r="AJ54" s="23" t="s">
        <v>1599</v>
      </c>
      <c r="AK54" s="4"/>
      <c r="AL54" s="7"/>
      <c r="AM54" s="4"/>
      <c r="AN54" s="4"/>
      <c r="AO54" s="23" t="s">
        <v>1600</v>
      </c>
      <c r="AP54" s="4"/>
      <c r="AQ54" s="7"/>
      <c r="AR54" s="4"/>
      <c r="AS54" s="4"/>
      <c r="AT54" s="4"/>
      <c r="AU54" s="4"/>
      <c r="AV54" s="23" t="s">
        <v>1601</v>
      </c>
      <c r="AW54" s="23" t="s">
        <v>1602</v>
      </c>
      <c r="AX54" s="19"/>
      <c r="AY54" s="19"/>
      <c r="AZ54" s="19"/>
      <c r="BA54" s="19"/>
      <c r="BB54" s="24" t="s">
        <v>1617</v>
      </c>
      <c r="BC54" s="4" t="s">
        <v>1618</v>
      </c>
      <c r="BD54" s="4" t="s">
        <v>1619</v>
      </c>
      <c r="BE54" s="4" t="s">
        <v>1620</v>
      </c>
      <c r="BF54" s="4" t="s">
        <v>687</v>
      </c>
      <c r="BG54" s="4" t="s">
        <v>1621</v>
      </c>
      <c r="BH54" s="4" t="s">
        <v>1597</v>
      </c>
      <c r="BI54" s="7"/>
      <c r="BJ54" s="7"/>
      <c r="BK54" s="7"/>
      <c r="BL54" s="7"/>
      <c r="BM54" s="4"/>
      <c r="BN54" s="4"/>
      <c r="BO54" s="7"/>
      <c r="BP54" s="7"/>
      <c r="BQ54" s="7"/>
      <c r="BR54" s="7"/>
      <c r="BS54" s="7"/>
      <c r="BT54" s="7"/>
      <c r="BU54" s="7"/>
      <c r="BV54" s="20" t="s">
        <v>24</v>
      </c>
      <c r="BW54" s="20" t="s">
        <v>31</v>
      </c>
      <c r="BX54" s="20" t="s">
        <v>38</v>
      </c>
      <c r="BY54" s="7"/>
      <c r="BZ54" s="20" t="s">
        <v>484</v>
      </c>
      <c r="CA54" s="20" t="s">
        <v>713</v>
      </c>
      <c r="CB54" s="20" t="s">
        <v>665</v>
      </c>
      <c r="CC54" s="20" t="s">
        <v>666</v>
      </c>
      <c r="CD54" s="20" t="s">
        <v>667</v>
      </c>
      <c r="CE54" s="20" t="s">
        <v>1607</v>
      </c>
      <c r="CF54" s="7"/>
      <c r="CG54" s="20" t="s">
        <v>1622</v>
      </c>
      <c r="CH54" s="22" t="str">
        <f aca="false">IF(AND(ISNUMBER(BP54),ISNUMBER(AG54),AG54&gt;0),BP54*1000000/AG54,"")</f>
        <v/>
      </c>
      <c r="CI54" s="7"/>
      <c r="CJ54" s="7"/>
      <c r="CK54" s="7"/>
      <c r="CL54" s="7"/>
      <c r="CM54" s="7"/>
      <c r="CN54" s="7"/>
      <c r="CO54" s="7"/>
      <c r="CP54" s="7"/>
      <c r="CQ54" s="7"/>
      <c r="CR54" s="7"/>
      <c r="CS54" s="7"/>
    </row>
    <row r="55" customFormat="false" ht="646.25" hidden="false" customHeight="false" outlineLevel="0" collapsed="false">
      <c r="A55" s="4" t="n">
        <v>54</v>
      </c>
      <c r="B55" s="4" t="s">
        <v>451</v>
      </c>
      <c r="C55" s="4" t="s">
        <v>452</v>
      </c>
      <c r="D55" s="4" t="s">
        <v>1333</v>
      </c>
      <c r="E55" s="4" t="s">
        <v>1623</v>
      </c>
      <c r="F55" s="4" t="s">
        <v>1624</v>
      </c>
      <c r="G55" s="4" t="s">
        <v>1625</v>
      </c>
      <c r="H55" s="4" t="s">
        <v>1626</v>
      </c>
      <c r="I55" s="4" t="s">
        <v>1627</v>
      </c>
      <c r="J55" s="4" t="s">
        <v>1628</v>
      </c>
      <c r="K55" s="17"/>
      <c r="L55" s="4"/>
      <c r="M55" s="4"/>
      <c r="N55" s="4"/>
      <c r="O55" s="23" t="s">
        <v>643</v>
      </c>
      <c r="P55" s="7"/>
      <c r="Q55" s="7"/>
      <c r="R55" s="23" t="s">
        <v>1629</v>
      </c>
      <c r="S55" s="4" t="s">
        <v>1341</v>
      </c>
      <c r="T55" s="4" t="s">
        <v>1342</v>
      </c>
      <c r="U55" s="4" t="s">
        <v>1630</v>
      </c>
      <c r="V55" s="4" t="s">
        <v>498</v>
      </c>
      <c r="W55" s="4"/>
      <c r="X55" s="4" t="s">
        <v>499</v>
      </c>
      <c r="Y55" s="4"/>
      <c r="Z55" s="23" t="s">
        <v>1631</v>
      </c>
      <c r="AA55" s="7"/>
      <c r="AB55" s="4"/>
      <c r="AC55" s="4"/>
      <c r="AD55" s="4"/>
      <c r="AE55" s="18" t="s">
        <v>470</v>
      </c>
      <c r="AF55" s="4" t="s">
        <v>471</v>
      </c>
      <c r="AG55" s="4"/>
      <c r="AH55" s="4"/>
      <c r="AI55" s="4" t="s">
        <v>472</v>
      </c>
      <c r="AJ55" s="23" t="s">
        <v>1632</v>
      </c>
      <c r="AK55" s="4"/>
      <c r="AL55" s="7"/>
      <c r="AM55" s="4"/>
      <c r="AN55" s="4"/>
      <c r="AO55" s="23" t="s">
        <v>1633</v>
      </c>
      <c r="AP55" s="4"/>
      <c r="AQ55" s="7"/>
      <c r="AR55" s="4"/>
      <c r="AS55" s="4"/>
      <c r="AT55" s="4"/>
      <c r="AU55" s="4"/>
      <c r="AV55" s="23" t="s">
        <v>1634</v>
      </c>
      <c r="AW55" s="23" t="s">
        <v>1635</v>
      </c>
      <c r="AX55" s="19"/>
      <c r="AY55" s="19"/>
      <c r="AZ55" s="19"/>
      <c r="BA55" s="19"/>
      <c r="BB55" s="24" t="s">
        <v>1636</v>
      </c>
      <c r="BC55" s="4" t="s">
        <v>1637</v>
      </c>
      <c r="BD55" s="4" t="s">
        <v>685</v>
      </c>
      <c r="BE55" s="4" t="s">
        <v>686</v>
      </c>
      <c r="BF55" s="4" t="s">
        <v>687</v>
      </c>
      <c r="BG55" s="4" t="s">
        <v>1638</v>
      </c>
      <c r="BH55" s="4" t="s">
        <v>1639</v>
      </c>
      <c r="BI55" s="7"/>
      <c r="BJ55" s="7"/>
      <c r="BK55" s="7"/>
      <c r="BL55" s="7"/>
      <c r="BM55" s="4"/>
      <c r="BN55" s="4"/>
      <c r="BO55" s="7"/>
      <c r="BP55" s="7"/>
      <c r="BQ55" s="7"/>
      <c r="BR55" s="7"/>
      <c r="BS55" s="7"/>
      <c r="BT55" s="7"/>
      <c r="BU55" s="7"/>
      <c r="BV55" s="20" t="s">
        <v>24</v>
      </c>
      <c r="BW55" s="20" t="s">
        <v>31</v>
      </c>
      <c r="BX55" s="20" t="s">
        <v>38</v>
      </c>
      <c r="BY55" s="7"/>
      <c r="BZ55" s="20" t="s">
        <v>484</v>
      </c>
      <c r="CA55" s="20" t="s">
        <v>664</v>
      </c>
      <c r="CB55" s="20" t="s">
        <v>665</v>
      </c>
      <c r="CC55" s="20" t="s">
        <v>666</v>
      </c>
      <c r="CD55" s="20" t="s">
        <v>667</v>
      </c>
      <c r="CE55" s="20" t="s">
        <v>1640</v>
      </c>
      <c r="CF55" s="7"/>
      <c r="CG55" s="20" t="s">
        <v>1641</v>
      </c>
      <c r="CH55" s="22" t="str">
        <f aca="false">IF(AND(ISNUMBER(BP55),ISNUMBER(AG55),AG55&gt;0),BP55*1000000/AG55,"")</f>
        <v/>
      </c>
      <c r="CI55" s="7"/>
      <c r="CJ55" s="7"/>
      <c r="CK55" s="7"/>
      <c r="CL55" s="7"/>
      <c r="CM55" s="7"/>
      <c r="CN55" s="7"/>
      <c r="CO55" s="7"/>
      <c r="CP55" s="7"/>
      <c r="CQ55" s="7"/>
      <c r="CR55" s="7"/>
      <c r="CS55" s="7"/>
    </row>
    <row r="56" customFormat="false" ht="646.25" hidden="false" customHeight="false" outlineLevel="0" collapsed="false">
      <c r="A56" s="4" t="n">
        <v>55</v>
      </c>
      <c r="B56" s="4" t="s">
        <v>451</v>
      </c>
      <c r="C56" s="4" t="s">
        <v>452</v>
      </c>
      <c r="D56" s="4" t="s">
        <v>1333</v>
      </c>
      <c r="E56" s="4" t="s">
        <v>1642</v>
      </c>
      <c r="F56" s="4" t="s">
        <v>1643</v>
      </c>
      <c r="G56" s="4" t="s">
        <v>1644</v>
      </c>
      <c r="H56" s="4" t="s">
        <v>1645</v>
      </c>
      <c r="I56" s="4" t="s">
        <v>1646</v>
      </c>
      <c r="J56" s="4" t="s">
        <v>1647</v>
      </c>
      <c r="K56" s="17"/>
      <c r="L56" s="4"/>
      <c r="M56" s="4"/>
      <c r="N56" s="4"/>
      <c r="O56" s="4" t="s">
        <v>780</v>
      </c>
      <c r="P56" s="7"/>
      <c r="Q56" s="7"/>
      <c r="R56" s="23" t="s">
        <v>1648</v>
      </c>
      <c r="S56" s="4" t="s">
        <v>1341</v>
      </c>
      <c r="T56" s="4" t="s">
        <v>1342</v>
      </c>
      <c r="U56" s="4" t="s">
        <v>1649</v>
      </c>
      <c r="V56" s="4" t="s">
        <v>498</v>
      </c>
      <c r="W56" s="4"/>
      <c r="X56" s="4" t="s">
        <v>499</v>
      </c>
      <c r="Y56" s="4"/>
      <c r="Z56" s="23" t="s">
        <v>1650</v>
      </c>
      <c r="AA56" s="7"/>
      <c r="AB56" s="4"/>
      <c r="AC56" s="4"/>
      <c r="AD56" s="4"/>
      <c r="AE56" s="18" t="s">
        <v>470</v>
      </c>
      <c r="AF56" s="4" t="s">
        <v>471</v>
      </c>
      <c r="AG56" s="4"/>
      <c r="AH56" s="4"/>
      <c r="AI56" s="4" t="s">
        <v>472</v>
      </c>
      <c r="AJ56" s="4" t="s">
        <v>473</v>
      </c>
      <c r="AK56" s="4"/>
      <c r="AL56" s="7"/>
      <c r="AM56" s="4"/>
      <c r="AN56" s="4"/>
      <c r="AO56" s="4" t="s">
        <v>474</v>
      </c>
      <c r="AP56" s="4"/>
      <c r="AQ56" s="7"/>
      <c r="AR56" s="4"/>
      <c r="AS56" s="4"/>
      <c r="AT56" s="4"/>
      <c r="AU56" s="4"/>
      <c r="AV56" s="4" t="s">
        <v>475</v>
      </c>
      <c r="AW56" s="23" t="s">
        <v>1651</v>
      </c>
      <c r="AX56" s="19"/>
      <c r="AY56" s="19"/>
      <c r="AZ56" s="19"/>
      <c r="BA56" s="19"/>
      <c r="BB56" s="24" t="s">
        <v>1652</v>
      </c>
      <c r="BC56" s="4" t="s">
        <v>1653</v>
      </c>
      <c r="BD56" s="4" t="s">
        <v>1654</v>
      </c>
      <c r="BE56" s="4" t="s">
        <v>479</v>
      </c>
      <c r="BF56" s="4" t="s">
        <v>480</v>
      </c>
      <c r="BG56" s="4" t="s">
        <v>1655</v>
      </c>
      <c r="BH56" s="4" t="s">
        <v>1656</v>
      </c>
      <c r="BI56" s="7"/>
      <c r="BJ56" s="7"/>
      <c r="BK56" s="7"/>
      <c r="BL56" s="7"/>
      <c r="BM56" s="4"/>
      <c r="BN56" s="4"/>
      <c r="BO56" s="7"/>
      <c r="BP56" s="7"/>
      <c r="BQ56" s="7"/>
      <c r="BR56" s="7"/>
      <c r="BS56" s="7"/>
      <c r="BT56" s="7"/>
      <c r="BU56" s="7"/>
      <c r="BV56" s="20" t="s">
        <v>24</v>
      </c>
      <c r="BW56" s="20" t="s">
        <v>31</v>
      </c>
      <c r="BX56" s="20" t="s">
        <v>38</v>
      </c>
      <c r="BY56" s="7"/>
      <c r="BZ56" s="20" t="s">
        <v>484</v>
      </c>
      <c r="CA56" s="20" t="s">
        <v>524</v>
      </c>
      <c r="CB56" s="20" t="s">
        <v>665</v>
      </c>
      <c r="CC56" s="20" t="s">
        <v>666</v>
      </c>
      <c r="CD56" s="20" t="s">
        <v>667</v>
      </c>
      <c r="CE56" s="20" t="s">
        <v>1657</v>
      </c>
      <c r="CF56" s="7"/>
      <c r="CG56" s="20" t="s">
        <v>1658</v>
      </c>
      <c r="CH56" s="22" t="str">
        <f aca="false">IF(AND(ISNUMBER(BP56),ISNUMBER(AG56),AG56&gt;0),BP56*1000000/AG56,"")</f>
        <v/>
      </c>
      <c r="CI56" s="7"/>
      <c r="CJ56" s="7"/>
      <c r="CK56" s="7"/>
      <c r="CL56" s="7"/>
      <c r="CM56" s="7"/>
      <c r="CN56" s="7"/>
      <c r="CO56" s="7"/>
      <c r="CP56" s="7"/>
      <c r="CQ56" s="7"/>
      <c r="CR56" s="7"/>
      <c r="CS56" s="7"/>
    </row>
    <row r="57" customFormat="false" ht="887.3" hidden="false" customHeight="false" outlineLevel="0" collapsed="false">
      <c r="A57" s="4" t="n">
        <v>56</v>
      </c>
      <c r="B57" s="4" t="s">
        <v>451</v>
      </c>
      <c r="C57" s="4" t="s">
        <v>452</v>
      </c>
      <c r="D57" s="4" t="s">
        <v>1333</v>
      </c>
      <c r="E57" s="4" t="s">
        <v>1659</v>
      </c>
      <c r="F57" s="4" t="s">
        <v>1660</v>
      </c>
      <c r="G57" s="4" t="s">
        <v>1661</v>
      </c>
      <c r="H57" s="4" t="s">
        <v>1662</v>
      </c>
      <c r="I57" s="4" t="s">
        <v>1663</v>
      </c>
      <c r="J57" s="4" t="s">
        <v>1664</v>
      </c>
      <c r="K57" s="17"/>
      <c r="L57" s="4"/>
      <c r="M57" s="4"/>
      <c r="N57" s="4"/>
      <c r="O57" s="23" t="s">
        <v>643</v>
      </c>
      <c r="P57" s="7"/>
      <c r="Q57" s="7"/>
      <c r="R57" s="23" t="s">
        <v>1665</v>
      </c>
      <c r="S57" s="4" t="s">
        <v>1341</v>
      </c>
      <c r="T57" s="4" t="s">
        <v>1342</v>
      </c>
      <c r="U57" s="4" t="s">
        <v>1666</v>
      </c>
      <c r="V57" s="4" t="s">
        <v>1406</v>
      </c>
      <c r="W57" s="4" t="s">
        <v>1667</v>
      </c>
      <c r="X57" s="4" t="s">
        <v>1408</v>
      </c>
      <c r="Y57" s="4" t="s">
        <v>1409</v>
      </c>
      <c r="Z57" s="4" t="s">
        <v>1668</v>
      </c>
      <c r="AA57" s="7"/>
      <c r="AB57" s="4"/>
      <c r="AC57" s="4"/>
      <c r="AD57" s="4"/>
      <c r="AE57" s="18" t="s">
        <v>470</v>
      </c>
      <c r="AF57" s="4" t="s">
        <v>471</v>
      </c>
      <c r="AG57" s="4"/>
      <c r="AH57" s="4"/>
      <c r="AI57" s="4" t="s">
        <v>472</v>
      </c>
      <c r="AJ57" s="23" t="s">
        <v>1669</v>
      </c>
      <c r="AK57" s="4"/>
      <c r="AL57" s="7"/>
      <c r="AM57" s="4"/>
      <c r="AN57" s="4"/>
      <c r="AO57" s="23" t="s">
        <v>1670</v>
      </c>
      <c r="AP57" s="4"/>
      <c r="AQ57" s="7"/>
      <c r="AR57" s="4"/>
      <c r="AS57" s="4"/>
      <c r="AT57" s="4"/>
      <c r="AU57" s="4"/>
      <c r="AV57" s="23" t="s">
        <v>1671</v>
      </c>
      <c r="AW57" s="23" t="s">
        <v>1672</v>
      </c>
      <c r="AX57" s="19"/>
      <c r="AY57" s="19"/>
      <c r="AZ57" s="19"/>
      <c r="BA57" s="19"/>
      <c r="BB57" s="24" t="s">
        <v>1673</v>
      </c>
      <c r="BC57" s="4" t="s">
        <v>1674</v>
      </c>
      <c r="BD57" s="4" t="s">
        <v>1562</v>
      </c>
      <c r="BE57" s="4" t="s">
        <v>686</v>
      </c>
      <c r="BF57" s="4" t="s">
        <v>1563</v>
      </c>
      <c r="BG57" s="4" t="s">
        <v>1675</v>
      </c>
      <c r="BH57" s="4" t="s">
        <v>1676</v>
      </c>
      <c r="BI57" s="7"/>
      <c r="BJ57" s="7"/>
      <c r="BK57" s="7"/>
      <c r="BL57" s="7"/>
      <c r="BM57" s="4"/>
      <c r="BN57" s="4"/>
      <c r="BO57" s="7"/>
      <c r="BP57" s="7"/>
      <c r="BQ57" s="7"/>
      <c r="BR57" s="7"/>
      <c r="BS57" s="7"/>
      <c r="BT57" s="7"/>
      <c r="BU57" s="7"/>
      <c r="BV57" s="20" t="s">
        <v>24</v>
      </c>
      <c r="BW57" s="20" t="s">
        <v>31</v>
      </c>
      <c r="BX57" s="20" t="s">
        <v>38</v>
      </c>
      <c r="BY57" s="7"/>
      <c r="BZ57" s="20" t="s">
        <v>484</v>
      </c>
      <c r="CA57" s="20" t="s">
        <v>524</v>
      </c>
      <c r="CB57" s="20" t="s">
        <v>665</v>
      </c>
      <c r="CC57" s="20" t="s">
        <v>666</v>
      </c>
      <c r="CD57" s="20" t="s">
        <v>667</v>
      </c>
      <c r="CE57" s="20" t="s">
        <v>1677</v>
      </c>
      <c r="CF57" s="7"/>
      <c r="CG57" s="20" t="s">
        <v>1678</v>
      </c>
      <c r="CH57" s="22" t="str">
        <f aca="false">IF(AND(ISNUMBER(BP57),ISNUMBER(AG57),AG57&gt;0),BP57*1000000/AG57,"")</f>
        <v/>
      </c>
      <c r="CI57" s="7"/>
      <c r="CJ57" s="7"/>
      <c r="CK57" s="7"/>
      <c r="CL57" s="7"/>
      <c r="CM57" s="7"/>
      <c r="CN57" s="7"/>
      <c r="CO57" s="7"/>
      <c r="CP57" s="7"/>
      <c r="CQ57" s="7"/>
      <c r="CR57" s="7"/>
      <c r="CS57" s="7"/>
    </row>
    <row r="58" customFormat="false" ht="619.4" hidden="false" customHeight="false" outlineLevel="0" collapsed="false">
      <c r="A58" s="4" t="n">
        <v>57</v>
      </c>
      <c r="B58" s="4" t="s">
        <v>451</v>
      </c>
      <c r="C58" s="4" t="s">
        <v>452</v>
      </c>
      <c r="D58" s="4" t="s">
        <v>1333</v>
      </c>
      <c r="E58" s="4" t="s">
        <v>1679</v>
      </c>
      <c r="F58" s="4" t="s">
        <v>1680</v>
      </c>
      <c r="G58" s="4" t="s">
        <v>1681</v>
      </c>
      <c r="H58" s="4" t="s">
        <v>1682</v>
      </c>
      <c r="I58" s="4" t="s">
        <v>1683</v>
      </c>
      <c r="J58" s="4" t="s">
        <v>1684</v>
      </c>
      <c r="K58" s="17"/>
      <c r="L58" s="4"/>
      <c r="M58" s="4"/>
      <c r="N58" s="4"/>
      <c r="O58" s="23" t="s">
        <v>643</v>
      </c>
      <c r="P58" s="7"/>
      <c r="Q58" s="7"/>
      <c r="R58" s="23" t="s">
        <v>1685</v>
      </c>
      <c r="S58" s="4" t="s">
        <v>1341</v>
      </c>
      <c r="T58" s="4" t="s">
        <v>1342</v>
      </c>
      <c r="U58" s="4" t="s">
        <v>1686</v>
      </c>
      <c r="V58" s="4" t="s">
        <v>498</v>
      </c>
      <c r="W58" s="4"/>
      <c r="X58" s="4" t="s">
        <v>499</v>
      </c>
      <c r="Y58" s="4"/>
      <c r="Z58" s="23" t="s">
        <v>1687</v>
      </c>
      <c r="AA58" s="7"/>
      <c r="AB58" s="4"/>
      <c r="AC58" s="4"/>
      <c r="AD58" s="4"/>
      <c r="AE58" s="18" t="s">
        <v>470</v>
      </c>
      <c r="AF58" s="4" t="s">
        <v>471</v>
      </c>
      <c r="AG58" s="4"/>
      <c r="AH58" s="4"/>
      <c r="AI58" s="4" t="s">
        <v>472</v>
      </c>
      <c r="AJ58" s="23" t="s">
        <v>1688</v>
      </c>
      <c r="AK58" s="4"/>
      <c r="AL58" s="7"/>
      <c r="AM58" s="4"/>
      <c r="AN58" s="4"/>
      <c r="AO58" s="23" t="s">
        <v>1689</v>
      </c>
      <c r="AP58" s="4"/>
      <c r="AQ58" s="7"/>
      <c r="AR58" s="4"/>
      <c r="AS58" s="4"/>
      <c r="AT58" s="4"/>
      <c r="AU58" s="4"/>
      <c r="AV58" s="23" t="s">
        <v>1690</v>
      </c>
      <c r="AW58" s="23" t="s">
        <v>1691</v>
      </c>
      <c r="AX58" s="19"/>
      <c r="AY58" s="19"/>
      <c r="AZ58" s="19"/>
      <c r="BA58" s="19"/>
      <c r="BB58" s="24" t="s">
        <v>1692</v>
      </c>
      <c r="BC58" s="4" t="s">
        <v>1693</v>
      </c>
      <c r="BD58" s="4" t="s">
        <v>685</v>
      </c>
      <c r="BE58" s="4" t="s">
        <v>686</v>
      </c>
      <c r="BF58" s="4" t="s">
        <v>687</v>
      </c>
      <c r="BG58" s="4" t="s">
        <v>1694</v>
      </c>
      <c r="BH58" s="4" t="s">
        <v>1695</v>
      </c>
      <c r="BI58" s="7"/>
      <c r="BJ58" s="7"/>
      <c r="BK58" s="7"/>
      <c r="BL58" s="7"/>
      <c r="BM58" s="4"/>
      <c r="BN58" s="4"/>
      <c r="BO58" s="7"/>
      <c r="BP58" s="7"/>
      <c r="BQ58" s="7"/>
      <c r="BR58" s="7"/>
      <c r="BS58" s="7"/>
      <c r="BT58" s="7"/>
      <c r="BU58" s="7"/>
      <c r="BV58" s="20" t="s">
        <v>24</v>
      </c>
      <c r="BW58" s="20" t="s">
        <v>31</v>
      </c>
      <c r="BX58" s="20" t="s">
        <v>38</v>
      </c>
      <c r="BY58" s="7"/>
      <c r="BZ58" s="20" t="s">
        <v>484</v>
      </c>
      <c r="CA58" s="20" t="s">
        <v>713</v>
      </c>
      <c r="CB58" s="20" t="s">
        <v>665</v>
      </c>
      <c r="CC58" s="20" t="s">
        <v>666</v>
      </c>
      <c r="CD58" s="20" t="s">
        <v>667</v>
      </c>
      <c r="CE58" s="20" t="s">
        <v>1696</v>
      </c>
      <c r="CF58" s="7"/>
      <c r="CG58" s="20" t="s">
        <v>1697</v>
      </c>
      <c r="CH58" s="22" t="str">
        <f aca="false">IF(AND(ISNUMBER(BP58),ISNUMBER(AG58),AG58&gt;0),BP58*1000000/AG58,"")</f>
        <v/>
      </c>
      <c r="CI58" s="7"/>
      <c r="CJ58" s="7"/>
      <c r="CK58" s="7"/>
      <c r="CL58" s="7"/>
      <c r="CM58" s="7"/>
      <c r="CN58" s="7"/>
      <c r="CO58" s="7"/>
      <c r="CP58" s="7"/>
      <c r="CQ58" s="7"/>
      <c r="CR58" s="7"/>
      <c r="CS58" s="7"/>
    </row>
    <row r="59" customFormat="false" ht="793.25" hidden="false" customHeight="false" outlineLevel="0" collapsed="false">
      <c r="A59" s="4" t="n">
        <v>58</v>
      </c>
      <c r="B59" s="4" t="s">
        <v>451</v>
      </c>
      <c r="C59" s="4" t="s">
        <v>452</v>
      </c>
      <c r="D59" s="4" t="s">
        <v>1333</v>
      </c>
      <c r="E59" s="4" t="s">
        <v>1698</v>
      </c>
      <c r="F59" s="4" t="s">
        <v>1699</v>
      </c>
      <c r="G59" s="4" t="s">
        <v>1700</v>
      </c>
      <c r="H59" s="4" t="s">
        <v>1701</v>
      </c>
      <c r="I59" s="4" t="s">
        <v>1702</v>
      </c>
      <c r="J59" s="4" t="s">
        <v>1703</v>
      </c>
      <c r="K59" s="17"/>
      <c r="L59" s="4"/>
      <c r="M59" s="4"/>
      <c r="N59" s="4"/>
      <c r="O59" s="23" t="s">
        <v>643</v>
      </c>
      <c r="P59" s="7"/>
      <c r="Q59" s="7"/>
      <c r="R59" s="23" t="s">
        <v>1704</v>
      </c>
      <c r="S59" s="4" t="s">
        <v>1341</v>
      </c>
      <c r="T59" s="4" t="s">
        <v>1342</v>
      </c>
      <c r="U59" s="4" t="s">
        <v>1705</v>
      </c>
      <c r="V59" s="4" t="s">
        <v>498</v>
      </c>
      <c r="W59" s="4"/>
      <c r="X59" s="4" t="s">
        <v>499</v>
      </c>
      <c r="Y59" s="4"/>
      <c r="Z59" s="23" t="s">
        <v>1706</v>
      </c>
      <c r="AA59" s="7"/>
      <c r="AB59" s="4"/>
      <c r="AC59" s="4"/>
      <c r="AD59" s="4"/>
      <c r="AE59" s="18" t="s">
        <v>470</v>
      </c>
      <c r="AF59" s="4" t="s">
        <v>471</v>
      </c>
      <c r="AG59" s="4"/>
      <c r="AH59" s="4"/>
      <c r="AI59" s="4" t="s">
        <v>472</v>
      </c>
      <c r="AJ59" s="23" t="s">
        <v>1707</v>
      </c>
      <c r="AK59" s="4"/>
      <c r="AL59" s="7"/>
      <c r="AM59" s="4"/>
      <c r="AN59" s="4"/>
      <c r="AO59" s="23" t="s">
        <v>1708</v>
      </c>
      <c r="AP59" s="4"/>
      <c r="AQ59" s="7"/>
      <c r="AR59" s="4"/>
      <c r="AS59" s="4"/>
      <c r="AT59" s="4"/>
      <c r="AU59" s="4"/>
      <c r="AV59" s="23" t="s">
        <v>1709</v>
      </c>
      <c r="AW59" s="23" t="s">
        <v>1710</v>
      </c>
      <c r="AX59" s="19"/>
      <c r="AY59" s="19"/>
      <c r="AZ59" s="19"/>
      <c r="BA59" s="19"/>
      <c r="BB59" s="24" t="s">
        <v>1711</v>
      </c>
      <c r="BC59" s="4" t="s">
        <v>1712</v>
      </c>
      <c r="BD59" s="4" t="s">
        <v>685</v>
      </c>
      <c r="BE59" s="4" t="s">
        <v>686</v>
      </c>
      <c r="BF59" s="4" t="s">
        <v>687</v>
      </c>
      <c r="BG59" s="4" t="s">
        <v>1713</v>
      </c>
      <c r="BH59" s="4" t="s">
        <v>1714</v>
      </c>
      <c r="BI59" s="7"/>
      <c r="BJ59" s="7"/>
      <c r="BK59" s="7"/>
      <c r="BL59" s="7"/>
      <c r="BM59" s="4"/>
      <c r="BN59" s="4"/>
      <c r="BO59" s="7"/>
      <c r="BP59" s="7"/>
      <c r="BQ59" s="7"/>
      <c r="BR59" s="7"/>
      <c r="BS59" s="7"/>
      <c r="BT59" s="7"/>
      <c r="BU59" s="7"/>
      <c r="BV59" s="20" t="s">
        <v>24</v>
      </c>
      <c r="BW59" s="20" t="s">
        <v>31</v>
      </c>
      <c r="BX59" s="20" t="s">
        <v>38</v>
      </c>
      <c r="BY59" s="7"/>
      <c r="BZ59" s="20" t="s">
        <v>484</v>
      </c>
      <c r="CA59" s="20" t="s">
        <v>713</v>
      </c>
      <c r="CB59" s="20" t="s">
        <v>665</v>
      </c>
      <c r="CC59" s="20" t="s">
        <v>666</v>
      </c>
      <c r="CD59" s="20" t="s">
        <v>667</v>
      </c>
      <c r="CE59" s="20" t="s">
        <v>1715</v>
      </c>
      <c r="CF59" s="7"/>
      <c r="CG59" s="20" t="s">
        <v>1716</v>
      </c>
      <c r="CH59" s="22" t="str">
        <f aca="false">IF(AND(ISNUMBER(BP59),ISNUMBER(AG59),AG59&gt;0),BP59*1000000/AG59,"")</f>
        <v/>
      </c>
      <c r="CI59" s="7"/>
      <c r="CJ59" s="7"/>
      <c r="CK59" s="7"/>
      <c r="CL59" s="7"/>
      <c r="CM59" s="7"/>
      <c r="CN59" s="7"/>
      <c r="CO59" s="7"/>
      <c r="CP59" s="7"/>
      <c r="CQ59" s="7"/>
      <c r="CR59" s="7"/>
      <c r="CS59" s="7"/>
    </row>
    <row r="60" customFormat="false" ht="927.6" hidden="false" customHeight="false" outlineLevel="0" collapsed="false">
      <c r="A60" s="4" t="n">
        <v>59</v>
      </c>
      <c r="B60" s="4" t="s">
        <v>451</v>
      </c>
      <c r="C60" s="4" t="s">
        <v>452</v>
      </c>
      <c r="D60" s="4" t="s">
        <v>1333</v>
      </c>
      <c r="E60" s="4" t="s">
        <v>1717</v>
      </c>
      <c r="F60" s="4" t="s">
        <v>1718</v>
      </c>
      <c r="G60" s="4" t="s">
        <v>1719</v>
      </c>
      <c r="H60" s="23" t="s">
        <v>1720</v>
      </c>
      <c r="I60" s="4" t="s">
        <v>1721</v>
      </c>
      <c r="J60" s="4" t="s">
        <v>1722</v>
      </c>
      <c r="K60" s="17"/>
      <c r="L60" s="4"/>
      <c r="M60" s="4"/>
      <c r="N60" s="4"/>
      <c r="O60" s="23" t="s">
        <v>1723</v>
      </c>
      <c r="P60" s="7"/>
      <c r="Q60" s="7"/>
      <c r="R60" s="23" t="s">
        <v>1724</v>
      </c>
      <c r="S60" s="4" t="s">
        <v>1341</v>
      </c>
      <c r="T60" s="23" t="s">
        <v>1725</v>
      </c>
      <c r="U60" s="23" t="s">
        <v>1726</v>
      </c>
      <c r="V60" s="4" t="s">
        <v>498</v>
      </c>
      <c r="W60" s="4"/>
      <c r="X60" s="4" t="s">
        <v>499</v>
      </c>
      <c r="Y60" s="4"/>
      <c r="Z60" s="23" t="s">
        <v>1727</v>
      </c>
      <c r="AA60" s="20" t="n">
        <v>0.2</v>
      </c>
      <c r="AB60" s="23" t="s">
        <v>1728</v>
      </c>
      <c r="AC60" s="23" t="s">
        <v>1729</v>
      </c>
      <c r="AD60" s="23" t="s">
        <v>1730</v>
      </c>
      <c r="AE60" s="18" t="s">
        <v>470</v>
      </c>
      <c r="AF60" s="4" t="s">
        <v>471</v>
      </c>
      <c r="AG60" s="4"/>
      <c r="AH60" s="4"/>
      <c r="AI60" s="4" t="s">
        <v>472</v>
      </c>
      <c r="AJ60" s="4" t="s">
        <v>473</v>
      </c>
      <c r="AK60" s="4"/>
      <c r="AL60" s="7"/>
      <c r="AM60" s="4"/>
      <c r="AN60" s="4"/>
      <c r="AO60" s="4" t="s">
        <v>474</v>
      </c>
      <c r="AP60" s="4"/>
      <c r="AQ60" s="7"/>
      <c r="AR60" s="4"/>
      <c r="AS60" s="4"/>
      <c r="AT60" s="4"/>
      <c r="AU60" s="4"/>
      <c r="AV60" s="4" t="s">
        <v>475</v>
      </c>
      <c r="AW60" s="23" t="s">
        <v>1731</v>
      </c>
      <c r="AX60" s="19"/>
      <c r="AY60" s="19"/>
      <c r="AZ60" s="19"/>
      <c r="BA60" s="19"/>
      <c r="BB60" s="24" t="s">
        <v>1732</v>
      </c>
      <c r="BC60" s="4" t="s">
        <v>1733</v>
      </c>
      <c r="BD60" s="4" t="s">
        <v>1562</v>
      </c>
      <c r="BE60" s="4" t="s">
        <v>686</v>
      </c>
      <c r="BF60" s="4" t="s">
        <v>1563</v>
      </c>
      <c r="BG60" s="4" t="s">
        <v>1734</v>
      </c>
      <c r="BH60" s="4" t="s">
        <v>1735</v>
      </c>
      <c r="BI60" s="7"/>
      <c r="BJ60" s="7"/>
      <c r="BK60" s="7"/>
      <c r="BL60" s="7"/>
      <c r="BM60" s="4"/>
      <c r="BN60" s="4"/>
      <c r="BO60" s="7"/>
      <c r="BP60" s="7"/>
      <c r="BQ60" s="7"/>
      <c r="BR60" s="7"/>
      <c r="BS60" s="7"/>
      <c r="BT60" s="7"/>
      <c r="BU60" s="7"/>
      <c r="BV60" s="20" t="s">
        <v>24</v>
      </c>
      <c r="BW60" s="20" t="s">
        <v>31</v>
      </c>
      <c r="BX60" s="20" t="s">
        <v>38</v>
      </c>
      <c r="BY60" s="7"/>
      <c r="BZ60" s="20" t="s">
        <v>484</v>
      </c>
      <c r="CA60" s="20" t="s">
        <v>524</v>
      </c>
      <c r="CB60" s="20" t="s">
        <v>665</v>
      </c>
      <c r="CC60" s="20" t="s">
        <v>666</v>
      </c>
      <c r="CD60" s="20" t="s">
        <v>667</v>
      </c>
      <c r="CE60" s="20" t="s">
        <v>1736</v>
      </c>
      <c r="CF60" s="7"/>
      <c r="CG60" s="20" t="s">
        <v>1737</v>
      </c>
      <c r="CH60" s="22" t="str">
        <f aca="false">IF(AND(ISNUMBER(BP60),ISNUMBER(AG60),AG60&gt;0),BP60*1000000/AG60,"")</f>
        <v/>
      </c>
      <c r="CI60" s="7"/>
      <c r="CJ60" s="7"/>
      <c r="CK60" s="7"/>
      <c r="CL60" s="7"/>
      <c r="CM60" s="7"/>
      <c r="CN60" s="7"/>
      <c r="CO60" s="7"/>
      <c r="CP60" s="7"/>
      <c r="CQ60" s="7"/>
      <c r="CR60" s="7"/>
      <c r="CS60" s="7"/>
    </row>
    <row r="61" customFormat="false" ht="1155.95" hidden="false" customHeight="false" outlineLevel="0" collapsed="false">
      <c r="A61" s="4" t="n">
        <v>60</v>
      </c>
      <c r="B61" s="4" t="s">
        <v>451</v>
      </c>
      <c r="C61" s="4" t="s">
        <v>452</v>
      </c>
      <c r="D61" s="4" t="s">
        <v>1333</v>
      </c>
      <c r="E61" s="4" t="s">
        <v>1738</v>
      </c>
      <c r="F61" s="4" t="s">
        <v>1739</v>
      </c>
      <c r="G61" s="4" t="s">
        <v>1740</v>
      </c>
      <c r="H61" s="4" t="s">
        <v>1741</v>
      </c>
      <c r="I61" s="4" t="s">
        <v>1742</v>
      </c>
      <c r="J61" s="4" t="s">
        <v>1743</v>
      </c>
      <c r="K61" s="17"/>
      <c r="L61" s="4"/>
      <c r="M61" s="4"/>
      <c r="N61" s="4"/>
      <c r="O61" s="23" t="s">
        <v>1723</v>
      </c>
      <c r="P61" s="7"/>
      <c r="Q61" s="7"/>
      <c r="R61" s="23" t="s">
        <v>1744</v>
      </c>
      <c r="S61" s="4" t="s">
        <v>1341</v>
      </c>
      <c r="T61" s="4" t="s">
        <v>1342</v>
      </c>
      <c r="U61" s="23" t="s">
        <v>1745</v>
      </c>
      <c r="V61" s="4" t="s">
        <v>498</v>
      </c>
      <c r="W61" s="4"/>
      <c r="X61" s="4" t="s">
        <v>499</v>
      </c>
      <c r="Y61" s="4"/>
      <c r="Z61" s="23" t="s">
        <v>1746</v>
      </c>
      <c r="AA61" s="20" t="n">
        <v>4.78125</v>
      </c>
      <c r="AB61" s="23" t="s">
        <v>1747</v>
      </c>
      <c r="AC61" s="23" t="s">
        <v>1748</v>
      </c>
      <c r="AD61" s="23" t="s">
        <v>1749</v>
      </c>
      <c r="AE61" s="18" t="s">
        <v>470</v>
      </c>
      <c r="AF61" s="4" t="s">
        <v>471</v>
      </c>
      <c r="AG61" s="4"/>
      <c r="AH61" s="4"/>
      <c r="AI61" s="4" t="s">
        <v>472</v>
      </c>
      <c r="AJ61" s="4" t="s">
        <v>473</v>
      </c>
      <c r="AK61" s="4"/>
      <c r="AL61" s="7"/>
      <c r="AM61" s="4"/>
      <c r="AN61" s="4"/>
      <c r="AO61" s="4" t="s">
        <v>474</v>
      </c>
      <c r="AP61" s="4"/>
      <c r="AQ61" s="7"/>
      <c r="AR61" s="4"/>
      <c r="AS61" s="4"/>
      <c r="AT61" s="4"/>
      <c r="AU61" s="4"/>
      <c r="AV61" s="4" t="s">
        <v>475</v>
      </c>
      <c r="AW61" s="23" t="s">
        <v>1750</v>
      </c>
      <c r="AX61" s="19"/>
      <c r="AY61" s="19"/>
      <c r="AZ61" s="19"/>
      <c r="BA61" s="19"/>
      <c r="BB61" s="24" t="s">
        <v>1751</v>
      </c>
      <c r="BC61" s="4" t="s">
        <v>1752</v>
      </c>
      <c r="BD61" s="4" t="s">
        <v>1562</v>
      </c>
      <c r="BE61" s="4" t="s">
        <v>686</v>
      </c>
      <c r="BF61" s="4" t="s">
        <v>1563</v>
      </c>
      <c r="BG61" s="4" t="s">
        <v>1753</v>
      </c>
      <c r="BH61" s="4" t="s">
        <v>1754</v>
      </c>
      <c r="BI61" s="7"/>
      <c r="BJ61" s="7"/>
      <c r="BK61" s="7"/>
      <c r="BL61" s="7"/>
      <c r="BM61" s="4"/>
      <c r="BN61" s="4"/>
      <c r="BO61" s="7"/>
      <c r="BP61" s="7"/>
      <c r="BQ61" s="7"/>
      <c r="BR61" s="7"/>
      <c r="BS61" s="7"/>
      <c r="BT61" s="7"/>
      <c r="BU61" s="7"/>
      <c r="BV61" s="20" t="s">
        <v>24</v>
      </c>
      <c r="BW61" s="20" t="s">
        <v>31</v>
      </c>
      <c r="BX61" s="20" t="s">
        <v>38</v>
      </c>
      <c r="BY61" s="7"/>
      <c r="BZ61" s="20" t="s">
        <v>484</v>
      </c>
      <c r="CA61" s="20" t="s">
        <v>524</v>
      </c>
      <c r="CB61" s="20" t="s">
        <v>665</v>
      </c>
      <c r="CC61" s="20" t="s">
        <v>666</v>
      </c>
      <c r="CD61" s="20" t="s">
        <v>667</v>
      </c>
      <c r="CE61" s="20" t="s">
        <v>1755</v>
      </c>
      <c r="CF61" s="7"/>
      <c r="CG61" s="20" t="s">
        <v>1756</v>
      </c>
      <c r="CH61" s="22" t="str">
        <f aca="false">IF(AND(ISNUMBER(BP61),ISNUMBER(AG61),AG61&gt;0),BP61*1000000/AG61,"")</f>
        <v/>
      </c>
      <c r="CI61" s="7"/>
      <c r="CJ61" s="7"/>
      <c r="CK61" s="7"/>
      <c r="CL61" s="7"/>
      <c r="CM61" s="7"/>
      <c r="CN61" s="7"/>
      <c r="CO61" s="7"/>
      <c r="CP61" s="7"/>
      <c r="CQ61" s="7"/>
      <c r="CR61" s="7"/>
      <c r="CS61" s="7"/>
    </row>
    <row r="62" customFormat="false" ht="659.7" hidden="false" customHeight="false" outlineLevel="0" collapsed="false">
      <c r="A62" s="4" t="n">
        <v>61</v>
      </c>
      <c r="B62" s="4" t="s">
        <v>451</v>
      </c>
      <c r="C62" s="4" t="s">
        <v>452</v>
      </c>
      <c r="D62" s="4" t="s">
        <v>1333</v>
      </c>
      <c r="E62" s="4" t="s">
        <v>1757</v>
      </c>
      <c r="F62" s="4" t="s">
        <v>1758</v>
      </c>
      <c r="G62" s="4" t="s">
        <v>1759</v>
      </c>
      <c r="H62" s="4" t="s">
        <v>1760</v>
      </c>
      <c r="I62" s="4" t="s">
        <v>1761</v>
      </c>
      <c r="J62" s="4" t="s">
        <v>1762</v>
      </c>
      <c r="K62" s="17"/>
      <c r="L62" s="4"/>
      <c r="M62" s="4"/>
      <c r="N62" s="4"/>
      <c r="O62" s="23" t="s">
        <v>643</v>
      </c>
      <c r="P62" s="7"/>
      <c r="Q62" s="7"/>
      <c r="R62" s="23" t="s">
        <v>1763</v>
      </c>
      <c r="S62" s="4" t="s">
        <v>1341</v>
      </c>
      <c r="T62" s="4" t="s">
        <v>1342</v>
      </c>
      <c r="U62" s="4" t="s">
        <v>1764</v>
      </c>
      <c r="V62" s="4" t="s">
        <v>498</v>
      </c>
      <c r="W62" s="4"/>
      <c r="X62" s="4" t="s">
        <v>499</v>
      </c>
      <c r="Y62" s="4"/>
      <c r="Z62" s="23" t="s">
        <v>1765</v>
      </c>
      <c r="AA62" s="7"/>
      <c r="AB62" s="4"/>
      <c r="AC62" s="4"/>
      <c r="AD62" s="4"/>
      <c r="AE62" s="18" t="s">
        <v>470</v>
      </c>
      <c r="AF62" s="4" t="s">
        <v>471</v>
      </c>
      <c r="AG62" s="4"/>
      <c r="AH62" s="4"/>
      <c r="AI62" s="4" t="s">
        <v>472</v>
      </c>
      <c r="AJ62" s="23" t="s">
        <v>1766</v>
      </c>
      <c r="AK62" s="4"/>
      <c r="AL62" s="7"/>
      <c r="AM62" s="4"/>
      <c r="AN62" s="4"/>
      <c r="AO62" s="23" t="s">
        <v>1767</v>
      </c>
      <c r="AP62" s="4"/>
      <c r="AQ62" s="7"/>
      <c r="AR62" s="4"/>
      <c r="AS62" s="4"/>
      <c r="AT62" s="4"/>
      <c r="AU62" s="4"/>
      <c r="AV62" s="23" t="s">
        <v>1768</v>
      </c>
      <c r="AW62" s="23" t="s">
        <v>1769</v>
      </c>
      <c r="AX62" s="19"/>
      <c r="AY62" s="19"/>
      <c r="AZ62" s="19"/>
      <c r="BA62" s="19"/>
      <c r="BB62" s="24" t="s">
        <v>1770</v>
      </c>
      <c r="BC62" s="4" t="s">
        <v>1771</v>
      </c>
      <c r="BD62" s="4" t="s">
        <v>1562</v>
      </c>
      <c r="BE62" s="4" t="s">
        <v>686</v>
      </c>
      <c r="BF62" s="4" t="s">
        <v>1563</v>
      </c>
      <c r="BG62" s="4" t="s">
        <v>1772</v>
      </c>
      <c r="BH62" s="4" t="s">
        <v>1773</v>
      </c>
      <c r="BI62" s="7"/>
      <c r="BJ62" s="7"/>
      <c r="BK62" s="7"/>
      <c r="BL62" s="7"/>
      <c r="BM62" s="4"/>
      <c r="BN62" s="4"/>
      <c r="BO62" s="7"/>
      <c r="BP62" s="7"/>
      <c r="BQ62" s="7"/>
      <c r="BR62" s="7"/>
      <c r="BS62" s="7"/>
      <c r="BT62" s="7"/>
      <c r="BU62" s="7"/>
      <c r="BV62" s="20" t="s">
        <v>24</v>
      </c>
      <c r="BW62" s="20" t="s">
        <v>31</v>
      </c>
      <c r="BX62" s="20" t="s">
        <v>38</v>
      </c>
      <c r="BY62" s="7"/>
      <c r="BZ62" s="20" t="s">
        <v>484</v>
      </c>
      <c r="CA62" s="20" t="s">
        <v>713</v>
      </c>
      <c r="CB62" s="20" t="s">
        <v>665</v>
      </c>
      <c r="CC62" s="20" t="s">
        <v>666</v>
      </c>
      <c r="CD62" s="20" t="s">
        <v>667</v>
      </c>
      <c r="CE62" s="20" t="s">
        <v>1774</v>
      </c>
      <c r="CF62" s="7"/>
      <c r="CG62" s="20" t="s">
        <v>1775</v>
      </c>
      <c r="CH62" s="22" t="str">
        <f aca="false">IF(AND(ISNUMBER(BP62),ISNUMBER(AG62),AG62&gt;0),BP62*1000000/AG62,"")</f>
        <v/>
      </c>
      <c r="CI62" s="7"/>
      <c r="CJ62" s="7"/>
      <c r="CK62" s="7"/>
      <c r="CL62" s="7"/>
      <c r="CM62" s="7"/>
      <c r="CN62" s="7"/>
      <c r="CO62" s="7"/>
      <c r="CP62" s="7"/>
      <c r="CQ62" s="7"/>
      <c r="CR62" s="7"/>
      <c r="CS62" s="7"/>
    </row>
    <row r="63" customFormat="false" ht="498.5" hidden="false" customHeight="false" outlineLevel="0" collapsed="false">
      <c r="A63" s="4" t="n">
        <v>62</v>
      </c>
      <c r="B63" s="4" t="s">
        <v>451</v>
      </c>
      <c r="C63" s="4" t="s">
        <v>452</v>
      </c>
      <c r="D63" s="4" t="s">
        <v>1333</v>
      </c>
      <c r="E63" s="4" t="s">
        <v>1776</v>
      </c>
      <c r="F63" s="4" t="s">
        <v>693</v>
      </c>
      <c r="G63" s="4" t="s">
        <v>1777</v>
      </c>
      <c r="H63" s="4" t="s">
        <v>1778</v>
      </c>
      <c r="I63" s="4" t="s">
        <v>1779</v>
      </c>
      <c r="J63" s="4" t="s">
        <v>1780</v>
      </c>
      <c r="K63" s="17"/>
      <c r="L63" s="4"/>
      <c r="M63" s="4"/>
      <c r="N63" s="4"/>
      <c r="O63" s="23" t="s">
        <v>643</v>
      </c>
      <c r="P63" s="7"/>
      <c r="Q63" s="7"/>
      <c r="R63" s="23" t="s">
        <v>1781</v>
      </c>
      <c r="S63" s="4" t="s">
        <v>1341</v>
      </c>
      <c r="T63" s="4" t="s">
        <v>1342</v>
      </c>
      <c r="U63" s="4" t="s">
        <v>1782</v>
      </c>
      <c r="V63" s="4" t="s">
        <v>498</v>
      </c>
      <c r="W63" s="4"/>
      <c r="X63" s="4" t="s">
        <v>499</v>
      </c>
      <c r="Y63" s="4"/>
      <c r="Z63" s="23" t="s">
        <v>1783</v>
      </c>
      <c r="AA63" s="7"/>
      <c r="AB63" s="4"/>
      <c r="AC63" s="4"/>
      <c r="AD63" s="4"/>
      <c r="AE63" s="18" t="s">
        <v>470</v>
      </c>
      <c r="AF63" s="4" t="s">
        <v>471</v>
      </c>
      <c r="AG63" s="4"/>
      <c r="AH63" s="4"/>
      <c r="AI63" s="4" t="s">
        <v>472</v>
      </c>
      <c r="AJ63" s="23" t="s">
        <v>1784</v>
      </c>
      <c r="AK63" s="4"/>
      <c r="AL63" s="7"/>
      <c r="AM63" s="4"/>
      <c r="AN63" s="4"/>
      <c r="AO63" s="23" t="s">
        <v>1785</v>
      </c>
      <c r="AP63" s="4"/>
      <c r="AQ63" s="7"/>
      <c r="AR63" s="4"/>
      <c r="AS63" s="4"/>
      <c r="AT63" s="4"/>
      <c r="AU63" s="4"/>
      <c r="AV63" s="23" t="s">
        <v>1786</v>
      </c>
      <c r="AW63" s="23" t="s">
        <v>1787</v>
      </c>
      <c r="AX63" s="19"/>
      <c r="AY63" s="19"/>
      <c r="AZ63" s="19"/>
      <c r="BA63" s="19"/>
      <c r="BB63" s="24" t="s">
        <v>1788</v>
      </c>
      <c r="BC63" s="4" t="s">
        <v>1789</v>
      </c>
      <c r="BD63" s="4" t="s">
        <v>685</v>
      </c>
      <c r="BE63" s="4" t="s">
        <v>686</v>
      </c>
      <c r="BF63" s="4" t="s">
        <v>687</v>
      </c>
      <c r="BG63" s="4" t="s">
        <v>1790</v>
      </c>
      <c r="BH63" s="4" t="s">
        <v>1791</v>
      </c>
      <c r="BI63" s="7"/>
      <c r="BJ63" s="7"/>
      <c r="BK63" s="7"/>
      <c r="BL63" s="7"/>
      <c r="BM63" s="4"/>
      <c r="BN63" s="4"/>
      <c r="BO63" s="7"/>
      <c r="BP63" s="7"/>
      <c r="BQ63" s="7"/>
      <c r="BR63" s="7"/>
      <c r="BS63" s="7"/>
      <c r="BT63" s="7"/>
      <c r="BU63" s="7"/>
      <c r="BV63" s="20" t="s">
        <v>24</v>
      </c>
      <c r="BW63" s="20" t="s">
        <v>31</v>
      </c>
      <c r="BX63" s="20" t="s">
        <v>38</v>
      </c>
      <c r="BY63" s="7"/>
      <c r="BZ63" s="20" t="s">
        <v>484</v>
      </c>
      <c r="CA63" s="20" t="s">
        <v>713</v>
      </c>
      <c r="CB63" s="20" t="s">
        <v>665</v>
      </c>
      <c r="CC63" s="20" t="s">
        <v>666</v>
      </c>
      <c r="CD63" s="20" t="s">
        <v>667</v>
      </c>
      <c r="CE63" s="20" t="s">
        <v>1792</v>
      </c>
      <c r="CF63" s="7"/>
      <c r="CG63" s="20" t="s">
        <v>1793</v>
      </c>
      <c r="CH63" s="22" t="str">
        <f aca="false">IF(AND(ISNUMBER(BP63),ISNUMBER(AG63),AG63&gt;0),BP63*1000000/AG63,"")</f>
        <v/>
      </c>
      <c r="CI63" s="7"/>
      <c r="CJ63" s="7"/>
      <c r="CK63" s="7"/>
      <c r="CL63" s="7"/>
      <c r="CM63" s="7"/>
      <c r="CN63" s="7"/>
      <c r="CO63" s="7"/>
      <c r="CP63" s="7"/>
      <c r="CQ63" s="7"/>
      <c r="CR63" s="7"/>
      <c r="CS63" s="7"/>
    </row>
    <row r="64" customFormat="false" ht="887.3" hidden="false" customHeight="false" outlineLevel="0" collapsed="false">
      <c r="A64" s="4" t="n">
        <v>63</v>
      </c>
      <c r="B64" s="4" t="s">
        <v>451</v>
      </c>
      <c r="C64" s="4" t="s">
        <v>452</v>
      </c>
      <c r="D64" s="4" t="s">
        <v>1333</v>
      </c>
      <c r="E64" s="4" t="s">
        <v>1794</v>
      </c>
      <c r="F64" s="4" t="s">
        <v>1795</v>
      </c>
      <c r="G64" s="4" t="s">
        <v>1796</v>
      </c>
      <c r="H64" s="4" t="s">
        <v>1797</v>
      </c>
      <c r="I64" s="4" t="s">
        <v>1798</v>
      </c>
      <c r="J64" s="4" t="s">
        <v>1799</v>
      </c>
      <c r="K64" s="17"/>
      <c r="L64" s="4"/>
      <c r="M64" s="4"/>
      <c r="N64" s="4"/>
      <c r="O64" s="23" t="s">
        <v>643</v>
      </c>
      <c r="P64" s="7"/>
      <c r="Q64" s="7"/>
      <c r="R64" s="23" t="s">
        <v>1800</v>
      </c>
      <c r="S64" s="4" t="s">
        <v>1341</v>
      </c>
      <c r="T64" s="4" t="s">
        <v>1342</v>
      </c>
      <c r="U64" s="4" t="s">
        <v>1801</v>
      </c>
      <c r="V64" s="4" t="s">
        <v>498</v>
      </c>
      <c r="W64" s="4"/>
      <c r="X64" s="4" t="s">
        <v>499</v>
      </c>
      <c r="Y64" s="4"/>
      <c r="Z64" s="23" t="s">
        <v>1802</v>
      </c>
      <c r="AA64" s="7"/>
      <c r="AB64" s="4"/>
      <c r="AC64" s="4"/>
      <c r="AD64" s="4"/>
      <c r="AE64" s="18" t="s">
        <v>470</v>
      </c>
      <c r="AF64" s="4" t="s">
        <v>471</v>
      </c>
      <c r="AG64" s="4"/>
      <c r="AH64" s="4"/>
      <c r="AI64" s="4" t="s">
        <v>472</v>
      </c>
      <c r="AJ64" s="23" t="s">
        <v>1803</v>
      </c>
      <c r="AK64" s="4"/>
      <c r="AL64" s="7"/>
      <c r="AM64" s="4"/>
      <c r="AN64" s="4"/>
      <c r="AO64" s="23" t="s">
        <v>1804</v>
      </c>
      <c r="AP64" s="4"/>
      <c r="AQ64" s="7"/>
      <c r="AR64" s="4"/>
      <c r="AS64" s="4"/>
      <c r="AT64" s="4"/>
      <c r="AU64" s="4"/>
      <c r="AV64" s="23" t="s">
        <v>1805</v>
      </c>
      <c r="AW64" s="23" t="s">
        <v>1806</v>
      </c>
      <c r="AX64" s="19"/>
      <c r="AY64" s="19"/>
      <c r="AZ64" s="19"/>
      <c r="BA64" s="19"/>
      <c r="BB64" s="24" t="s">
        <v>1807</v>
      </c>
      <c r="BC64" s="4" t="s">
        <v>1808</v>
      </c>
      <c r="BD64" s="4" t="s">
        <v>1809</v>
      </c>
      <c r="BE64" s="4" t="s">
        <v>1810</v>
      </c>
      <c r="BF64" s="4" t="s">
        <v>1811</v>
      </c>
      <c r="BG64" s="4" t="s">
        <v>1812</v>
      </c>
      <c r="BH64" s="4" t="s">
        <v>1813</v>
      </c>
      <c r="BI64" s="7"/>
      <c r="BJ64" s="7"/>
      <c r="BK64" s="7"/>
      <c r="BL64" s="7"/>
      <c r="BM64" s="4"/>
      <c r="BN64" s="4"/>
      <c r="BO64" s="7"/>
      <c r="BP64" s="7"/>
      <c r="BQ64" s="7"/>
      <c r="BR64" s="7"/>
      <c r="BS64" s="7"/>
      <c r="BT64" s="7"/>
      <c r="BU64" s="7"/>
      <c r="BV64" s="20" t="s">
        <v>24</v>
      </c>
      <c r="BW64" s="20" t="s">
        <v>31</v>
      </c>
      <c r="BX64" s="20" t="s">
        <v>38</v>
      </c>
      <c r="BY64" s="7"/>
      <c r="BZ64" s="20" t="s">
        <v>484</v>
      </c>
      <c r="CA64" s="20" t="s">
        <v>713</v>
      </c>
      <c r="CB64" s="20" t="s">
        <v>665</v>
      </c>
      <c r="CC64" s="20" t="s">
        <v>666</v>
      </c>
      <c r="CD64" s="20" t="s">
        <v>667</v>
      </c>
      <c r="CE64" s="20" t="s">
        <v>1814</v>
      </c>
      <c r="CF64" s="7"/>
      <c r="CG64" s="20" t="s">
        <v>1815</v>
      </c>
      <c r="CH64" s="22" t="str">
        <f aca="false">IF(AND(ISNUMBER(BP64),ISNUMBER(AG64),AG64&gt;0),BP64*1000000/AG64,"")</f>
        <v/>
      </c>
      <c r="CI64" s="7"/>
      <c r="CJ64" s="7"/>
      <c r="CK64" s="7"/>
      <c r="CL64" s="7"/>
      <c r="CM64" s="7"/>
      <c r="CN64" s="7"/>
      <c r="CO64" s="7"/>
      <c r="CP64" s="7"/>
      <c r="CQ64" s="7"/>
      <c r="CR64" s="7"/>
      <c r="CS64" s="7"/>
    </row>
    <row r="65" customFormat="false" ht="1021.6" hidden="false" customHeight="false" outlineLevel="0" collapsed="false">
      <c r="A65" s="4" t="n">
        <v>64</v>
      </c>
      <c r="B65" s="4" t="s">
        <v>451</v>
      </c>
      <c r="C65" s="4" t="s">
        <v>452</v>
      </c>
      <c r="D65" s="4" t="s">
        <v>1333</v>
      </c>
      <c r="E65" s="4" t="s">
        <v>1816</v>
      </c>
      <c r="F65" s="4" t="s">
        <v>1817</v>
      </c>
      <c r="G65" s="4" t="s">
        <v>1818</v>
      </c>
      <c r="H65" s="4" t="s">
        <v>1819</v>
      </c>
      <c r="I65" s="4" t="s">
        <v>1820</v>
      </c>
      <c r="J65" s="4" t="s">
        <v>1821</v>
      </c>
      <c r="K65" s="17"/>
      <c r="L65" s="4"/>
      <c r="M65" s="4"/>
      <c r="N65" s="4"/>
      <c r="O65" s="23" t="s">
        <v>643</v>
      </c>
      <c r="P65" s="7"/>
      <c r="Q65" s="7"/>
      <c r="R65" s="23" t="s">
        <v>1822</v>
      </c>
      <c r="S65" s="4" t="s">
        <v>1341</v>
      </c>
      <c r="T65" s="4" t="s">
        <v>1342</v>
      </c>
      <c r="U65" s="4" t="s">
        <v>1823</v>
      </c>
      <c r="V65" s="4" t="s">
        <v>1113</v>
      </c>
      <c r="W65" s="4" t="s">
        <v>1824</v>
      </c>
      <c r="X65" s="4" t="s">
        <v>1345</v>
      </c>
      <c r="Y65" s="4" t="s">
        <v>1346</v>
      </c>
      <c r="Z65" s="23" t="s">
        <v>1825</v>
      </c>
      <c r="AA65" s="7"/>
      <c r="AB65" s="4"/>
      <c r="AC65" s="4"/>
      <c r="AD65" s="4"/>
      <c r="AE65" s="18" t="s">
        <v>470</v>
      </c>
      <c r="AF65" s="4" t="s">
        <v>471</v>
      </c>
      <c r="AG65" s="4"/>
      <c r="AH65" s="4"/>
      <c r="AI65" s="4" t="s">
        <v>472</v>
      </c>
      <c r="AJ65" s="23" t="s">
        <v>1826</v>
      </c>
      <c r="AK65" s="4"/>
      <c r="AL65" s="7"/>
      <c r="AM65" s="4"/>
      <c r="AN65" s="4"/>
      <c r="AO65" s="23" t="s">
        <v>1827</v>
      </c>
      <c r="AP65" s="4"/>
      <c r="AQ65" s="7"/>
      <c r="AR65" s="4"/>
      <c r="AS65" s="4"/>
      <c r="AT65" s="4"/>
      <c r="AU65" s="4"/>
      <c r="AV65" s="23" t="s">
        <v>1828</v>
      </c>
      <c r="AW65" s="23" t="s">
        <v>1829</v>
      </c>
      <c r="AX65" s="19"/>
      <c r="AY65" s="19"/>
      <c r="AZ65" s="19"/>
      <c r="BA65" s="19"/>
      <c r="BB65" s="24" t="s">
        <v>1830</v>
      </c>
      <c r="BC65" s="4" t="s">
        <v>1831</v>
      </c>
      <c r="BD65" s="4" t="s">
        <v>685</v>
      </c>
      <c r="BE65" s="4" t="s">
        <v>686</v>
      </c>
      <c r="BF65" s="4" t="s">
        <v>687</v>
      </c>
      <c r="BG65" s="4" t="s">
        <v>1832</v>
      </c>
      <c r="BH65" s="4" t="s">
        <v>1833</v>
      </c>
      <c r="BI65" s="7"/>
      <c r="BJ65" s="7"/>
      <c r="BK65" s="7"/>
      <c r="BL65" s="7"/>
      <c r="BM65" s="4"/>
      <c r="BN65" s="4"/>
      <c r="BO65" s="7"/>
      <c r="BP65" s="7"/>
      <c r="BQ65" s="7"/>
      <c r="BR65" s="7"/>
      <c r="BS65" s="7"/>
      <c r="BT65" s="7"/>
      <c r="BU65" s="7"/>
      <c r="BV65" s="20" t="s">
        <v>24</v>
      </c>
      <c r="BW65" s="20" t="s">
        <v>31</v>
      </c>
      <c r="BX65" s="20" t="s">
        <v>38</v>
      </c>
      <c r="BY65" s="7"/>
      <c r="BZ65" s="20" t="s">
        <v>484</v>
      </c>
      <c r="CA65" s="20" t="s">
        <v>713</v>
      </c>
      <c r="CB65" s="20" t="s">
        <v>665</v>
      </c>
      <c r="CC65" s="20" t="s">
        <v>666</v>
      </c>
      <c r="CD65" s="20" t="s">
        <v>667</v>
      </c>
      <c r="CE65" s="20" t="s">
        <v>1834</v>
      </c>
      <c r="CF65" s="7"/>
      <c r="CG65" s="20" t="s">
        <v>1835</v>
      </c>
      <c r="CH65" s="22" t="str">
        <f aca="false">IF(AND(ISNUMBER(BP65),ISNUMBER(AG65),AG65&gt;0),BP65*1000000/AG65,"")</f>
        <v/>
      </c>
      <c r="CI65" s="7"/>
      <c r="CJ65" s="7"/>
      <c r="CK65" s="7"/>
      <c r="CL65" s="7"/>
      <c r="CM65" s="7"/>
      <c r="CN65" s="7"/>
      <c r="CO65" s="7"/>
      <c r="CP65" s="7"/>
      <c r="CQ65" s="7"/>
      <c r="CR65" s="7"/>
      <c r="CS65" s="7"/>
    </row>
    <row r="66" customFormat="false" ht="1061.9" hidden="false" customHeight="false" outlineLevel="0" collapsed="false">
      <c r="A66" s="4" t="n">
        <v>65</v>
      </c>
      <c r="B66" s="4" t="s">
        <v>451</v>
      </c>
      <c r="C66" s="4" t="s">
        <v>452</v>
      </c>
      <c r="D66" s="4" t="s">
        <v>1333</v>
      </c>
      <c r="E66" s="4" t="s">
        <v>1836</v>
      </c>
      <c r="F66" s="4" t="s">
        <v>1837</v>
      </c>
      <c r="G66" s="4" t="s">
        <v>1838</v>
      </c>
      <c r="H66" s="4" t="s">
        <v>1839</v>
      </c>
      <c r="I66" s="4" t="s">
        <v>1840</v>
      </c>
      <c r="J66" s="4" t="s">
        <v>1841</v>
      </c>
      <c r="K66" s="17"/>
      <c r="L66" s="4"/>
      <c r="M66" s="4"/>
      <c r="N66" s="4"/>
      <c r="O66" s="23" t="s">
        <v>643</v>
      </c>
      <c r="P66" s="7"/>
      <c r="Q66" s="7"/>
      <c r="R66" s="23" t="s">
        <v>1842</v>
      </c>
      <c r="S66" s="4" t="s">
        <v>1341</v>
      </c>
      <c r="T66" s="4" t="s">
        <v>1342</v>
      </c>
      <c r="U66" s="4" t="s">
        <v>1843</v>
      </c>
      <c r="V66" s="4" t="s">
        <v>498</v>
      </c>
      <c r="W66" s="4"/>
      <c r="X66" s="4" t="s">
        <v>499</v>
      </c>
      <c r="Y66" s="4"/>
      <c r="Z66" s="23" t="s">
        <v>1844</v>
      </c>
      <c r="AA66" s="7"/>
      <c r="AB66" s="4"/>
      <c r="AC66" s="4"/>
      <c r="AD66" s="4"/>
      <c r="AE66" s="18" t="s">
        <v>470</v>
      </c>
      <c r="AF66" s="4" t="s">
        <v>471</v>
      </c>
      <c r="AG66" s="4"/>
      <c r="AH66" s="4"/>
      <c r="AI66" s="4" t="s">
        <v>472</v>
      </c>
      <c r="AJ66" s="4" t="s">
        <v>473</v>
      </c>
      <c r="AK66" s="4"/>
      <c r="AL66" s="7"/>
      <c r="AM66" s="4"/>
      <c r="AN66" s="4"/>
      <c r="AO66" s="4" t="s">
        <v>474</v>
      </c>
      <c r="AP66" s="4"/>
      <c r="AQ66" s="7"/>
      <c r="AR66" s="4"/>
      <c r="AS66" s="4"/>
      <c r="AT66" s="4"/>
      <c r="AU66" s="4"/>
      <c r="AV66" s="4" t="s">
        <v>475</v>
      </c>
      <c r="AW66" s="23" t="s">
        <v>1845</v>
      </c>
      <c r="AX66" s="19"/>
      <c r="AY66" s="19"/>
      <c r="AZ66" s="19"/>
      <c r="BA66" s="19"/>
      <c r="BB66" s="24" t="s">
        <v>1846</v>
      </c>
      <c r="BC66" s="4" t="s">
        <v>1847</v>
      </c>
      <c r="BD66" s="4" t="s">
        <v>1848</v>
      </c>
      <c r="BE66" s="4" t="s">
        <v>540</v>
      </c>
      <c r="BF66" s="4" t="s">
        <v>1849</v>
      </c>
      <c r="BG66" s="4" t="s">
        <v>1850</v>
      </c>
      <c r="BH66" s="4" t="s">
        <v>1851</v>
      </c>
      <c r="BI66" s="7"/>
      <c r="BJ66" s="7"/>
      <c r="BK66" s="7"/>
      <c r="BL66" s="7"/>
      <c r="BM66" s="4"/>
      <c r="BN66" s="4"/>
      <c r="BO66" s="7"/>
      <c r="BP66" s="7"/>
      <c r="BQ66" s="7"/>
      <c r="BR66" s="7"/>
      <c r="BS66" s="7"/>
      <c r="BT66" s="7"/>
      <c r="BU66" s="7"/>
      <c r="BV66" s="20" t="s">
        <v>25</v>
      </c>
      <c r="BW66" s="20" t="s">
        <v>32</v>
      </c>
      <c r="BX66" s="20" t="s">
        <v>34</v>
      </c>
      <c r="BY66" s="7"/>
      <c r="BZ66" s="20" t="s">
        <v>484</v>
      </c>
      <c r="CA66" s="20" t="s">
        <v>524</v>
      </c>
      <c r="CB66" s="20" t="s">
        <v>1852</v>
      </c>
      <c r="CC66" s="20" t="s">
        <v>1853</v>
      </c>
      <c r="CD66" s="7"/>
      <c r="CE66" s="20" t="s">
        <v>1854</v>
      </c>
      <c r="CF66" s="7"/>
      <c r="CG66" s="7"/>
      <c r="CH66" s="22" t="str">
        <f aca="false">IF(AND(ISNUMBER(BP66),ISNUMBER(AG66),AG66&gt;0),BP66*1000000/AG66,"")</f>
        <v/>
      </c>
      <c r="CI66" s="7"/>
      <c r="CJ66" s="7"/>
      <c r="CK66" s="7"/>
      <c r="CL66" s="7"/>
      <c r="CM66" s="7"/>
      <c r="CN66" s="7"/>
      <c r="CO66" s="7"/>
      <c r="CP66" s="7"/>
      <c r="CQ66" s="7"/>
      <c r="CR66" s="7"/>
      <c r="CS66" s="7"/>
    </row>
    <row r="67" customFormat="false" ht="1330.55" hidden="false" customHeight="false" outlineLevel="0" collapsed="false">
      <c r="A67" s="4" t="n">
        <v>66</v>
      </c>
      <c r="B67" s="4" t="s">
        <v>451</v>
      </c>
      <c r="C67" s="4" t="s">
        <v>452</v>
      </c>
      <c r="D67" s="4" t="s">
        <v>1333</v>
      </c>
      <c r="E67" s="4" t="s">
        <v>1855</v>
      </c>
      <c r="F67" s="4" t="s">
        <v>1856</v>
      </c>
      <c r="G67" s="4" t="s">
        <v>1857</v>
      </c>
      <c r="H67" s="4" t="s">
        <v>1858</v>
      </c>
      <c r="I67" s="4" t="s">
        <v>1859</v>
      </c>
      <c r="J67" s="4" t="s">
        <v>1860</v>
      </c>
      <c r="K67" s="25" t="n">
        <v>11.1445</v>
      </c>
      <c r="L67" s="23" t="n">
        <v>2026</v>
      </c>
      <c r="M67" s="23" t="s">
        <v>6</v>
      </c>
      <c r="N67" s="23" t="s">
        <v>1861</v>
      </c>
      <c r="O67" s="23" t="s">
        <v>494</v>
      </c>
      <c r="P67" s="7"/>
      <c r="Q67" s="7"/>
      <c r="R67" s="23" t="s">
        <v>1862</v>
      </c>
      <c r="S67" s="4" t="s">
        <v>1341</v>
      </c>
      <c r="T67" s="4" t="s">
        <v>1342</v>
      </c>
      <c r="U67" s="4" t="s">
        <v>1863</v>
      </c>
      <c r="V67" s="4" t="s">
        <v>498</v>
      </c>
      <c r="W67" s="4"/>
      <c r="X67" s="4" t="s">
        <v>499</v>
      </c>
      <c r="Y67" s="4"/>
      <c r="Z67" s="23" t="s">
        <v>1864</v>
      </c>
      <c r="AA67" s="7"/>
      <c r="AB67" s="4"/>
      <c r="AC67" s="4"/>
      <c r="AD67" s="4"/>
      <c r="AE67" s="18" t="s">
        <v>470</v>
      </c>
      <c r="AF67" s="4" t="s">
        <v>471</v>
      </c>
      <c r="AG67" s="4"/>
      <c r="AH67" s="4"/>
      <c r="AI67" s="4" t="s">
        <v>472</v>
      </c>
      <c r="AJ67" s="4" t="s">
        <v>473</v>
      </c>
      <c r="AK67" s="4"/>
      <c r="AL67" s="20" t="n">
        <v>4</v>
      </c>
      <c r="AM67" s="23" t="n">
        <v>2026</v>
      </c>
      <c r="AN67" s="23" t="s">
        <v>1865</v>
      </c>
      <c r="AO67" s="23" t="s">
        <v>1866</v>
      </c>
      <c r="AP67" s="23" t="s">
        <v>1867</v>
      </c>
      <c r="AQ67" s="20" t="n">
        <v>1.5708</v>
      </c>
      <c r="AR67" s="23" t="n">
        <v>2025</v>
      </c>
      <c r="AS67" s="23" t="s">
        <v>1868</v>
      </c>
      <c r="AT67" s="23" t="s">
        <v>1869</v>
      </c>
      <c r="AU67" s="23" t="s">
        <v>1867</v>
      </c>
      <c r="AV67" s="23" t="s">
        <v>1870</v>
      </c>
      <c r="AW67" s="23" t="s">
        <v>1871</v>
      </c>
      <c r="AX67" s="24" t="n">
        <v>63</v>
      </c>
      <c r="AY67" s="24" t="s">
        <v>1872</v>
      </c>
      <c r="AZ67" s="24" t="s">
        <v>1873</v>
      </c>
      <c r="BA67" s="24" t="s">
        <v>1874</v>
      </c>
      <c r="BB67" s="24" t="s">
        <v>1875</v>
      </c>
      <c r="BC67" s="4" t="s">
        <v>1876</v>
      </c>
      <c r="BD67" s="4" t="s">
        <v>1877</v>
      </c>
      <c r="BE67" s="4" t="s">
        <v>479</v>
      </c>
      <c r="BF67" s="4" t="s">
        <v>480</v>
      </c>
      <c r="BG67" s="4" t="s">
        <v>1878</v>
      </c>
      <c r="BH67" s="4" t="s">
        <v>1879</v>
      </c>
      <c r="BI67" s="7"/>
      <c r="BJ67" s="7"/>
      <c r="BK67" s="7"/>
      <c r="BL67" s="7"/>
      <c r="BM67" s="4"/>
      <c r="BN67" s="23" t="s">
        <v>1880</v>
      </c>
      <c r="BO67" s="7"/>
      <c r="BP67" s="7"/>
      <c r="BQ67" s="7"/>
      <c r="BR67" s="7"/>
      <c r="BS67" s="7"/>
      <c r="BT67" s="7"/>
      <c r="BU67" s="20" t="s">
        <v>1881</v>
      </c>
      <c r="BV67" s="20" t="s">
        <v>23</v>
      </c>
      <c r="BW67" s="20" t="s">
        <v>29</v>
      </c>
      <c r="BX67" s="20" t="s">
        <v>36</v>
      </c>
      <c r="BY67" s="7"/>
      <c r="BZ67" s="20" t="s">
        <v>484</v>
      </c>
      <c r="CA67" s="20" t="s">
        <v>664</v>
      </c>
      <c r="CB67" s="20" t="s">
        <v>1882</v>
      </c>
      <c r="CC67" s="20" t="s">
        <v>1883</v>
      </c>
      <c r="CD67" s="7"/>
      <c r="CE67" s="20" t="s">
        <v>1884</v>
      </c>
      <c r="CF67" s="7"/>
      <c r="CG67" s="7"/>
      <c r="CH67" s="22" t="str">
        <f aca="false">IF(AND(ISNUMBER(BP67),ISNUMBER(AG67),AG67&gt;0),BP67*1000000/AG67,"")</f>
        <v/>
      </c>
      <c r="CI67" s="21" t="n">
        <v>20</v>
      </c>
      <c r="CJ67" s="21" t="n">
        <v>27</v>
      </c>
      <c r="CK67" s="21" t="n">
        <v>2</v>
      </c>
      <c r="CL67" s="21" t="n">
        <v>49</v>
      </c>
      <c r="CM67" s="7"/>
      <c r="CN67" s="7"/>
      <c r="CO67" s="7"/>
      <c r="CP67" s="20" t="s">
        <v>1885</v>
      </c>
      <c r="CQ67" s="20" t="s">
        <v>1886</v>
      </c>
      <c r="CR67" s="20" t="s">
        <v>1887</v>
      </c>
      <c r="CS67" s="20" t="s">
        <v>1888</v>
      </c>
    </row>
    <row r="68" customFormat="false" ht="686.55" hidden="false" customHeight="false" outlineLevel="0" collapsed="false">
      <c r="A68" s="4" t="n">
        <v>67</v>
      </c>
      <c r="B68" s="4" t="s">
        <v>451</v>
      </c>
      <c r="C68" s="4" t="s">
        <v>452</v>
      </c>
      <c r="D68" s="4" t="s">
        <v>1333</v>
      </c>
      <c r="E68" s="4" t="s">
        <v>1889</v>
      </c>
      <c r="F68" s="4" t="s">
        <v>1890</v>
      </c>
      <c r="G68" s="4" t="s">
        <v>1891</v>
      </c>
      <c r="H68" s="4" t="s">
        <v>1892</v>
      </c>
      <c r="I68" s="4" t="s">
        <v>1893</v>
      </c>
      <c r="J68" s="4" t="s">
        <v>1894</v>
      </c>
      <c r="K68" s="17"/>
      <c r="L68" s="4"/>
      <c r="M68" s="4"/>
      <c r="N68" s="4"/>
      <c r="O68" s="23" t="s">
        <v>643</v>
      </c>
      <c r="P68" s="7"/>
      <c r="Q68" s="7"/>
      <c r="R68" s="23" t="s">
        <v>1895</v>
      </c>
      <c r="S68" s="4" t="s">
        <v>1341</v>
      </c>
      <c r="T68" s="4" t="s">
        <v>1342</v>
      </c>
      <c r="U68" s="4" t="s">
        <v>1896</v>
      </c>
      <c r="V68" s="4" t="s">
        <v>498</v>
      </c>
      <c r="W68" s="4"/>
      <c r="X68" s="4" t="s">
        <v>499</v>
      </c>
      <c r="Y68" s="4"/>
      <c r="Z68" s="23" t="s">
        <v>1897</v>
      </c>
      <c r="AA68" s="7"/>
      <c r="AB68" s="4"/>
      <c r="AC68" s="4"/>
      <c r="AD68" s="4"/>
      <c r="AE68" s="18" t="s">
        <v>470</v>
      </c>
      <c r="AF68" s="4" t="s">
        <v>471</v>
      </c>
      <c r="AG68" s="4"/>
      <c r="AH68" s="4"/>
      <c r="AI68" s="4" t="s">
        <v>472</v>
      </c>
      <c r="AJ68" s="23" t="s">
        <v>1898</v>
      </c>
      <c r="AK68" s="4"/>
      <c r="AL68" s="7"/>
      <c r="AM68" s="4"/>
      <c r="AN68" s="4"/>
      <c r="AO68" s="23" t="s">
        <v>1899</v>
      </c>
      <c r="AP68" s="4"/>
      <c r="AQ68" s="7"/>
      <c r="AR68" s="4"/>
      <c r="AS68" s="4"/>
      <c r="AT68" s="4"/>
      <c r="AU68" s="4"/>
      <c r="AV68" s="23" t="s">
        <v>1900</v>
      </c>
      <c r="AW68" s="23" t="s">
        <v>1901</v>
      </c>
      <c r="AX68" s="19"/>
      <c r="AY68" s="19"/>
      <c r="AZ68" s="19"/>
      <c r="BA68" s="19"/>
      <c r="BB68" s="24" t="s">
        <v>1902</v>
      </c>
      <c r="BC68" s="4" t="s">
        <v>1903</v>
      </c>
      <c r="BD68" s="4" t="s">
        <v>1904</v>
      </c>
      <c r="BE68" s="4" t="s">
        <v>479</v>
      </c>
      <c r="BF68" s="4" t="s">
        <v>480</v>
      </c>
      <c r="BG68" s="4" t="s">
        <v>1905</v>
      </c>
      <c r="BH68" s="4" t="s">
        <v>1906</v>
      </c>
      <c r="BI68" s="7"/>
      <c r="BJ68" s="7"/>
      <c r="BK68" s="7"/>
      <c r="BL68" s="7"/>
      <c r="BM68" s="4"/>
      <c r="BN68" s="4"/>
      <c r="BO68" s="7"/>
      <c r="BP68" s="7"/>
      <c r="BQ68" s="7"/>
      <c r="BR68" s="7"/>
      <c r="BS68" s="7"/>
      <c r="BT68" s="7"/>
      <c r="BU68" s="7"/>
      <c r="BV68" s="20" t="s">
        <v>24</v>
      </c>
      <c r="BW68" s="20" t="s">
        <v>31</v>
      </c>
      <c r="BX68" s="20" t="s">
        <v>38</v>
      </c>
      <c r="BY68" s="7"/>
      <c r="BZ68" s="20" t="s">
        <v>484</v>
      </c>
      <c r="CA68" s="20" t="s">
        <v>713</v>
      </c>
      <c r="CB68" s="20" t="s">
        <v>665</v>
      </c>
      <c r="CC68" s="20" t="s">
        <v>666</v>
      </c>
      <c r="CD68" s="20" t="s">
        <v>667</v>
      </c>
      <c r="CE68" s="20" t="s">
        <v>1907</v>
      </c>
      <c r="CF68" s="7"/>
      <c r="CG68" s="20" t="s">
        <v>1908</v>
      </c>
      <c r="CH68" s="22" t="str">
        <f aca="false">IF(AND(ISNUMBER(BP68),ISNUMBER(AG68),AG68&gt;0),BP68*1000000/AG68,"")</f>
        <v/>
      </c>
      <c r="CI68" s="7"/>
      <c r="CJ68" s="7"/>
      <c r="CK68" s="7"/>
      <c r="CL68" s="7"/>
      <c r="CM68" s="7"/>
      <c r="CN68" s="7"/>
      <c r="CO68" s="7"/>
      <c r="CP68" s="7"/>
      <c r="CQ68" s="7"/>
      <c r="CR68" s="7"/>
      <c r="CS68" s="7"/>
    </row>
    <row r="69" customFormat="false" ht="1451.45" hidden="false" customHeight="false" outlineLevel="0" collapsed="false">
      <c r="A69" s="4" t="n">
        <v>68</v>
      </c>
      <c r="B69" s="4" t="s">
        <v>451</v>
      </c>
      <c r="C69" s="4" t="s">
        <v>452</v>
      </c>
      <c r="D69" s="4" t="s">
        <v>1333</v>
      </c>
      <c r="E69" s="4" t="s">
        <v>1909</v>
      </c>
      <c r="F69" s="4" t="s">
        <v>1910</v>
      </c>
      <c r="G69" s="4" t="s">
        <v>1911</v>
      </c>
      <c r="H69" s="4" t="s">
        <v>1912</v>
      </c>
      <c r="I69" s="4" t="s">
        <v>1913</v>
      </c>
      <c r="J69" s="4" t="s">
        <v>1914</v>
      </c>
      <c r="K69" s="17"/>
      <c r="L69" s="4"/>
      <c r="M69" s="4"/>
      <c r="N69" s="4"/>
      <c r="O69" s="23" t="s">
        <v>643</v>
      </c>
      <c r="P69" s="7"/>
      <c r="Q69" s="7"/>
      <c r="R69" s="23" t="s">
        <v>1915</v>
      </c>
      <c r="S69" s="4" t="s">
        <v>1341</v>
      </c>
      <c r="T69" s="23" t="s">
        <v>1916</v>
      </c>
      <c r="U69" s="4" t="s">
        <v>1917</v>
      </c>
      <c r="V69" s="4" t="s">
        <v>498</v>
      </c>
      <c r="W69" s="4"/>
      <c r="X69" s="4" t="s">
        <v>499</v>
      </c>
      <c r="Y69" s="4"/>
      <c r="Z69" s="23" t="s">
        <v>1918</v>
      </c>
      <c r="AA69" s="20" t="n">
        <v>0.1</v>
      </c>
      <c r="AB69" s="23" t="s">
        <v>1919</v>
      </c>
      <c r="AC69" s="23" t="s">
        <v>1920</v>
      </c>
      <c r="AD69" s="23" t="s">
        <v>1921</v>
      </c>
      <c r="AE69" s="18" t="s">
        <v>470</v>
      </c>
      <c r="AF69" s="4" t="s">
        <v>471</v>
      </c>
      <c r="AG69" s="4"/>
      <c r="AH69" s="4"/>
      <c r="AI69" s="4" t="s">
        <v>472</v>
      </c>
      <c r="AJ69" s="23" t="s">
        <v>1922</v>
      </c>
      <c r="AK69" s="4"/>
      <c r="AL69" s="7"/>
      <c r="AM69" s="4"/>
      <c r="AN69" s="4"/>
      <c r="AO69" s="23" t="s">
        <v>1923</v>
      </c>
      <c r="AP69" s="4"/>
      <c r="AQ69" s="7"/>
      <c r="AR69" s="4"/>
      <c r="AS69" s="4"/>
      <c r="AT69" s="4"/>
      <c r="AU69" s="4"/>
      <c r="AV69" s="23" t="s">
        <v>1924</v>
      </c>
      <c r="AW69" s="23" t="s">
        <v>1925</v>
      </c>
      <c r="AX69" s="19"/>
      <c r="AY69" s="19"/>
      <c r="AZ69" s="19"/>
      <c r="BA69" s="19"/>
      <c r="BB69" s="24" t="s">
        <v>1926</v>
      </c>
      <c r="BC69" s="4" t="s">
        <v>1927</v>
      </c>
      <c r="BD69" s="4" t="s">
        <v>685</v>
      </c>
      <c r="BE69" s="4" t="s">
        <v>686</v>
      </c>
      <c r="BF69" s="4" t="s">
        <v>687</v>
      </c>
      <c r="BG69" s="4" t="s">
        <v>1928</v>
      </c>
      <c r="BH69" s="4" t="s">
        <v>1929</v>
      </c>
      <c r="BI69" s="7"/>
      <c r="BJ69" s="7"/>
      <c r="BK69" s="7"/>
      <c r="BL69" s="7"/>
      <c r="BM69" s="4"/>
      <c r="BN69" s="4"/>
      <c r="BO69" s="7"/>
      <c r="BP69" s="7"/>
      <c r="BQ69" s="7"/>
      <c r="BR69" s="7"/>
      <c r="BS69" s="7"/>
      <c r="BT69" s="7"/>
      <c r="BU69" s="7"/>
      <c r="BV69" s="20" t="s">
        <v>24</v>
      </c>
      <c r="BW69" s="20" t="s">
        <v>31</v>
      </c>
      <c r="BX69" s="20" t="s">
        <v>38</v>
      </c>
      <c r="BY69" s="7"/>
      <c r="BZ69" s="20" t="s">
        <v>484</v>
      </c>
      <c r="CA69" s="20" t="s">
        <v>524</v>
      </c>
      <c r="CB69" s="20" t="s">
        <v>665</v>
      </c>
      <c r="CC69" s="20" t="s">
        <v>666</v>
      </c>
      <c r="CD69" s="20" t="s">
        <v>667</v>
      </c>
      <c r="CE69" s="20" t="s">
        <v>1930</v>
      </c>
      <c r="CF69" s="7"/>
      <c r="CG69" s="20" t="s">
        <v>1931</v>
      </c>
      <c r="CH69" s="22" t="str">
        <f aca="false">IF(AND(ISNUMBER(BP69),ISNUMBER(AG69),AG69&gt;0),BP69*1000000/AG69,"")</f>
        <v/>
      </c>
      <c r="CI69" s="7"/>
      <c r="CJ69" s="7"/>
      <c r="CK69" s="7"/>
      <c r="CL69" s="7"/>
      <c r="CM69" s="7"/>
      <c r="CN69" s="7"/>
      <c r="CO69" s="7"/>
      <c r="CP69" s="7"/>
      <c r="CQ69" s="7"/>
      <c r="CR69" s="7"/>
      <c r="CS69" s="7"/>
    </row>
    <row r="70" customFormat="false" ht="820.1" hidden="false" customHeight="false" outlineLevel="0" collapsed="false">
      <c r="A70" s="4" t="n">
        <v>69</v>
      </c>
      <c r="B70" s="4" t="s">
        <v>451</v>
      </c>
      <c r="C70" s="4" t="s">
        <v>452</v>
      </c>
      <c r="D70" s="4" t="s">
        <v>1333</v>
      </c>
      <c r="E70" s="4" t="s">
        <v>1932</v>
      </c>
      <c r="F70" s="4" t="s">
        <v>1933</v>
      </c>
      <c r="G70" s="4" t="s">
        <v>1934</v>
      </c>
      <c r="H70" s="4" t="s">
        <v>1935</v>
      </c>
      <c r="I70" s="4" t="s">
        <v>1936</v>
      </c>
      <c r="J70" s="4" t="s">
        <v>1937</v>
      </c>
      <c r="K70" s="17"/>
      <c r="L70" s="4"/>
      <c r="M70" s="4"/>
      <c r="N70" s="4"/>
      <c r="O70" s="23" t="s">
        <v>643</v>
      </c>
      <c r="P70" s="7"/>
      <c r="Q70" s="7"/>
      <c r="R70" s="23" t="s">
        <v>1938</v>
      </c>
      <c r="S70" s="4" t="s">
        <v>1341</v>
      </c>
      <c r="T70" s="4" t="s">
        <v>1342</v>
      </c>
      <c r="U70" s="4" t="s">
        <v>1939</v>
      </c>
      <c r="V70" s="4" t="s">
        <v>498</v>
      </c>
      <c r="W70" s="4"/>
      <c r="X70" s="4" t="s">
        <v>499</v>
      </c>
      <c r="Y70" s="4"/>
      <c r="Z70" s="23" t="s">
        <v>1940</v>
      </c>
      <c r="AA70" s="7"/>
      <c r="AB70" s="4"/>
      <c r="AC70" s="4"/>
      <c r="AD70" s="4"/>
      <c r="AE70" s="18" t="s">
        <v>470</v>
      </c>
      <c r="AF70" s="4" t="s">
        <v>471</v>
      </c>
      <c r="AG70" s="4"/>
      <c r="AH70" s="4"/>
      <c r="AI70" s="4" t="s">
        <v>472</v>
      </c>
      <c r="AJ70" s="23" t="s">
        <v>1941</v>
      </c>
      <c r="AK70" s="4"/>
      <c r="AL70" s="7"/>
      <c r="AM70" s="4"/>
      <c r="AN70" s="4"/>
      <c r="AO70" s="23" t="s">
        <v>1942</v>
      </c>
      <c r="AP70" s="4"/>
      <c r="AQ70" s="7"/>
      <c r="AR70" s="4"/>
      <c r="AS70" s="4"/>
      <c r="AT70" s="4"/>
      <c r="AU70" s="4"/>
      <c r="AV70" s="23" t="s">
        <v>1943</v>
      </c>
      <c r="AW70" s="23" t="s">
        <v>1944</v>
      </c>
      <c r="AX70" s="19"/>
      <c r="AY70" s="19"/>
      <c r="AZ70" s="19"/>
      <c r="BA70" s="19"/>
      <c r="BB70" s="24" t="s">
        <v>1945</v>
      </c>
      <c r="BC70" s="4" t="s">
        <v>1946</v>
      </c>
      <c r="BD70" s="4" t="s">
        <v>1947</v>
      </c>
      <c r="BE70" s="4" t="s">
        <v>540</v>
      </c>
      <c r="BF70" s="4" t="s">
        <v>1948</v>
      </c>
      <c r="BG70" s="4" t="s">
        <v>1949</v>
      </c>
      <c r="BH70" s="4" t="s">
        <v>1950</v>
      </c>
      <c r="BI70" s="7"/>
      <c r="BJ70" s="7"/>
      <c r="BK70" s="7"/>
      <c r="BL70" s="7"/>
      <c r="BM70" s="4"/>
      <c r="BN70" s="4"/>
      <c r="BO70" s="7"/>
      <c r="BP70" s="7"/>
      <c r="BQ70" s="7"/>
      <c r="BR70" s="7"/>
      <c r="BS70" s="7"/>
      <c r="BT70" s="7"/>
      <c r="BU70" s="7"/>
      <c r="BV70" s="20" t="s">
        <v>24</v>
      </c>
      <c r="BW70" s="20" t="s">
        <v>31</v>
      </c>
      <c r="BX70" s="20" t="s">
        <v>38</v>
      </c>
      <c r="BY70" s="7"/>
      <c r="BZ70" s="20" t="s">
        <v>484</v>
      </c>
      <c r="CA70" s="20" t="s">
        <v>713</v>
      </c>
      <c r="CB70" s="20" t="s">
        <v>665</v>
      </c>
      <c r="CC70" s="20" t="s">
        <v>666</v>
      </c>
      <c r="CD70" s="20" t="s">
        <v>667</v>
      </c>
      <c r="CE70" s="20" t="s">
        <v>1951</v>
      </c>
      <c r="CF70" s="7"/>
      <c r="CG70" s="20" t="s">
        <v>1952</v>
      </c>
      <c r="CH70" s="22" t="str">
        <f aca="false">IF(AND(ISNUMBER(BP70),ISNUMBER(AG70),AG70&gt;0),BP70*1000000/AG70,"")</f>
        <v/>
      </c>
      <c r="CI70" s="7"/>
      <c r="CJ70" s="7"/>
      <c r="CK70" s="7"/>
      <c r="CL70" s="7"/>
      <c r="CM70" s="7"/>
      <c r="CN70" s="7"/>
      <c r="CO70" s="7"/>
      <c r="CP70" s="7"/>
      <c r="CQ70" s="7"/>
      <c r="CR70" s="7"/>
      <c r="CS70" s="7"/>
    </row>
    <row r="71" customFormat="false" ht="673.1" hidden="false" customHeight="false" outlineLevel="0" collapsed="false">
      <c r="A71" s="4" t="n">
        <v>70</v>
      </c>
      <c r="B71" s="4" t="s">
        <v>1953</v>
      </c>
      <c r="C71" s="4" t="s">
        <v>452</v>
      </c>
      <c r="D71" s="4" t="s">
        <v>453</v>
      </c>
      <c r="E71" s="4" t="s">
        <v>1954</v>
      </c>
      <c r="F71" s="4" t="s">
        <v>1955</v>
      </c>
      <c r="G71" s="4" t="s">
        <v>1956</v>
      </c>
      <c r="H71" s="4" t="s">
        <v>1957</v>
      </c>
      <c r="I71" s="4" t="s">
        <v>1958</v>
      </c>
      <c r="J71" s="4" t="s">
        <v>1959</v>
      </c>
      <c r="K71" s="17"/>
      <c r="L71" s="4"/>
      <c r="M71" s="4"/>
      <c r="N71" s="4"/>
      <c r="O71" s="4" t="s">
        <v>460</v>
      </c>
      <c r="P71" s="7"/>
      <c r="Q71" s="7"/>
      <c r="R71" s="4" t="s">
        <v>1960</v>
      </c>
      <c r="S71" s="4" t="s">
        <v>1961</v>
      </c>
      <c r="T71" s="4" t="s">
        <v>1962</v>
      </c>
      <c r="U71" s="4" t="s">
        <v>1963</v>
      </c>
      <c r="V71" s="4" t="s">
        <v>1964</v>
      </c>
      <c r="W71" s="4" t="s">
        <v>1965</v>
      </c>
      <c r="X71" s="4" t="s">
        <v>1966</v>
      </c>
      <c r="Y71" s="4" t="s">
        <v>1967</v>
      </c>
      <c r="Z71" s="4" t="s">
        <v>1968</v>
      </c>
      <c r="AA71" s="7"/>
      <c r="AB71" s="4"/>
      <c r="AC71" s="4"/>
      <c r="AD71" s="4"/>
      <c r="AE71" s="18" t="s">
        <v>470</v>
      </c>
      <c r="AF71" s="4" t="s">
        <v>471</v>
      </c>
      <c r="AG71" s="4"/>
      <c r="AH71" s="4"/>
      <c r="AI71" s="4" t="s">
        <v>472</v>
      </c>
      <c r="AJ71" s="4" t="s">
        <v>473</v>
      </c>
      <c r="AK71" s="4"/>
      <c r="AL71" s="7"/>
      <c r="AM71" s="4"/>
      <c r="AN71" s="4"/>
      <c r="AO71" s="4" t="s">
        <v>474</v>
      </c>
      <c r="AP71" s="4"/>
      <c r="AQ71" s="7"/>
      <c r="AR71" s="4"/>
      <c r="AS71" s="4"/>
      <c r="AT71" s="4"/>
      <c r="AU71" s="4"/>
      <c r="AV71" s="4" t="s">
        <v>475</v>
      </c>
      <c r="AW71" s="4" t="s">
        <v>476</v>
      </c>
      <c r="AX71" s="19"/>
      <c r="AY71" s="19"/>
      <c r="AZ71" s="19"/>
      <c r="BA71" s="19"/>
      <c r="BB71" s="19"/>
      <c r="BC71" s="4" t="s">
        <v>1969</v>
      </c>
      <c r="BD71" s="4" t="s">
        <v>1970</v>
      </c>
      <c r="BE71" s="4" t="s">
        <v>540</v>
      </c>
      <c r="BF71" s="4" t="s">
        <v>1971</v>
      </c>
      <c r="BG71" s="4" t="s">
        <v>1972</v>
      </c>
      <c r="BH71" s="4" t="s">
        <v>1973</v>
      </c>
      <c r="BI71" s="7"/>
      <c r="BJ71" s="7"/>
      <c r="BK71" s="7"/>
      <c r="BL71" s="7"/>
      <c r="BM71" s="4"/>
      <c r="BN71" s="4"/>
      <c r="BO71" s="7"/>
      <c r="BP71" s="7"/>
      <c r="BQ71" s="7"/>
      <c r="BR71" s="7"/>
      <c r="BS71" s="7"/>
      <c r="BT71" s="7"/>
      <c r="BU71" s="7"/>
      <c r="BV71" s="20" t="s">
        <v>26</v>
      </c>
      <c r="BW71" s="20" t="s">
        <v>26</v>
      </c>
      <c r="BX71" s="20" t="s">
        <v>39</v>
      </c>
      <c r="BY71" s="20" t="s">
        <v>1974</v>
      </c>
      <c r="BZ71" s="20" t="s">
        <v>484</v>
      </c>
      <c r="CA71" s="20" t="s">
        <v>485</v>
      </c>
      <c r="CB71" s="20" t="s">
        <v>1975</v>
      </c>
      <c r="CC71" s="7"/>
      <c r="CD71" s="7"/>
      <c r="CE71" s="20" t="s">
        <v>347</v>
      </c>
      <c r="CF71" s="21" t="n">
        <v>4</v>
      </c>
      <c r="CG71" s="7"/>
      <c r="CH71" s="22" t="str">
        <f aca="false">IF(AND(ISNUMBER(BP71),ISNUMBER(AG71),AG71&gt;0),BP71*1000000/AG71,"")</f>
        <v/>
      </c>
      <c r="CI71" s="7"/>
      <c r="CJ71" s="7"/>
      <c r="CK71" s="7"/>
      <c r="CL71" s="7"/>
      <c r="CM71" s="7"/>
      <c r="CN71" s="7"/>
      <c r="CO71" s="7"/>
      <c r="CP71" s="7"/>
      <c r="CQ71" s="7"/>
      <c r="CR71" s="7"/>
      <c r="CS71" s="7"/>
    </row>
    <row r="72" customFormat="false" ht="538.8" hidden="false" customHeight="false" outlineLevel="0" collapsed="false">
      <c r="A72" s="4" t="n">
        <v>71</v>
      </c>
      <c r="B72" s="4" t="s">
        <v>1953</v>
      </c>
      <c r="C72" s="4" t="s">
        <v>452</v>
      </c>
      <c r="D72" s="4" t="s">
        <v>453</v>
      </c>
      <c r="E72" s="4" t="s">
        <v>1976</v>
      </c>
      <c r="F72" s="4" t="s">
        <v>1955</v>
      </c>
      <c r="G72" s="4" t="s">
        <v>1977</v>
      </c>
      <c r="H72" s="4" t="s">
        <v>1978</v>
      </c>
      <c r="I72" s="4" t="s">
        <v>1979</v>
      </c>
      <c r="J72" s="4" t="s">
        <v>1980</v>
      </c>
      <c r="K72" s="17"/>
      <c r="L72" s="4"/>
      <c r="M72" s="4"/>
      <c r="N72" s="4"/>
      <c r="O72" s="4" t="s">
        <v>460</v>
      </c>
      <c r="P72" s="7"/>
      <c r="Q72" s="7"/>
      <c r="R72" s="4" t="s">
        <v>1960</v>
      </c>
      <c r="S72" s="4" t="s">
        <v>1961</v>
      </c>
      <c r="T72" s="4" t="s">
        <v>1962</v>
      </c>
      <c r="U72" s="4" t="s">
        <v>1981</v>
      </c>
      <c r="V72" s="4" t="s">
        <v>1982</v>
      </c>
      <c r="W72" s="4" t="s">
        <v>1983</v>
      </c>
      <c r="X72" s="4" t="s">
        <v>1984</v>
      </c>
      <c r="Y72" s="4" t="s">
        <v>1985</v>
      </c>
      <c r="Z72" s="4" t="s">
        <v>1986</v>
      </c>
      <c r="AA72" s="7"/>
      <c r="AB72" s="4"/>
      <c r="AC72" s="4"/>
      <c r="AD72" s="4"/>
      <c r="AE72" s="18" t="s">
        <v>470</v>
      </c>
      <c r="AF72" s="4" t="s">
        <v>471</v>
      </c>
      <c r="AG72" s="4"/>
      <c r="AH72" s="4"/>
      <c r="AI72" s="4" t="s">
        <v>472</v>
      </c>
      <c r="AJ72" s="4" t="s">
        <v>473</v>
      </c>
      <c r="AK72" s="4"/>
      <c r="AL72" s="7"/>
      <c r="AM72" s="4"/>
      <c r="AN72" s="4"/>
      <c r="AO72" s="4" t="s">
        <v>474</v>
      </c>
      <c r="AP72" s="4"/>
      <c r="AQ72" s="7"/>
      <c r="AR72" s="4"/>
      <c r="AS72" s="4"/>
      <c r="AT72" s="4"/>
      <c r="AU72" s="4"/>
      <c r="AV72" s="4" t="s">
        <v>475</v>
      </c>
      <c r="AW72" s="4" t="s">
        <v>476</v>
      </c>
      <c r="AX72" s="19"/>
      <c r="AY72" s="19"/>
      <c r="AZ72" s="19"/>
      <c r="BA72" s="19"/>
      <c r="BB72" s="19"/>
      <c r="BC72" s="4" t="s">
        <v>1987</v>
      </c>
      <c r="BD72" s="4" t="s">
        <v>1988</v>
      </c>
      <c r="BE72" s="4" t="s">
        <v>540</v>
      </c>
      <c r="BF72" s="4" t="s">
        <v>1989</v>
      </c>
      <c r="BG72" s="4" t="s">
        <v>1990</v>
      </c>
      <c r="BH72" s="4" t="s">
        <v>1991</v>
      </c>
      <c r="BI72" s="7"/>
      <c r="BJ72" s="7"/>
      <c r="BK72" s="7"/>
      <c r="BL72" s="7"/>
      <c r="BM72" s="4"/>
      <c r="BN72" s="4"/>
      <c r="BO72" s="7"/>
      <c r="BP72" s="7"/>
      <c r="BQ72" s="7"/>
      <c r="BR72" s="7"/>
      <c r="BS72" s="7"/>
      <c r="BT72" s="7"/>
      <c r="BU72" s="7"/>
      <c r="BV72" s="20" t="s">
        <v>26</v>
      </c>
      <c r="BW72" s="20" t="s">
        <v>26</v>
      </c>
      <c r="BX72" s="20" t="s">
        <v>39</v>
      </c>
      <c r="BY72" s="7"/>
      <c r="BZ72" s="20" t="s">
        <v>484</v>
      </c>
      <c r="CA72" s="20" t="s">
        <v>485</v>
      </c>
      <c r="CB72" s="20" t="s">
        <v>1992</v>
      </c>
      <c r="CC72" s="7"/>
      <c r="CD72" s="7"/>
      <c r="CE72" s="20" t="s">
        <v>1993</v>
      </c>
      <c r="CF72" s="7"/>
      <c r="CG72" s="7"/>
      <c r="CH72" s="22" t="str">
        <f aca="false">IF(AND(ISNUMBER(BP72),ISNUMBER(AG72),AG72&gt;0),BP72*1000000/AG72,"")</f>
        <v/>
      </c>
      <c r="CI72" s="7"/>
      <c r="CJ72" s="7"/>
      <c r="CK72" s="7"/>
      <c r="CL72" s="7"/>
      <c r="CM72" s="7"/>
      <c r="CN72" s="7"/>
      <c r="CO72" s="7"/>
      <c r="CP72" s="7"/>
      <c r="CQ72" s="7"/>
      <c r="CR72" s="7"/>
      <c r="CS72" s="7"/>
    </row>
    <row r="73" customFormat="false" ht="673.1" hidden="false" customHeight="false" outlineLevel="0" collapsed="false">
      <c r="A73" s="4" t="n">
        <v>72</v>
      </c>
      <c r="B73" s="4" t="s">
        <v>1953</v>
      </c>
      <c r="C73" s="4" t="s">
        <v>452</v>
      </c>
      <c r="D73" s="4" t="s">
        <v>453</v>
      </c>
      <c r="E73" s="4" t="s">
        <v>1994</v>
      </c>
      <c r="F73" s="4" t="s">
        <v>1955</v>
      </c>
      <c r="G73" s="4" t="s">
        <v>1995</v>
      </c>
      <c r="H73" s="4" t="s">
        <v>1996</v>
      </c>
      <c r="I73" s="4" t="s">
        <v>1997</v>
      </c>
      <c r="J73" s="4" t="s">
        <v>1998</v>
      </c>
      <c r="K73" s="17"/>
      <c r="L73" s="4"/>
      <c r="M73" s="4"/>
      <c r="N73" s="4"/>
      <c r="O73" s="4" t="s">
        <v>460</v>
      </c>
      <c r="P73" s="7"/>
      <c r="Q73" s="7"/>
      <c r="R73" s="4" t="s">
        <v>1960</v>
      </c>
      <c r="S73" s="4" t="s">
        <v>1961</v>
      </c>
      <c r="T73" s="4" t="s">
        <v>1962</v>
      </c>
      <c r="U73" s="4" t="s">
        <v>1999</v>
      </c>
      <c r="V73" s="4" t="s">
        <v>1964</v>
      </c>
      <c r="W73" s="4" t="s">
        <v>2000</v>
      </c>
      <c r="X73" s="4" t="s">
        <v>1966</v>
      </c>
      <c r="Y73" s="4" t="s">
        <v>1967</v>
      </c>
      <c r="Z73" s="4" t="s">
        <v>2001</v>
      </c>
      <c r="AA73" s="7"/>
      <c r="AB73" s="4"/>
      <c r="AC73" s="4"/>
      <c r="AD73" s="4"/>
      <c r="AE73" s="18" t="s">
        <v>470</v>
      </c>
      <c r="AF73" s="4" t="s">
        <v>471</v>
      </c>
      <c r="AG73" s="4"/>
      <c r="AH73" s="4"/>
      <c r="AI73" s="4" t="s">
        <v>472</v>
      </c>
      <c r="AJ73" s="4" t="s">
        <v>473</v>
      </c>
      <c r="AK73" s="4"/>
      <c r="AL73" s="7"/>
      <c r="AM73" s="4"/>
      <c r="AN73" s="4"/>
      <c r="AO73" s="4" t="s">
        <v>474</v>
      </c>
      <c r="AP73" s="4"/>
      <c r="AQ73" s="7"/>
      <c r="AR73" s="4"/>
      <c r="AS73" s="4"/>
      <c r="AT73" s="4"/>
      <c r="AU73" s="4"/>
      <c r="AV73" s="4" t="s">
        <v>475</v>
      </c>
      <c r="AW73" s="4" t="s">
        <v>476</v>
      </c>
      <c r="AX73" s="19"/>
      <c r="AY73" s="19"/>
      <c r="AZ73" s="19"/>
      <c r="BA73" s="19"/>
      <c r="BB73" s="19"/>
      <c r="BC73" s="4" t="s">
        <v>2002</v>
      </c>
      <c r="BD73" s="4" t="s">
        <v>2003</v>
      </c>
      <c r="BE73" s="4" t="s">
        <v>2004</v>
      </c>
      <c r="BF73" s="4" t="s">
        <v>2005</v>
      </c>
      <c r="BG73" s="4" t="s">
        <v>2006</v>
      </c>
      <c r="BH73" s="4" t="s">
        <v>2007</v>
      </c>
      <c r="BI73" s="7"/>
      <c r="BJ73" s="7"/>
      <c r="BK73" s="7"/>
      <c r="BL73" s="7"/>
      <c r="BM73" s="4"/>
      <c r="BN73" s="4"/>
      <c r="BO73" s="7"/>
      <c r="BP73" s="7"/>
      <c r="BQ73" s="7"/>
      <c r="BR73" s="7"/>
      <c r="BS73" s="7"/>
      <c r="BT73" s="7"/>
      <c r="BU73" s="7"/>
      <c r="BV73" s="20" t="s">
        <v>26</v>
      </c>
      <c r="BW73" s="20" t="s">
        <v>26</v>
      </c>
      <c r="BX73" s="20" t="s">
        <v>39</v>
      </c>
      <c r="BY73" s="7"/>
      <c r="BZ73" s="20" t="s">
        <v>484</v>
      </c>
      <c r="CA73" s="20" t="s">
        <v>485</v>
      </c>
      <c r="CB73" s="20" t="s">
        <v>2008</v>
      </c>
      <c r="CC73" s="7"/>
      <c r="CD73" s="7"/>
      <c r="CE73" s="20" t="s">
        <v>2009</v>
      </c>
      <c r="CF73" s="7"/>
      <c r="CG73" s="7"/>
      <c r="CH73" s="22" t="str">
        <f aca="false">IF(AND(ISNUMBER(BP73),ISNUMBER(AG73),AG73&gt;0),BP73*1000000/AG73,"")</f>
        <v/>
      </c>
      <c r="CI73" s="7"/>
      <c r="CJ73" s="7"/>
      <c r="CK73" s="7"/>
      <c r="CL73" s="7"/>
      <c r="CM73" s="7"/>
      <c r="CN73" s="7"/>
      <c r="CO73" s="7"/>
      <c r="CP73" s="7"/>
      <c r="CQ73" s="7"/>
      <c r="CR73" s="7"/>
      <c r="CS73" s="7"/>
    </row>
    <row r="74" customFormat="false" ht="1464.9" hidden="false" customHeight="false" outlineLevel="0" collapsed="false">
      <c r="A74" s="4" t="n">
        <v>73</v>
      </c>
      <c r="B74" s="4" t="s">
        <v>2010</v>
      </c>
      <c r="C74" s="4" t="s">
        <v>55</v>
      </c>
      <c r="D74" s="4" t="s">
        <v>2011</v>
      </c>
      <c r="E74" s="4" t="s">
        <v>2012</v>
      </c>
      <c r="F74" s="4" t="s">
        <v>2013</v>
      </c>
      <c r="G74" s="4" t="s">
        <v>2014</v>
      </c>
      <c r="H74" s="4" t="s">
        <v>2015</v>
      </c>
      <c r="I74" s="4" t="s">
        <v>2016</v>
      </c>
      <c r="J74" s="4" t="s">
        <v>2017</v>
      </c>
      <c r="K74" s="17" t="n">
        <v>20.513203</v>
      </c>
      <c r="L74" s="4" t="n">
        <v>2026</v>
      </c>
      <c r="M74" s="4" t="s">
        <v>6</v>
      </c>
      <c r="N74" s="4" t="s">
        <v>2018</v>
      </c>
      <c r="O74" s="4" t="s">
        <v>494</v>
      </c>
      <c r="P74" s="7" t="n">
        <v>20.513203</v>
      </c>
      <c r="Q74" s="7"/>
      <c r="R74" s="23" t="s">
        <v>2019</v>
      </c>
      <c r="S74" s="4" t="s">
        <v>2020</v>
      </c>
      <c r="T74" s="4" t="s">
        <v>2021</v>
      </c>
      <c r="U74" s="4" t="s">
        <v>2022</v>
      </c>
      <c r="V74" s="4" t="s">
        <v>647</v>
      </c>
      <c r="W74" s="4" t="s">
        <v>2023</v>
      </c>
      <c r="X74" s="4" t="s">
        <v>1177</v>
      </c>
      <c r="Y74" s="4" t="s">
        <v>1178</v>
      </c>
      <c r="Z74" s="23" t="s">
        <v>2024</v>
      </c>
      <c r="AA74" s="7"/>
      <c r="AB74" s="4"/>
      <c r="AC74" s="4"/>
      <c r="AD74" s="4"/>
      <c r="AE74" s="18" t="s">
        <v>470</v>
      </c>
      <c r="AF74" s="4" t="s">
        <v>471</v>
      </c>
      <c r="AG74" s="23" t="n">
        <v>52</v>
      </c>
      <c r="AH74" s="23" t="s">
        <v>2025</v>
      </c>
      <c r="AI74" s="23" t="s">
        <v>2026</v>
      </c>
      <c r="AJ74" s="23" t="s">
        <v>503</v>
      </c>
      <c r="AK74" s="23" t="s">
        <v>2027</v>
      </c>
      <c r="AL74" s="20" t="n">
        <v>3.84425</v>
      </c>
      <c r="AM74" s="23" t="n">
        <v>2026</v>
      </c>
      <c r="AN74" s="23" t="s">
        <v>2028</v>
      </c>
      <c r="AO74" s="23" t="s">
        <v>506</v>
      </c>
      <c r="AP74" s="23" t="s">
        <v>2029</v>
      </c>
      <c r="AQ74" s="20" t="n">
        <v>0.750766</v>
      </c>
      <c r="AR74" s="23" t="n">
        <v>2026</v>
      </c>
      <c r="AS74" s="23" t="s">
        <v>2030</v>
      </c>
      <c r="AT74" s="23" t="s">
        <v>2031</v>
      </c>
      <c r="AU74" s="23" t="s">
        <v>2032</v>
      </c>
      <c r="AV74" s="23" t="s">
        <v>2033</v>
      </c>
      <c r="AW74" s="23" t="s">
        <v>2034</v>
      </c>
      <c r="AX74" s="24" t="n">
        <v>56</v>
      </c>
      <c r="AY74" s="24" t="s">
        <v>964</v>
      </c>
      <c r="AZ74" s="24" t="s">
        <v>2035</v>
      </c>
      <c r="BA74" s="24" t="s">
        <v>2036</v>
      </c>
      <c r="BB74" s="24" t="s">
        <v>2037</v>
      </c>
      <c r="BC74" s="4" t="s">
        <v>2038</v>
      </c>
      <c r="BD74" s="4" t="s">
        <v>2039</v>
      </c>
      <c r="BE74" s="4" t="s">
        <v>2040</v>
      </c>
      <c r="BF74" s="4" t="s">
        <v>2041</v>
      </c>
      <c r="BG74" s="4" t="s">
        <v>2042</v>
      </c>
      <c r="BH74" s="4" t="s">
        <v>2043</v>
      </c>
      <c r="BI74" s="7"/>
      <c r="BJ74" s="7"/>
      <c r="BK74" s="7"/>
      <c r="BL74" s="7"/>
      <c r="BM74" s="4"/>
      <c r="BN74" s="23" t="s">
        <v>2044</v>
      </c>
      <c r="BO74" s="20" t="n">
        <v>3.753485</v>
      </c>
      <c r="BP74" s="20" t="n">
        <v>3.256042</v>
      </c>
      <c r="BQ74" s="20" t="n">
        <v>3.256042</v>
      </c>
      <c r="BR74" s="20" t="s">
        <v>2045</v>
      </c>
      <c r="BS74" s="20" t="s">
        <v>2046</v>
      </c>
      <c r="BT74" s="20" t="s">
        <v>2047</v>
      </c>
      <c r="BU74" s="20" t="s">
        <v>2048</v>
      </c>
      <c r="BV74" s="20" t="s">
        <v>24</v>
      </c>
      <c r="BW74" s="20" t="s">
        <v>31</v>
      </c>
      <c r="BX74" s="20" t="s">
        <v>36</v>
      </c>
      <c r="BY74" s="20" t="s">
        <v>2049</v>
      </c>
      <c r="BZ74" s="20" t="s">
        <v>484</v>
      </c>
      <c r="CA74" s="20" t="s">
        <v>524</v>
      </c>
      <c r="CB74" s="20" t="s">
        <v>2050</v>
      </c>
      <c r="CC74" s="20" t="s">
        <v>2051</v>
      </c>
      <c r="CD74" s="7"/>
      <c r="CE74" s="20" t="s">
        <v>257</v>
      </c>
      <c r="CF74" s="21" t="n">
        <v>6</v>
      </c>
      <c r="CG74" s="7"/>
      <c r="CH74" s="22" t="n">
        <f aca="false">IF(AND(ISNUMBER(BP74),ISNUMBER(AG74),AG74&gt;0),BP74*1000000/AG74,"")</f>
        <v>62616.1923076923</v>
      </c>
      <c r="CI74" s="21" t="n">
        <v>26</v>
      </c>
      <c r="CJ74" s="21" t="n">
        <v>18</v>
      </c>
      <c r="CK74" s="21" t="n">
        <v>12</v>
      </c>
      <c r="CL74" s="21" t="n">
        <v>56</v>
      </c>
      <c r="CM74" s="7"/>
      <c r="CN74" s="7"/>
      <c r="CO74" s="7"/>
      <c r="CP74" s="20" t="s">
        <v>2052</v>
      </c>
      <c r="CQ74" s="20" t="s">
        <v>2053</v>
      </c>
      <c r="CR74" s="20" t="s">
        <v>2036</v>
      </c>
      <c r="CS74" s="20" t="s">
        <v>2054</v>
      </c>
    </row>
    <row r="75" customFormat="false" ht="1182.8" hidden="false" customHeight="false" outlineLevel="0" collapsed="false">
      <c r="A75" s="4" t="n">
        <v>74</v>
      </c>
      <c r="B75" s="4" t="s">
        <v>2010</v>
      </c>
      <c r="C75" s="4" t="s">
        <v>55</v>
      </c>
      <c r="D75" s="4" t="s">
        <v>2011</v>
      </c>
      <c r="E75" s="4" t="s">
        <v>2055</v>
      </c>
      <c r="F75" s="4" t="s">
        <v>2056</v>
      </c>
      <c r="G75" s="4" t="s">
        <v>2057</v>
      </c>
      <c r="H75" s="4" t="s">
        <v>2058</v>
      </c>
      <c r="I75" s="4" t="s">
        <v>2059</v>
      </c>
      <c r="J75" s="4" t="s">
        <v>2060</v>
      </c>
      <c r="K75" s="25" t="n">
        <v>3.030314</v>
      </c>
      <c r="L75" s="23" t="n">
        <v>2026</v>
      </c>
      <c r="M75" s="23" t="s">
        <v>5</v>
      </c>
      <c r="N75" s="23" t="s">
        <v>2018</v>
      </c>
      <c r="O75" s="23" t="s">
        <v>494</v>
      </c>
      <c r="P75" s="20" t="n">
        <v>3.030314</v>
      </c>
      <c r="Q75" s="7"/>
      <c r="R75" s="23" t="s">
        <v>2061</v>
      </c>
      <c r="S75" s="4" t="s">
        <v>2020</v>
      </c>
      <c r="T75" s="4" t="s">
        <v>2062</v>
      </c>
      <c r="U75" s="4" t="s">
        <v>2022</v>
      </c>
      <c r="V75" s="4" t="s">
        <v>647</v>
      </c>
      <c r="W75" s="4" t="s">
        <v>2063</v>
      </c>
      <c r="X75" s="4" t="s">
        <v>2064</v>
      </c>
      <c r="Y75" s="4" t="s">
        <v>2065</v>
      </c>
      <c r="Z75" s="23" t="s">
        <v>2066</v>
      </c>
      <c r="AA75" s="7"/>
      <c r="AB75" s="4"/>
      <c r="AC75" s="4"/>
      <c r="AD75" s="4"/>
      <c r="AE75" s="18" t="s">
        <v>470</v>
      </c>
      <c r="AF75" s="4" t="s">
        <v>471</v>
      </c>
      <c r="AG75" s="4"/>
      <c r="AH75" s="4"/>
      <c r="AI75" s="4" t="s">
        <v>472</v>
      </c>
      <c r="AJ75" s="4" t="s">
        <v>473</v>
      </c>
      <c r="AK75" s="4"/>
      <c r="AL75" s="20" t="n">
        <v>2.541433</v>
      </c>
      <c r="AM75" s="23" t="n">
        <v>2026</v>
      </c>
      <c r="AN75" s="23" t="s">
        <v>2067</v>
      </c>
      <c r="AO75" s="23" t="s">
        <v>506</v>
      </c>
      <c r="AP75" s="23" t="s">
        <v>2068</v>
      </c>
      <c r="AQ75" s="7"/>
      <c r="AR75" s="4"/>
      <c r="AS75" s="4"/>
      <c r="AT75" s="4"/>
      <c r="AU75" s="4"/>
      <c r="AV75" s="4" t="s">
        <v>475</v>
      </c>
      <c r="AW75" s="23" t="s">
        <v>2069</v>
      </c>
      <c r="AX75" s="24" t="n">
        <v>41</v>
      </c>
      <c r="AY75" s="24" t="s">
        <v>964</v>
      </c>
      <c r="AZ75" s="24" t="s">
        <v>2070</v>
      </c>
      <c r="BA75" s="24" t="s">
        <v>2071</v>
      </c>
      <c r="BB75" s="24" t="s">
        <v>2072</v>
      </c>
      <c r="BC75" s="4" t="s">
        <v>2073</v>
      </c>
      <c r="BD75" s="4" t="s">
        <v>2074</v>
      </c>
      <c r="BE75" s="4" t="s">
        <v>540</v>
      </c>
      <c r="BF75" s="4" t="s">
        <v>541</v>
      </c>
      <c r="BG75" s="4" t="s">
        <v>2075</v>
      </c>
      <c r="BH75" s="4" t="s">
        <v>2076</v>
      </c>
      <c r="BI75" s="7"/>
      <c r="BJ75" s="7"/>
      <c r="BK75" s="7"/>
      <c r="BL75" s="7"/>
      <c r="BM75" s="4"/>
      <c r="BN75" s="23" t="s">
        <v>2077</v>
      </c>
      <c r="BO75" s="7"/>
      <c r="BP75" s="7"/>
      <c r="BQ75" s="7"/>
      <c r="BR75" s="7"/>
      <c r="BS75" s="7"/>
      <c r="BT75" s="7"/>
      <c r="BU75" s="7"/>
      <c r="BV75" s="20" t="s">
        <v>24</v>
      </c>
      <c r="BW75" s="20" t="s">
        <v>30</v>
      </c>
      <c r="BX75" s="20" t="s">
        <v>35</v>
      </c>
      <c r="BY75" s="20" t="s">
        <v>2078</v>
      </c>
      <c r="BZ75" s="20" t="s">
        <v>484</v>
      </c>
      <c r="CA75" s="20" t="s">
        <v>664</v>
      </c>
      <c r="CB75" s="20" t="s">
        <v>2079</v>
      </c>
      <c r="CC75" s="20" t="s">
        <v>2080</v>
      </c>
      <c r="CD75" s="20" t="s">
        <v>121</v>
      </c>
      <c r="CE75" s="20" t="s">
        <v>120</v>
      </c>
      <c r="CF75" s="21" t="n">
        <v>10</v>
      </c>
      <c r="CG75" s="7"/>
      <c r="CH75" s="22" t="str">
        <f aca="false">IF(AND(ISNUMBER(BP75),ISNUMBER(AG75),AG75&gt;0),BP75*1000000/AG75,"")</f>
        <v/>
      </c>
      <c r="CI75" s="21" t="n">
        <v>23</v>
      </c>
      <c r="CJ75" s="21" t="n">
        <v>13</v>
      </c>
      <c r="CK75" s="21" t="n">
        <v>4</v>
      </c>
      <c r="CL75" s="21" t="n">
        <v>40</v>
      </c>
      <c r="CM75" s="7"/>
      <c r="CN75" s="21" t="n">
        <v>1</v>
      </c>
      <c r="CO75" s="7"/>
      <c r="CP75" s="20" t="s">
        <v>2081</v>
      </c>
      <c r="CQ75" s="20" t="s">
        <v>2082</v>
      </c>
      <c r="CR75" s="20" t="s">
        <v>2071</v>
      </c>
      <c r="CS75" s="20" t="s">
        <v>2083</v>
      </c>
    </row>
    <row r="76" customFormat="false" ht="1585.8" hidden="false" customHeight="false" outlineLevel="0" collapsed="false">
      <c r="A76" s="4" t="n">
        <v>75</v>
      </c>
      <c r="B76" s="4" t="s">
        <v>2010</v>
      </c>
      <c r="C76" s="4" t="s">
        <v>55</v>
      </c>
      <c r="D76" s="4" t="s">
        <v>2011</v>
      </c>
      <c r="E76" s="4" t="s">
        <v>2084</v>
      </c>
      <c r="F76" s="4" t="s">
        <v>2085</v>
      </c>
      <c r="G76" s="4" t="s">
        <v>2086</v>
      </c>
      <c r="H76" s="4" t="s">
        <v>1068</v>
      </c>
      <c r="I76" s="4" t="s">
        <v>2087</v>
      </c>
      <c r="J76" s="4" t="s">
        <v>2088</v>
      </c>
      <c r="K76" s="17" t="n">
        <v>74.120154</v>
      </c>
      <c r="L76" s="4" t="n">
        <v>2026</v>
      </c>
      <c r="M76" s="4" t="s">
        <v>5</v>
      </c>
      <c r="N76" s="4" t="s">
        <v>2018</v>
      </c>
      <c r="O76" s="4" t="s">
        <v>494</v>
      </c>
      <c r="P76" s="7" t="n">
        <v>74.120154</v>
      </c>
      <c r="Q76" s="7"/>
      <c r="R76" s="4" t="s">
        <v>2089</v>
      </c>
      <c r="S76" s="4" t="s">
        <v>2020</v>
      </c>
      <c r="T76" s="4" t="s">
        <v>2090</v>
      </c>
      <c r="U76" s="4" t="s">
        <v>2022</v>
      </c>
      <c r="V76" s="4" t="s">
        <v>498</v>
      </c>
      <c r="W76" s="4"/>
      <c r="X76" s="4" t="s">
        <v>499</v>
      </c>
      <c r="Y76" s="4"/>
      <c r="Z76" s="23" t="s">
        <v>2091</v>
      </c>
      <c r="AA76" s="7"/>
      <c r="AB76" s="4"/>
      <c r="AC76" s="4"/>
      <c r="AD76" s="4"/>
      <c r="AE76" s="18" t="s">
        <v>470</v>
      </c>
      <c r="AF76" s="4" t="s">
        <v>471</v>
      </c>
      <c r="AG76" s="23" t="n">
        <v>703</v>
      </c>
      <c r="AH76" s="23" t="s">
        <v>2025</v>
      </c>
      <c r="AI76" s="23" t="s">
        <v>2092</v>
      </c>
      <c r="AJ76" s="23" t="s">
        <v>503</v>
      </c>
      <c r="AK76" s="23" t="s">
        <v>2093</v>
      </c>
      <c r="AL76" s="7" t="n">
        <v>44.800303</v>
      </c>
      <c r="AM76" s="4" t="n">
        <v>2026</v>
      </c>
      <c r="AN76" s="4" t="s">
        <v>2094</v>
      </c>
      <c r="AO76" s="4" t="s">
        <v>2095</v>
      </c>
      <c r="AP76" s="4" t="s">
        <v>2096</v>
      </c>
      <c r="AQ76" s="20" t="n">
        <v>8.825436</v>
      </c>
      <c r="AR76" s="23" t="n">
        <v>2026</v>
      </c>
      <c r="AS76" s="23" t="s">
        <v>2030</v>
      </c>
      <c r="AT76" s="23" t="s">
        <v>2097</v>
      </c>
      <c r="AU76" s="23" t="s">
        <v>2098</v>
      </c>
      <c r="AV76" s="23" t="s">
        <v>2033</v>
      </c>
      <c r="AW76" s="23" t="s">
        <v>2099</v>
      </c>
      <c r="AX76" s="19" t="n">
        <v>832</v>
      </c>
      <c r="AY76" s="19" t="s">
        <v>964</v>
      </c>
      <c r="AZ76" s="19" t="s">
        <v>2100</v>
      </c>
      <c r="BA76" s="19" t="s">
        <v>2096</v>
      </c>
      <c r="BB76" s="24" t="s">
        <v>2101</v>
      </c>
      <c r="BC76" s="4" t="s">
        <v>2102</v>
      </c>
      <c r="BD76" s="4" t="s">
        <v>2103</v>
      </c>
      <c r="BE76" s="4" t="s">
        <v>514</v>
      </c>
      <c r="BF76" s="4" t="s">
        <v>515</v>
      </c>
      <c r="BG76" s="4" t="s">
        <v>2104</v>
      </c>
      <c r="BH76" s="4" t="s">
        <v>2105</v>
      </c>
      <c r="BI76" s="7"/>
      <c r="BJ76" s="7"/>
      <c r="BK76" s="7"/>
      <c r="BL76" s="20" t="n">
        <v>44.855925</v>
      </c>
      <c r="BM76" s="23" t="s">
        <v>2106</v>
      </c>
      <c r="BN76" s="23" t="s">
        <v>2107</v>
      </c>
      <c r="BO76" s="20" t="n">
        <v>44.459851</v>
      </c>
      <c r="BP76" s="20" t="n">
        <v>38.427661</v>
      </c>
      <c r="BQ76" s="20" t="n">
        <v>38.427661</v>
      </c>
      <c r="BR76" s="20" t="s">
        <v>2045</v>
      </c>
      <c r="BS76" s="20" t="s">
        <v>2046</v>
      </c>
      <c r="BT76" s="20" t="s">
        <v>2108</v>
      </c>
      <c r="BU76" s="20" t="s">
        <v>2109</v>
      </c>
      <c r="BV76" s="20" t="s">
        <v>24</v>
      </c>
      <c r="BW76" s="20" t="s">
        <v>30</v>
      </c>
      <c r="BX76" s="20" t="s">
        <v>34</v>
      </c>
      <c r="BY76" s="20" t="s">
        <v>2110</v>
      </c>
      <c r="BZ76" s="20" t="s">
        <v>484</v>
      </c>
      <c r="CA76" s="20" t="s">
        <v>524</v>
      </c>
      <c r="CB76" s="20" t="s">
        <v>2111</v>
      </c>
      <c r="CC76" s="20" t="s">
        <v>2112</v>
      </c>
      <c r="CD76" s="20" t="s">
        <v>79</v>
      </c>
      <c r="CE76" s="20" t="s">
        <v>78</v>
      </c>
      <c r="CF76" s="21" t="n">
        <v>12</v>
      </c>
      <c r="CG76" s="7"/>
      <c r="CH76" s="22" t="n">
        <f aca="false">IF(AND(ISNUMBER(BP76),ISNUMBER(AG76),AG76&gt;0),BP76*1000000/AG76,"")</f>
        <v>54662.3911806543</v>
      </c>
      <c r="CI76" s="21" t="n">
        <v>446</v>
      </c>
      <c r="CJ76" s="21" t="n">
        <v>333</v>
      </c>
      <c r="CK76" s="21" t="n">
        <v>52</v>
      </c>
      <c r="CL76" s="21" t="n">
        <v>831</v>
      </c>
      <c r="CM76" s="7"/>
      <c r="CN76" s="21" t="n">
        <v>1</v>
      </c>
      <c r="CO76" s="7"/>
      <c r="CP76" s="20" t="s">
        <v>2113</v>
      </c>
      <c r="CQ76" s="20" t="s">
        <v>2082</v>
      </c>
      <c r="CR76" s="20" t="s">
        <v>2114</v>
      </c>
      <c r="CS76" s="20" t="s">
        <v>2115</v>
      </c>
    </row>
    <row r="77" customFormat="false" ht="1545.5" hidden="false" customHeight="false" outlineLevel="0" collapsed="false">
      <c r="A77" s="4" t="n">
        <v>76</v>
      </c>
      <c r="B77" s="4" t="s">
        <v>2010</v>
      </c>
      <c r="C77" s="4" t="s">
        <v>55</v>
      </c>
      <c r="D77" s="4" t="s">
        <v>2116</v>
      </c>
      <c r="E77" s="4" t="s">
        <v>2117</v>
      </c>
      <c r="F77" s="4" t="s">
        <v>592</v>
      </c>
      <c r="G77" s="4" t="s">
        <v>2118</v>
      </c>
      <c r="H77" s="4" t="s">
        <v>2119</v>
      </c>
      <c r="I77" s="4" t="s">
        <v>2120</v>
      </c>
      <c r="J77" s="4" t="s">
        <v>2121</v>
      </c>
      <c r="K77" s="25" t="n">
        <v>4.713195</v>
      </c>
      <c r="L77" s="23" t="n">
        <v>2026</v>
      </c>
      <c r="M77" s="23" t="s">
        <v>5</v>
      </c>
      <c r="N77" s="23" t="s">
        <v>2018</v>
      </c>
      <c r="O77" s="23" t="s">
        <v>494</v>
      </c>
      <c r="P77" s="20" t="n">
        <v>4.713195</v>
      </c>
      <c r="Q77" s="7"/>
      <c r="R77" s="23" t="s">
        <v>2122</v>
      </c>
      <c r="S77" s="4" t="s">
        <v>2020</v>
      </c>
      <c r="T77" s="4" t="s">
        <v>2123</v>
      </c>
      <c r="U77" s="4" t="s">
        <v>2022</v>
      </c>
      <c r="V77" s="4" t="s">
        <v>498</v>
      </c>
      <c r="W77" s="4"/>
      <c r="X77" s="4" t="s">
        <v>499</v>
      </c>
      <c r="Y77" s="4"/>
      <c r="Z77" s="23" t="s">
        <v>2124</v>
      </c>
      <c r="AA77" s="7"/>
      <c r="AB77" s="4"/>
      <c r="AC77" s="4"/>
      <c r="AD77" s="4"/>
      <c r="AE77" s="18" t="s">
        <v>470</v>
      </c>
      <c r="AF77" s="4" t="s">
        <v>471</v>
      </c>
      <c r="AG77" s="23" t="n">
        <v>43</v>
      </c>
      <c r="AH77" s="23" t="s">
        <v>2125</v>
      </c>
      <c r="AI77" s="23" t="s">
        <v>2126</v>
      </c>
      <c r="AJ77" s="23" t="s">
        <v>503</v>
      </c>
      <c r="AK77" s="23" t="s">
        <v>2127</v>
      </c>
      <c r="AL77" s="20" t="n">
        <v>3.480037</v>
      </c>
      <c r="AM77" s="23" t="n">
        <v>2026</v>
      </c>
      <c r="AN77" s="23" t="s">
        <v>2128</v>
      </c>
      <c r="AO77" s="23" t="s">
        <v>506</v>
      </c>
      <c r="AP77" s="23" t="s">
        <v>2129</v>
      </c>
      <c r="AQ77" s="7"/>
      <c r="AR77" s="4"/>
      <c r="AS77" s="4"/>
      <c r="AT77" s="4"/>
      <c r="AU77" s="4"/>
      <c r="AV77" s="4" t="s">
        <v>475</v>
      </c>
      <c r="AW77" s="23" t="s">
        <v>2130</v>
      </c>
      <c r="AX77" s="24" t="n">
        <v>52</v>
      </c>
      <c r="AY77" s="24" t="s">
        <v>964</v>
      </c>
      <c r="AZ77" s="24" t="s">
        <v>2131</v>
      </c>
      <c r="BA77" s="24" t="s">
        <v>2132</v>
      </c>
      <c r="BB77" s="24" t="s">
        <v>2133</v>
      </c>
      <c r="BC77" s="4" t="s">
        <v>2134</v>
      </c>
      <c r="BD77" s="4" t="s">
        <v>2135</v>
      </c>
      <c r="BE77" s="4" t="s">
        <v>2136</v>
      </c>
      <c r="BF77" s="4" t="s">
        <v>2137</v>
      </c>
      <c r="BG77" s="4" t="s">
        <v>2138</v>
      </c>
      <c r="BH77" s="4" t="s">
        <v>2139</v>
      </c>
      <c r="BI77" s="7"/>
      <c r="BJ77" s="7"/>
      <c r="BK77" s="7"/>
      <c r="BL77" s="7"/>
      <c r="BM77" s="4"/>
      <c r="BN77" s="23" t="s">
        <v>2140</v>
      </c>
      <c r="BO77" s="7"/>
      <c r="BP77" s="7"/>
      <c r="BQ77" s="7"/>
      <c r="BR77" s="7"/>
      <c r="BS77" s="7"/>
      <c r="BT77" s="7"/>
      <c r="BU77" s="7"/>
      <c r="BV77" s="20" t="s">
        <v>24</v>
      </c>
      <c r="BW77" s="20" t="s">
        <v>30</v>
      </c>
      <c r="BX77" s="20" t="s">
        <v>37</v>
      </c>
      <c r="BY77" s="20" t="s">
        <v>2141</v>
      </c>
      <c r="BZ77" s="20" t="s">
        <v>484</v>
      </c>
      <c r="CA77" s="20" t="s">
        <v>524</v>
      </c>
      <c r="CB77" s="20" t="s">
        <v>2142</v>
      </c>
      <c r="CC77" s="20" t="s">
        <v>2143</v>
      </c>
      <c r="CD77" s="20" t="s">
        <v>2144</v>
      </c>
      <c r="CE77" s="20" t="s">
        <v>95</v>
      </c>
      <c r="CF77" s="21" t="n">
        <v>13</v>
      </c>
      <c r="CG77" s="7"/>
      <c r="CH77" s="22" t="str">
        <f aca="false">IF(AND(ISNUMBER(BP77),ISNUMBER(AG77),AG77&gt;0),BP77*1000000/AG77,"")</f>
        <v/>
      </c>
      <c r="CI77" s="21" t="n">
        <v>36</v>
      </c>
      <c r="CJ77" s="21" t="n">
        <v>11</v>
      </c>
      <c r="CK77" s="21" t="n">
        <v>4</v>
      </c>
      <c r="CL77" s="21" t="n">
        <v>51</v>
      </c>
      <c r="CM77" s="21" t="n">
        <v>20</v>
      </c>
      <c r="CN77" s="21" t="n">
        <v>1</v>
      </c>
      <c r="CO77" s="21" t="n">
        <v>2</v>
      </c>
      <c r="CP77" s="20" t="s">
        <v>2145</v>
      </c>
      <c r="CQ77" s="20" t="s">
        <v>2146</v>
      </c>
      <c r="CR77" s="20" t="s">
        <v>2132</v>
      </c>
      <c r="CS77" s="20" t="s">
        <v>2147</v>
      </c>
    </row>
    <row r="78" customFormat="false" ht="900.7" hidden="false" customHeight="false" outlineLevel="0" collapsed="false">
      <c r="A78" s="4" t="n">
        <v>77</v>
      </c>
      <c r="B78" s="4" t="s">
        <v>2010</v>
      </c>
      <c r="C78" s="4" t="s">
        <v>55</v>
      </c>
      <c r="D78" s="4" t="s">
        <v>2011</v>
      </c>
      <c r="E78" s="4" t="s">
        <v>2148</v>
      </c>
      <c r="F78" s="4" t="s">
        <v>693</v>
      </c>
      <c r="G78" s="4" t="s">
        <v>2149</v>
      </c>
      <c r="H78" s="4" t="s">
        <v>2150</v>
      </c>
      <c r="I78" s="4" t="s">
        <v>2151</v>
      </c>
      <c r="J78" s="4" t="s">
        <v>2152</v>
      </c>
      <c r="K78" s="17"/>
      <c r="L78" s="4"/>
      <c r="M78" s="4"/>
      <c r="N78" s="4"/>
      <c r="O78" s="23" t="s">
        <v>643</v>
      </c>
      <c r="P78" s="7"/>
      <c r="Q78" s="7"/>
      <c r="R78" s="23" t="s">
        <v>2153</v>
      </c>
      <c r="S78" s="4" t="s">
        <v>2020</v>
      </c>
      <c r="T78" s="4" t="s">
        <v>2090</v>
      </c>
      <c r="U78" s="4" t="s">
        <v>2022</v>
      </c>
      <c r="V78" s="4" t="s">
        <v>498</v>
      </c>
      <c r="W78" s="4"/>
      <c r="X78" s="4" t="s">
        <v>499</v>
      </c>
      <c r="Y78" s="4"/>
      <c r="Z78" s="23" t="s">
        <v>2154</v>
      </c>
      <c r="AA78" s="7"/>
      <c r="AB78" s="4"/>
      <c r="AC78" s="4"/>
      <c r="AD78" s="4"/>
      <c r="AE78" s="18" t="s">
        <v>470</v>
      </c>
      <c r="AF78" s="4" t="s">
        <v>471</v>
      </c>
      <c r="AG78" s="4"/>
      <c r="AH78" s="4"/>
      <c r="AI78" s="4" t="s">
        <v>472</v>
      </c>
      <c r="AJ78" s="23" t="s">
        <v>2155</v>
      </c>
      <c r="AK78" s="4"/>
      <c r="AL78" s="7"/>
      <c r="AM78" s="4"/>
      <c r="AN78" s="4"/>
      <c r="AO78" s="23" t="s">
        <v>2156</v>
      </c>
      <c r="AP78" s="4"/>
      <c r="AQ78" s="7"/>
      <c r="AR78" s="4"/>
      <c r="AS78" s="4"/>
      <c r="AT78" s="4"/>
      <c r="AU78" s="4"/>
      <c r="AV78" s="23" t="s">
        <v>2157</v>
      </c>
      <c r="AW78" s="23" t="s">
        <v>2158</v>
      </c>
      <c r="AX78" s="19"/>
      <c r="AY78" s="19"/>
      <c r="AZ78" s="19"/>
      <c r="BA78" s="19"/>
      <c r="BB78" s="24" t="s">
        <v>2159</v>
      </c>
      <c r="BC78" s="4" t="s">
        <v>2160</v>
      </c>
      <c r="BD78" s="4" t="s">
        <v>685</v>
      </c>
      <c r="BE78" s="4" t="s">
        <v>686</v>
      </c>
      <c r="BF78" s="4" t="s">
        <v>687</v>
      </c>
      <c r="BG78" s="4" t="s">
        <v>2161</v>
      </c>
      <c r="BH78" s="4" t="s">
        <v>2162</v>
      </c>
      <c r="BI78" s="7"/>
      <c r="BJ78" s="7"/>
      <c r="BK78" s="7"/>
      <c r="BL78" s="7"/>
      <c r="BM78" s="4"/>
      <c r="BN78" s="4"/>
      <c r="BO78" s="7"/>
      <c r="BP78" s="7"/>
      <c r="BQ78" s="7"/>
      <c r="BR78" s="7"/>
      <c r="BS78" s="7"/>
      <c r="BT78" s="7"/>
      <c r="BU78" s="7"/>
      <c r="BV78" s="20" t="s">
        <v>24</v>
      </c>
      <c r="BW78" s="20" t="s">
        <v>31</v>
      </c>
      <c r="BX78" s="20" t="s">
        <v>38</v>
      </c>
      <c r="BY78" s="7"/>
      <c r="BZ78" s="20" t="s">
        <v>484</v>
      </c>
      <c r="CA78" s="20" t="s">
        <v>713</v>
      </c>
      <c r="CB78" s="20" t="s">
        <v>2163</v>
      </c>
      <c r="CC78" s="20" t="s">
        <v>2164</v>
      </c>
      <c r="CD78" s="20" t="s">
        <v>2165</v>
      </c>
      <c r="CE78" s="20" t="s">
        <v>2166</v>
      </c>
      <c r="CF78" s="7"/>
      <c r="CG78" s="20" t="s">
        <v>2167</v>
      </c>
      <c r="CH78" s="22" t="str">
        <f aca="false">IF(AND(ISNUMBER(BP78),ISNUMBER(AG78),AG78&gt;0),BP78*1000000/AG78,"")</f>
        <v/>
      </c>
      <c r="CI78" s="7"/>
      <c r="CJ78" s="7"/>
      <c r="CK78" s="7"/>
      <c r="CL78" s="7"/>
      <c r="CM78" s="7"/>
      <c r="CN78" s="7"/>
      <c r="CO78" s="7"/>
      <c r="CP78" s="7"/>
      <c r="CQ78" s="7"/>
      <c r="CR78" s="7"/>
      <c r="CS78" s="7"/>
    </row>
    <row r="79" customFormat="false" ht="766.4" hidden="false" customHeight="false" outlineLevel="0" collapsed="false">
      <c r="A79" s="4" t="n">
        <v>78</v>
      </c>
      <c r="B79" s="4" t="s">
        <v>2010</v>
      </c>
      <c r="C79" s="4" t="s">
        <v>56</v>
      </c>
      <c r="D79" s="4" t="s">
        <v>2011</v>
      </c>
      <c r="E79" s="4" t="s">
        <v>2168</v>
      </c>
      <c r="F79" s="4" t="s">
        <v>592</v>
      </c>
      <c r="G79" s="4" t="s">
        <v>2169</v>
      </c>
      <c r="H79" s="4" t="s">
        <v>2170</v>
      </c>
      <c r="I79" s="4" t="s">
        <v>2171</v>
      </c>
      <c r="J79" s="4" t="s">
        <v>2172</v>
      </c>
      <c r="K79" s="25" t="n">
        <v>0.753553</v>
      </c>
      <c r="L79" s="23" t="n">
        <v>2024</v>
      </c>
      <c r="M79" s="23" t="s">
        <v>6</v>
      </c>
      <c r="N79" s="23" t="s">
        <v>2173</v>
      </c>
      <c r="O79" s="23" t="s">
        <v>2174</v>
      </c>
      <c r="P79" s="20" t="n">
        <v>0.753553</v>
      </c>
      <c r="Q79" s="7"/>
      <c r="R79" s="23" t="s">
        <v>2175</v>
      </c>
      <c r="S79" s="4" t="s">
        <v>2020</v>
      </c>
      <c r="T79" s="23" t="s">
        <v>2176</v>
      </c>
      <c r="U79" s="4" t="s">
        <v>2022</v>
      </c>
      <c r="V79" s="4" t="s">
        <v>498</v>
      </c>
      <c r="W79" s="4"/>
      <c r="X79" s="4" t="s">
        <v>499</v>
      </c>
      <c r="Y79" s="4"/>
      <c r="Z79" s="23" t="s">
        <v>2177</v>
      </c>
      <c r="AA79" s="7"/>
      <c r="AB79" s="4"/>
      <c r="AC79" s="4"/>
      <c r="AD79" s="4"/>
      <c r="AE79" s="18" t="s">
        <v>470</v>
      </c>
      <c r="AF79" s="4" t="s">
        <v>471</v>
      </c>
      <c r="AG79" s="4"/>
      <c r="AH79" s="4"/>
      <c r="AI79" s="4" t="s">
        <v>472</v>
      </c>
      <c r="AJ79" s="4" t="s">
        <v>473</v>
      </c>
      <c r="AK79" s="4"/>
      <c r="AL79" s="7"/>
      <c r="AM79" s="4"/>
      <c r="AN79" s="4"/>
      <c r="AO79" s="4" t="s">
        <v>474</v>
      </c>
      <c r="AP79" s="4"/>
      <c r="AQ79" s="7"/>
      <c r="AR79" s="4"/>
      <c r="AS79" s="4"/>
      <c r="AT79" s="4"/>
      <c r="AU79" s="4"/>
      <c r="AV79" s="4" t="s">
        <v>475</v>
      </c>
      <c r="AW79" s="23" t="s">
        <v>2178</v>
      </c>
      <c r="AX79" s="19"/>
      <c r="AY79" s="19"/>
      <c r="AZ79" s="19"/>
      <c r="BA79" s="19"/>
      <c r="BB79" s="24" t="s">
        <v>2179</v>
      </c>
      <c r="BC79" s="4" t="s">
        <v>2180</v>
      </c>
      <c r="BD79" s="4" t="s">
        <v>2181</v>
      </c>
      <c r="BE79" s="4" t="s">
        <v>514</v>
      </c>
      <c r="BF79" s="4" t="s">
        <v>515</v>
      </c>
      <c r="BG79" s="4" t="s">
        <v>2182</v>
      </c>
      <c r="BH79" s="4" t="s">
        <v>2183</v>
      </c>
      <c r="BI79" s="7"/>
      <c r="BJ79" s="7"/>
      <c r="BK79" s="7"/>
      <c r="BL79" s="7"/>
      <c r="BM79" s="4"/>
      <c r="BN79" s="23" t="s">
        <v>2184</v>
      </c>
      <c r="BO79" s="7"/>
      <c r="BP79" s="7"/>
      <c r="BQ79" s="7"/>
      <c r="BR79" s="7"/>
      <c r="BS79" s="7"/>
      <c r="BT79" s="7"/>
      <c r="BU79" s="7"/>
      <c r="BV79" s="20" t="s">
        <v>24</v>
      </c>
      <c r="BW79" s="20" t="s">
        <v>30</v>
      </c>
      <c r="BX79" s="20" t="s">
        <v>37</v>
      </c>
      <c r="BY79" s="20" t="s">
        <v>2185</v>
      </c>
      <c r="BZ79" s="20" t="s">
        <v>484</v>
      </c>
      <c r="CA79" s="20" t="s">
        <v>524</v>
      </c>
      <c r="CB79" s="20" t="s">
        <v>2186</v>
      </c>
      <c r="CC79" s="20" t="s">
        <v>2187</v>
      </c>
      <c r="CD79" s="20" t="s">
        <v>150</v>
      </c>
      <c r="CE79" s="20" t="s">
        <v>149</v>
      </c>
      <c r="CF79" s="21" t="n">
        <v>11</v>
      </c>
      <c r="CG79" s="7"/>
      <c r="CH79" s="22" t="str">
        <f aca="false">IF(AND(ISNUMBER(BP79),ISNUMBER(AG79),AG79&gt;0),BP79*1000000/AG79,"")</f>
        <v/>
      </c>
      <c r="CI79" s="21" t="n">
        <v>4</v>
      </c>
      <c r="CJ79" s="21" t="n">
        <v>3</v>
      </c>
      <c r="CK79" s="21" t="n">
        <v>1</v>
      </c>
      <c r="CL79" s="21" t="n">
        <v>8</v>
      </c>
      <c r="CM79" s="7"/>
      <c r="CN79" s="7"/>
      <c r="CO79" s="7"/>
      <c r="CP79" s="20" t="s">
        <v>2188</v>
      </c>
      <c r="CQ79" s="20" t="s">
        <v>2189</v>
      </c>
      <c r="CR79" s="20" t="s">
        <v>2190</v>
      </c>
      <c r="CS79" s="20" t="s">
        <v>2191</v>
      </c>
    </row>
    <row r="80" customFormat="false" ht="605.95" hidden="false" customHeight="false" outlineLevel="0" collapsed="false">
      <c r="A80" s="4" t="n">
        <v>79</v>
      </c>
      <c r="B80" s="4" t="s">
        <v>2010</v>
      </c>
      <c r="C80" s="4" t="s">
        <v>57</v>
      </c>
      <c r="D80" s="4" t="s">
        <v>2116</v>
      </c>
      <c r="E80" s="4" t="s">
        <v>2192</v>
      </c>
      <c r="F80" s="4" t="s">
        <v>2193</v>
      </c>
      <c r="G80" s="4" t="s">
        <v>2194</v>
      </c>
      <c r="H80" s="4" t="s">
        <v>2195</v>
      </c>
      <c r="I80" s="4" t="s">
        <v>2196</v>
      </c>
      <c r="J80" s="4" t="s">
        <v>2197</v>
      </c>
      <c r="K80" s="17" t="n">
        <v>53.101505</v>
      </c>
      <c r="L80" s="4" t="n">
        <v>2026</v>
      </c>
      <c r="M80" s="4" t="s">
        <v>5</v>
      </c>
      <c r="N80" s="4" t="s">
        <v>2018</v>
      </c>
      <c r="O80" s="4" t="s">
        <v>494</v>
      </c>
      <c r="P80" s="7" t="n">
        <v>53.101505</v>
      </c>
      <c r="Q80" s="7"/>
      <c r="R80" s="23" t="s">
        <v>2198</v>
      </c>
      <c r="S80" s="23" t="s">
        <v>2199</v>
      </c>
      <c r="T80" s="4" t="s">
        <v>2200</v>
      </c>
      <c r="U80" s="4" t="s">
        <v>2022</v>
      </c>
      <c r="V80" s="4" t="s">
        <v>498</v>
      </c>
      <c r="W80" s="4"/>
      <c r="X80" s="4" t="s">
        <v>499</v>
      </c>
      <c r="Y80" s="4"/>
      <c r="Z80" s="23" t="s">
        <v>2201</v>
      </c>
      <c r="AA80" s="7"/>
      <c r="AB80" s="4"/>
      <c r="AC80" s="4"/>
      <c r="AD80" s="4"/>
      <c r="AE80" s="18" t="s">
        <v>470</v>
      </c>
      <c r="AF80" s="4" t="s">
        <v>471</v>
      </c>
      <c r="AG80" s="4"/>
      <c r="AH80" s="4"/>
      <c r="AI80" s="4" t="s">
        <v>472</v>
      </c>
      <c r="AJ80" s="4" t="s">
        <v>473</v>
      </c>
      <c r="AK80" s="4"/>
      <c r="AL80" s="7"/>
      <c r="AM80" s="4"/>
      <c r="AN80" s="4"/>
      <c r="AO80" s="4" t="s">
        <v>474</v>
      </c>
      <c r="AP80" s="4"/>
      <c r="AQ80" s="7"/>
      <c r="AR80" s="4"/>
      <c r="AS80" s="4"/>
      <c r="AT80" s="4"/>
      <c r="AU80" s="4"/>
      <c r="AV80" s="4" t="s">
        <v>475</v>
      </c>
      <c r="AW80" s="23" t="s">
        <v>2202</v>
      </c>
      <c r="AX80" s="19"/>
      <c r="AY80" s="19"/>
      <c r="AZ80" s="19"/>
      <c r="BA80" s="19"/>
      <c r="BB80" s="19"/>
      <c r="BC80" s="4" t="s">
        <v>2203</v>
      </c>
      <c r="BD80" s="4" t="s">
        <v>2204</v>
      </c>
      <c r="BE80" s="4" t="s">
        <v>514</v>
      </c>
      <c r="BF80" s="4" t="s">
        <v>515</v>
      </c>
      <c r="BG80" s="4" t="s">
        <v>2205</v>
      </c>
      <c r="BH80" s="4" t="s">
        <v>2206</v>
      </c>
      <c r="BI80" s="7"/>
      <c r="BJ80" s="7"/>
      <c r="BK80" s="7"/>
      <c r="BL80" s="7"/>
      <c r="BM80" s="4"/>
      <c r="BN80" s="4"/>
      <c r="BO80" s="7"/>
      <c r="BP80" s="7"/>
      <c r="BQ80" s="7"/>
      <c r="BR80" s="7"/>
      <c r="BS80" s="7"/>
      <c r="BT80" s="7"/>
      <c r="BU80" s="7"/>
      <c r="BV80" s="20" t="s">
        <v>23</v>
      </c>
      <c r="BW80" s="20" t="s">
        <v>28</v>
      </c>
      <c r="BX80" s="20" t="s">
        <v>34</v>
      </c>
      <c r="BY80" s="20" t="s">
        <v>2207</v>
      </c>
      <c r="BZ80" s="20" t="s">
        <v>484</v>
      </c>
      <c r="CA80" s="20" t="s">
        <v>664</v>
      </c>
      <c r="CB80" s="20" t="s">
        <v>2208</v>
      </c>
      <c r="CC80" s="20" t="s">
        <v>2209</v>
      </c>
      <c r="CD80" s="7"/>
      <c r="CE80" s="20" t="s">
        <v>283</v>
      </c>
      <c r="CF80" s="21" t="n">
        <v>9</v>
      </c>
      <c r="CG80" s="7"/>
      <c r="CH80" s="22" t="str">
        <f aca="false">IF(AND(ISNUMBER(BP80),ISNUMBER(AG80),AG80&gt;0),BP80*1000000/AG80,"")</f>
        <v/>
      </c>
      <c r="CI80" s="7"/>
      <c r="CJ80" s="7"/>
      <c r="CK80" s="7"/>
      <c r="CL80" s="7"/>
      <c r="CM80" s="7"/>
      <c r="CN80" s="7"/>
      <c r="CO80" s="7"/>
      <c r="CP80" s="7"/>
      <c r="CQ80" s="7"/>
      <c r="CR80" s="7"/>
      <c r="CS80" s="7"/>
    </row>
    <row r="81" customFormat="false" ht="646.25" hidden="false" customHeight="false" outlineLevel="0" collapsed="false">
      <c r="A81" s="4" t="n">
        <v>80</v>
      </c>
      <c r="B81" s="4" t="s">
        <v>2010</v>
      </c>
      <c r="C81" s="4" t="s">
        <v>58</v>
      </c>
      <c r="D81" s="4" t="s">
        <v>2011</v>
      </c>
      <c r="E81" s="4" t="s">
        <v>2210</v>
      </c>
      <c r="F81" s="4" t="s">
        <v>2211</v>
      </c>
      <c r="G81" s="4" t="s">
        <v>2212</v>
      </c>
      <c r="H81" s="4" t="s">
        <v>2213</v>
      </c>
      <c r="I81" s="4" t="s">
        <v>2214</v>
      </c>
      <c r="J81" s="4" t="s">
        <v>2215</v>
      </c>
      <c r="K81" s="17" t="n">
        <v>16.25992</v>
      </c>
      <c r="L81" s="4" t="n">
        <v>2026</v>
      </c>
      <c r="M81" s="4" t="s">
        <v>5</v>
      </c>
      <c r="N81" s="23" t="s">
        <v>2216</v>
      </c>
      <c r="O81" s="4" t="s">
        <v>494</v>
      </c>
      <c r="P81" s="7" t="n">
        <v>16.25992</v>
      </c>
      <c r="Q81" s="7"/>
      <c r="R81" s="23" t="s">
        <v>2217</v>
      </c>
      <c r="S81" s="23" t="s">
        <v>2218</v>
      </c>
      <c r="T81" s="4" t="s">
        <v>2219</v>
      </c>
      <c r="U81" s="4" t="s">
        <v>2022</v>
      </c>
      <c r="V81" s="4" t="s">
        <v>498</v>
      </c>
      <c r="W81" s="4"/>
      <c r="X81" s="4" t="s">
        <v>499</v>
      </c>
      <c r="Y81" s="4"/>
      <c r="Z81" s="23" t="s">
        <v>2220</v>
      </c>
      <c r="AA81" s="7"/>
      <c r="AB81" s="4"/>
      <c r="AC81" s="4"/>
      <c r="AD81" s="4"/>
      <c r="AE81" s="18" t="s">
        <v>470</v>
      </c>
      <c r="AF81" s="4" t="s">
        <v>471</v>
      </c>
      <c r="AG81" s="4"/>
      <c r="AH81" s="4"/>
      <c r="AI81" s="4" t="s">
        <v>472</v>
      </c>
      <c r="AJ81" s="4" t="s">
        <v>473</v>
      </c>
      <c r="AK81" s="4"/>
      <c r="AL81" s="7" t="n">
        <v>9.801634</v>
      </c>
      <c r="AM81" s="4" t="n">
        <v>2026</v>
      </c>
      <c r="AN81" s="23" t="s">
        <v>2221</v>
      </c>
      <c r="AO81" s="23" t="s">
        <v>2222</v>
      </c>
      <c r="AP81" s="23" t="s">
        <v>2223</v>
      </c>
      <c r="AQ81" s="7"/>
      <c r="AR81" s="4"/>
      <c r="AS81" s="4"/>
      <c r="AT81" s="4"/>
      <c r="AU81" s="4"/>
      <c r="AV81" s="4" t="s">
        <v>475</v>
      </c>
      <c r="AW81" s="23" t="s">
        <v>2224</v>
      </c>
      <c r="AX81" s="19"/>
      <c r="AY81" s="19"/>
      <c r="AZ81" s="19"/>
      <c r="BA81" s="19"/>
      <c r="BB81" s="19"/>
      <c r="BC81" s="4" t="s">
        <v>2225</v>
      </c>
      <c r="BD81" s="4" t="s">
        <v>2226</v>
      </c>
      <c r="BE81" s="4" t="s">
        <v>514</v>
      </c>
      <c r="BF81" s="4" t="s">
        <v>515</v>
      </c>
      <c r="BG81" s="4" t="s">
        <v>2227</v>
      </c>
      <c r="BH81" s="4" t="s">
        <v>2228</v>
      </c>
      <c r="BI81" s="7"/>
      <c r="BJ81" s="7"/>
      <c r="BK81" s="7"/>
      <c r="BL81" s="7"/>
      <c r="BM81" s="4"/>
      <c r="BN81" s="23" t="s">
        <v>2229</v>
      </c>
      <c r="BO81" s="7"/>
      <c r="BP81" s="7"/>
      <c r="BQ81" s="7"/>
      <c r="BR81" s="7"/>
      <c r="BS81" s="7"/>
      <c r="BT81" s="7"/>
      <c r="BU81" s="7"/>
      <c r="BV81" s="20" t="s">
        <v>24</v>
      </c>
      <c r="BW81" s="20" t="s">
        <v>30</v>
      </c>
      <c r="BX81" s="20" t="s">
        <v>34</v>
      </c>
      <c r="BY81" s="20" t="s">
        <v>2110</v>
      </c>
      <c r="BZ81" s="20" t="s">
        <v>484</v>
      </c>
      <c r="CA81" s="20" t="s">
        <v>664</v>
      </c>
      <c r="CB81" s="20" t="s">
        <v>2111</v>
      </c>
      <c r="CC81" s="20" t="s">
        <v>2112</v>
      </c>
      <c r="CD81" s="20" t="s">
        <v>79</v>
      </c>
      <c r="CE81" s="20" t="s">
        <v>78</v>
      </c>
      <c r="CF81" s="21" t="n">
        <v>12</v>
      </c>
      <c r="CG81" s="7"/>
      <c r="CH81" s="22" t="str">
        <f aca="false">IF(AND(ISNUMBER(BP81),ISNUMBER(AG81),AG81&gt;0),BP81*1000000/AG81,"")</f>
        <v/>
      </c>
      <c r="CI81" s="7"/>
      <c r="CJ81" s="7"/>
      <c r="CK81" s="7"/>
      <c r="CL81" s="7"/>
      <c r="CM81" s="7"/>
      <c r="CN81" s="7"/>
      <c r="CO81" s="7"/>
      <c r="CP81" s="7"/>
      <c r="CQ81" s="7"/>
      <c r="CR81" s="7"/>
      <c r="CS81" s="7"/>
    </row>
    <row r="82" customFormat="false" ht="1075.35" hidden="false" customHeight="false" outlineLevel="0" collapsed="false">
      <c r="A82" s="4" t="n">
        <v>81</v>
      </c>
      <c r="B82" s="4" t="s">
        <v>2010</v>
      </c>
      <c r="C82" s="4" t="s">
        <v>59</v>
      </c>
      <c r="D82" s="4" t="s">
        <v>2116</v>
      </c>
      <c r="E82" s="4" t="s">
        <v>2230</v>
      </c>
      <c r="F82" s="4" t="s">
        <v>2231</v>
      </c>
      <c r="G82" s="4" t="s">
        <v>2232</v>
      </c>
      <c r="H82" s="4" t="s">
        <v>2233</v>
      </c>
      <c r="I82" s="4" t="s">
        <v>2234</v>
      </c>
      <c r="J82" s="4" t="s">
        <v>2235</v>
      </c>
      <c r="K82" s="25" t="n">
        <v>85.087141</v>
      </c>
      <c r="L82" s="4" t="n">
        <v>2026</v>
      </c>
      <c r="M82" s="23" t="s">
        <v>4</v>
      </c>
      <c r="N82" s="23" t="s">
        <v>2236</v>
      </c>
      <c r="O82" s="4" t="s">
        <v>494</v>
      </c>
      <c r="P82" s="7" t="n">
        <v>64.227709</v>
      </c>
      <c r="Q82" s="20" t="n">
        <v>20.859432</v>
      </c>
      <c r="R82" s="23" t="s">
        <v>2237</v>
      </c>
      <c r="S82" s="23" t="s">
        <v>2238</v>
      </c>
      <c r="T82" s="4" t="s">
        <v>2239</v>
      </c>
      <c r="U82" s="4" t="s">
        <v>2240</v>
      </c>
      <c r="V82" s="4" t="s">
        <v>498</v>
      </c>
      <c r="W82" s="4"/>
      <c r="X82" s="4" t="s">
        <v>499</v>
      </c>
      <c r="Y82" s="4"/>
      <c r="Z82" s="23" t="s">
        <v>2241</v>
      </c>
      <c r="AA82" s="7"/>
      <c r="AB82" s="4"/>
      <c r="AC82" s="4"/>
      <c r="AD82" s="4"/>
      <c r="AE82" s="18" t="s">
        <v>470</v>
      </c>
      <c r="AF82" s="4" t="s">
        <v>471</v>
      </c>
      <c r="AG82" s="23" t="n">
        <v>459</v>
      </c>
      <c r="AH82" s="23" t="s">
        <v>601</v>
      </c>
      <c r="AI82" s="23" t="s">
        <v>2242</v>
      </c>
      <c r="AJ82" s="23" t="s">
        <v>2243</v>
      </c>
      <c r="AK82" s="23" t="s">
        <v>2244</v>
      </c>
      <c r="AL82" s="20" t="n">
        <v>29.744903</v>
      </c>
      <c r="AM82" s="23" t="n">
        <v>2026</v>
      </c>
      <c r="AN82" s="23" t="s">
        <v>2245</v>
      </c>
      <c r="AO82" s="23" t="s">
        <v>506</v>
      </c>
      <c r="AP82" s="23" t="s">
        <v>2246</v>
      </c>
      <c r="AQ82" s="20" t="n">
        <v>17.279615</v>
      </c>
      <c r="AR82" s="23" t="n">
        <v>2026</v>
      </c>
      <c r="AS82" s="23" t="s">
        <v>2247</v>
      </c>
      <c r="AT82" s="23" t="s">
        <v>2248</v>
      </c>
      <c r="AU82" s="23" t="s">
        <v>2246</v>
      </c>
      <c r="AV82" s="23" t="s">
        <v>974</v>
      </c>
      <c r="AW82" s="23" t="s">
        <v>2249</v>
      </c>
      <c r="AX82" s="24" t="n">
        <v>752</v>
      </c>
      <c r="AY82" s="24" t="s">
        <v>601</v>
      </c>
      <c r="AZ82" s="24" t="s">
        <v>2250</v>
      </c>
      <c r="BA82" s="24" t="s">
        <v>2244</v>
      </c>
      <c r="BB82" s="19"/>
      <c r="BC82" s="4" t="s">
        <v>2251</v>
      </c>
      <c r="BD82" s="4" t="s">
        <v>2252</v>
      </c>
      <c r="BE82" s="4" t="s">
        <v>540</v>
      </c>
      <c r="BF82" s="4" t="s">
        <v>541</v>
      </c>
      <c r="BG82" s="4" t="s">
        <v>2253</v>
      </c>
      <c r="BH82" s="4" t="s">
        <v>2254</v>
      </c>
      <c r="BI82" s="7"/>
      <c r="BJ82" s="7"/>
      <c r="BK82" s="7"/>
      <c r="BL82" s="20" t="n">
        <v>29.745009</v>
      </c>
      <c r="BM82" s="23" t="s">
        <v>2255</v>
      </c>
      <c r="BN82" s="23" t="s">
        <v>2256</v>
      </c>
      <c r="BO82" s="7"/>
      <c r="BP82" s="7"/>
      <c r="BQ82" s="7"/>
      <c r="BR82" s="7"/>
      <c r="BS82" s="7"/>
      <c r="BT82" s="7"/>
      <c r="BU82" s="7"/>
      <c r="BV82" s="20" t="s">
        <v>24</v>
      </c>
      <c r="BW82" s="20" t="s">
        <v>30</v>
      </c>
      <c r="BX82" s="20" t="s">
        <v>34</v>
      </c>
      <c r="BY82" s="20" t="s">
        <v>2110</v>
      </c>
      <c r="BZ82" s="20" t="s">
        <v>484</v>
      </c>
      <c r="CA82" s="20" t="s">
        <v>524</v>
      </c>
      <c r="CB82" s="20" t="s">
        <v>2111</v>
      </c>
      <c r="CC82" s="20" t="s">
        <v>2112</v>
      </c>
      <c r="CD82" s="20" t="s">
        <v>79</v>
      </c>
      <c r="CE82" s="20" t="s">
        <v>78</v>
      </c>
      <c r="CF82" s="21" t="n">
        <v>12</v>
      </c>
      <c r="CG82" s="7"/>
      <c r="CH82" s="22" t="str">
        <f aca="false">IF(AND(ISNUMBER(BP82),ISNUMBER(AG82),AG82&gt;0),BP82*1000000/AG82,"")</f>
        <v/>
      </c>
      <c r="CI82" s="7"/>
      <c r="CJ82" s="7"/>
      <c r="CK82" s="7"/>
      <c r="CL82" s="7"/>
      <c r="CM82" s="7"/>
      <c r="CN82" s="7"/>
      <c r="CO82" s="7"/>
      <c r="CP82" s="7"/>
      <c r="CQ82" s="7"/>
      <c r="CR82" s="7"/>
      <c r="CS82" s="7"/>
    </row>
    <row r="83" customFormat="false" ht="592.5" hidden="false" customHeight="false" outlineLevel="0" collapsed="false">
      <c r="A83" s="4" t="n">
        <v>82</v>
      </c>
      <c r="B83" s="4" t="s">
        <v>2010</v>
      </c>
      <c r="C83" s="4" t="s">
        <v>60</v>
      </c>
      <c r="D83" s="4" t="s">
        <v>2011</v>
      </c>
      <c r="E83" s="4" t="s">
        <v>2257</v>
      </c>
      <c r="F83" s="4" t="s">
        <v>2258</v>
      </c>
      <c r="G83" s="4" t="s">
        <v>2259</v>
      </c>
      <c r="H83" s="4" t="s">
        <v>2260</v>
      </c>
      <c r="I83" s="4" t="s">
        <v>2261</v>
      </c>
      <c r="J83" s="4" t="s">
        <v>2262</v>
      </c>
      <c r="K83" s="17"/>
      <c r="L83" s="4"/>
      <c r="M83" s="4"/>
      <c r="N83" s="4"/>
      <c r="O83" s="4" t="s">
        <v>780</v>
      </c>
      <c r="P83" s="7"/>
      <c r="Q83" s="7"/>
      <c r="R83" s="23" t="s">
        <v>2263</v>
      </c>
      <c r="S83" s="23" t="s">
        <v>2264</v>
      </c>
      <c r="T83" s="23" t="s">
        <v>2265</v>
      </c>
      <c r="U83" s="4" t="s">
        <v>2022</v>
      </c>
      <c r="V83" s="4" t="s">
        <v>498</v>
      </c>
      <c r="W83" s="4"/>
      <c r="X83" s="4" t="s">
        <v>499</v>
      </c>
      <c r="Y83" s="4"/>
      <c r="Z83" s="23" t="s">
        <v>2266</v>
      </c>
      <c r="AA83" s="7" t="n">
        <v>320.133501</v>
      </c>
      <c r="AB83" s="4" t="s">
        <v>2267</v>
      </c>
      <c r="AC83" s="4" t="s">
        <v>2268</v>
      </c>
      <c r="AD83" s="4" t="s">
        <v>2269</v>
      </c>
      <c r="AE83" s="18" t="s">
        <v>470</v>
      </c>
      <c r="AF83" s="4" t="s">
        <v>471</v>
      </c>
      <c r="AG83" s="4"/>
      <c r="AH83" s="4"/>
      <c r="AI83" s="4" t="s">
        <v>472</v>
      </c>
      <c r="AJ83" s="4" t="s">
        <v>473</v>
      </c>
      <c r="AK83" s="4"/>
      <c r="AL83" s="7"/>
      <c r="AM83" s="4"/>
      <c r="AN83" s="4"/>
      <c r="AO83" s="4" t="s">
        <v>474</v>
      </c>
      <c r="AP83" s="4"/>
      <c r="AQ83" s="7"/>
      <c r="AR83" s="4"/>
      <c r="AS83" s="4"/>
      <c r="AT83" s="4"/>
      <c r="AU83" s="4"/>
      <c r="AV83" s="4" t="s">
        <v>475</v>
      </c>
      <c r="AW83" s="4" t="s">
        <v>476</v>
      </c>
      <c r="AX83" s="19"/>
      <c r="AY83" s="19"/>
      <c r="AZ83" s="19"/>
      <c r="BA83" s="19"/>
      <c r="BB83" s="19"/>
      <c r="BC83" s="4" t="s">
        <v>2270</v>
      </c>
      <c r="BD83" s="4" t="s">
        <v>2271</v>
      </c>
      <c r="BE83" s="4" t="s">
        <v>514</v>
      </c>
      <c r="BF83" s="4" t="s">
        <v>515</v>
      </c>
      <c r="BG83" s="4" t="s">
        <v>2272</v>
      </c>
      <c r="BH83" s="4" t="s">
        <v>2273</v>
      </c>
      <c r="BI83" s="7"/>
      <c r="BJ83" s="7"/>
      <c r="BK83" s="7"/>
      <c r="BL83" s="7"/>
      <c r="BM83" s="4"/>
      <c r="BN83" s="4"/>
      <c r="BO83" s="7"/>
      <c r="BP83" s="7"/>
      <c r="BQ83" s="7"/>
      <c r="BR83" s="7"/>
      <c r="BS83" s="7"/>
      <c r="BT83" s="7"/>
      <c r="BU83" s="7"/>
      <c r="BV83" s="20" t="s">
        <v>23</v>
      </c>
      <c r="BW83" s="20" t="s">
        <v>28</v>
      </c>
      <c r="BX83" s="20" t="s">
        <v>34</v>
      </c>
      <c r="BY83" s="7"/>
      <c r="BZ83" s="20" t="s">
        <v>484</v>
      </c>
      <c r="CA83" s="20" t="s">
        <v>664</v>
      </c>
      <c r="CB83" s="20" t="s">
        <v>2274</v>
      </c>
      <c r="CC83" s="20" t="s">
        <v>1208</v>
      </c>
      <c r="CD83" s="7"/>
      <c r="CE83" s="20" t="s">
        <v>2275</v>
      </c>
      <c r="CF83" s="7"/>
      <c r="CG83" s="7"/>
      <c r="CH83" s="22" t="str">
        <f aca="false">IF(AND(ISNUMBER(BP83),ISNUMBER(AG83),AG83&gt;0),BP83*1000000/AG83,"")</f>
        <v/>
      </c>
      <c r="CI83" s="7"/>
      <c r="CJ83" s="7"/>
      <c r="CK83" s="7"/>
      <c r="CL83" s="7"/>
      <c r="CM83" s="7"/>
      <c r="CN83" s="7"/>
      <c r="CO83" s="7"/>
      <c r="CP83" s="7"/>
      <c r="CQ83" s="7"/>
      <c r="CR83" s="7"/>
      <c r="CS83" s="7"/>
    </row>
    <row r="84" customFormat="false" ht="431.3" hidden="false" customHeight="false" outlineLevel="0" collapsed="false">
      <c r="A84" s="4" t="n">
        <v>83</v>
      </c>
      <c r="B84" s="4" t="s">
        <v>2010</v>
      </c>
      <c r="C84" s="4" t="s">
        <v>60</v>
      </c>
      <c r="D84" s="4" t="s">
        <v>2011</v>
      </c>
      <c r="E84" s="4" t="s">
        <v>2276</v>
      </c>
      <c r="F84" s="4" t="s">
        <v>2277</v>
      </c>
      <c r="G84" s="4" t="s">
        <v>2278</v>
      </c>
      <c r="H84" s="4" t="s">
        <v>2279</v>
      </c>
      <c r="I84" s="4" t="s">
        <v>2280</v>
      </c>
      <c r="J84" s="4" t="s">
        <v>2281</v>
      </c>
      <c r="K84" s="17" t="n">
        <v>4.161665</v>
      </c>
      <c r="L84" s="4" t="n">
        <v>2026</v>
      </c>
      <c r="M84" s="4" t="s">
        <v>6</v>
      </c>
      <c r="N84" s="4" t="s">
        <v>2018</v>
      </c>
      <c r="O84" s="4" t="s">
        <v>494</v>
      </c>
      <c r="P84" s="7" t="n">
        <v>4.161665</v>
      </c>
      <c r="Q84" s="7"/>
      <c r="R84" s="23" t="s">
        <v>2282</v>
      </c>
      <c r="S84" s="23" t="s">
        <v>2283</v>
      </c>
      <c r="T84" s="4" t="s">
        <v>2200</v>
      </c>
      <c r="U84" s="4" t="s">
        <v>2022</v>
      </c>
      <c r="V84" s="4" t="s">
        <v>498</v>
      </c>
      <c r="W84" s="4"/>
      <c r="X84" s="4" t="s">
        <v>499</v>
      </c>
      <c r="Y84" s="4"/>
      <c r="Z84" s="23" t="s">
        <v>2284</v>
      </c>
      <c r="AA84" s="7"/>
      <c r="AB84" s="4"/>
      <c r="AC84" s="4"/>
      <c r="AD84" s="4"/>
      <c r="AE84" s="18" t="s">
        <v>470</v>
      </c>
      <c r="AF84" s="4" t="s">
        <v>471</v>
      </c>
      <c r="AG84" s="4"/>
      <c r="AH84" s="4"/>
      <c r="AI84" s="4" t="s">
        <v>472</v>
      </c>
      <c r="AJ84" s="4" t="s">
        <v>473</v>
      </c>
      <c r="AK84" s="4"/>
      <c r="AL84" s="7"/>
      <c r="AM84" s="4"/>
      <c r="AN84" s="4"/>
      <c r="AO84" s="4" t="s">
        <v>474</v>
      </c>
      <c r="AP84" s="4"/>
      <c r="AQ84" s="7"/>
      <c r="AR84" s="4"/>
      <c r="AS84" s="4"/>
      <c r="AT84" s="4"/>
      <c r="AU84" s="4"/>
      <c r="AV84" s="4" t="s">
        <v>475</v>
      </c>
      <c r="AW84" s="23" t="s">
        <v>2285</v>
      </c>
      <c r="AX84" s="19"/>
      <c r="AY84" s="19"/>
      <c r="AZ84" s="19"/>
      <c r="BA84" s="19"/>
      <c r="BB84" s="19"/>
      <c r="BC84" s="4" t="s">
        <v>2286</v>
      </c>
      <c r="BD84" s="4" t="s">
        <v>2287</v>
      </c>
      <c r="BE84" s="4" t="s">
        <v>540</v>
      </c>
      <c r="BF84" s="4" t="s">
        <v>2288</v>
      </c>
      <c r="BG84" s="4" t="s">
        <v>2289</v>
      </c>
      <c r="BH84" s="4" t="s">
        <v>2290</v>
      </c>
      <c r="BI84" s="7"/>
      <c r="BJ84" s="7"/>
      <c r="BK84" s="7"/>
      <c r="BL84" s="7"/>
      <c r="BM84" s="4"/>
      <c r="BN84" s="4"/>
      <c r="BO84" s="7"/>
      <c r="BP84" s="7"/>
      <c r="BQ84" s="7"/>
      <c r="BR84" s="7"/>
      <c r="BS84" s="7"/>
      <c r="BT84" s="7"/>
      <c r="BU84" s="7"/>
      <c r="BV84" s="20" t="s">
        <v>24</v>
      </c>
      <c r="BW84" s="20" t="s">
        <v>30</v>
      </c>
      <c r="BX84" s="20" t="s">
        <v>34</v>
      </c>
      <c r="BY84" s="20" t="s">
        <v>2291</v>
      </c>
      <c r="BZ84" s="20" t="s">
        <v>484</v>
      </c>
      <c r="CA84" s="20" t="s">
        <v>664</v>
      </c>
      <c r="CB84" s="20" t="s">
        <v>2292</v>
      </c>
      <c r="CC84" s="20" t="s">
        <v>2293</v>
      </c>
      <c r="CD84" s="20" t="s">
        <v>2294</v>
      </c>
      <c r="CE84" s="20" t="s">
        <v>267</v>
      </c>
      <c r="CF84" s="21" t="n">
        <v>13</v>
      </c>
      <c r="CG84" s="7"/>
      <c r="CH84" s="22" t="str">
        <f aca="false">IF(AND(ISNUMBER(BP84),ISNUMBER(AG84),AG84&gt;0),BP84*1000000/AG84,"")</f>
        <v/>
      </c>
      <c r="CI84" s="7"/>
      <c r="CJ84" s="7"/>
      <c r="CK84" s="7"/>
      <c r="CL84" s="7"/>
      <c r="CM84" s="7"/>
      <c r="CN84" s="7"/>
      <c r="CO84" s="7"/>
      <c r="CP84" s="7"/>
      <c r="CQ84" s="7"/>
      <c r="CR84" s="7"/>
      <c r="CS84" s="7"/>
    </row>
    <row r="85" customFormat="false" ht="579.1" hidden="false" customHeight="false" outlineLevel="0" collapsed="false">
      <c r="A85" s="4" t="n">
        <v>84</v>
      </c>
      <c r="B85" s="4" t="s">
        <v>2010</v>
      </c>
      <c r="C85" s="4" t="s">
        <v>61</v>
      </c>
      <c r="D85" s="4" t="s">
        <v>2011</v>
      </c>
      <c r="E85" s="4" t="s">
        <v>2295</v>
      </c>
      <c r="F85" s="4" t="s">
        <v>2296</v>
      </c>
      <c r="G85" s="4" t="s">
        <v>2297</v>
      </c>
      <c r="H85" s="4" t="s">
        <v>2298</v>
      </c>
      <c r="I85" s="4" t="s">
        <v>2299</v>
      </c>
      <c r="J85" s="4" t="s">
        <v>2300</v>
      </c>
      <c r="K85" s="17"/>
      <c r="L85" s="4"/>
      <c r="M85" s="4"/>
      <c r="N85" s="4"/>
      <c r="O85" s="23" t="s">
        <v>460</v>
      </c>
      <c r="P85" s="7"/>
      <c r="Q85" s="7"/>
      <c r="R85" s="23" t="s">
        <v>2301</v>
      </c>
      <c r="S85" s="23" t="s">
        <v>2302</v>
      </c>
      <c r="T85" s="23" t="s">
        <v>2303</v>
      </c>
      <c r="U85" s="4" t="s">
        <v>2022</v>
      </c>
      <c r="V85" s="4" t="s">
        <v>1293</v>
      </c>
      <c r="W85" s="4" t="s">
        <v>2304</v>
      </c>
      <c r="X85" s="4" t="s">
        <v>1295</v>
      </c>
      <c r="Y85" s="4" t="s">
        <v>1296</v>
      </c>
      <c r="Z85" s="23" t="s">
        <v>2305</v>
      </c>
      <c r="AA85" s="20" t="n">
        <v>38.33717</v>
      </c>
      <c r="AB85" s="23" t="s">
        <v>2306</v>
      </c>
      <c r="AC85" s="23" t="s">
        <v>2307</v>
      </c>
      <c r="AD85" s="23" t="s">
        <v>2308</v>
      </c>
      <c r="AE85" s="18" t="s">
        <v>470</v>
      </c>
      <c r="AF85" s="4" t="s">
        <v>471</v>
      </c>
      <c r="AG85" s="4"/>
      <c r="AH85" s="4"/>
      <c r="AI85" s="4" t="s">
        <v>472</v>
      </c>
      <c r="AJ85" s="23" t="s">
        <v>2309</v>
      </c>
      <c r="AK85" s="4"/>
      <c r="AL85" s="7"/>
      <c r="AM85" s="4"/>
      <c r="AN85" s="4"/>
      <c r="AO85" s="4" t="s">
        <v>474</v>
      </c>
      <c r="AP85" s="4"/>
      <c r="AQ85" s="7"/>
      <c r="AR85" s="4"/>
      <c r="AS85" s="4"/>
      <c r="AT85" s="4"/>
      <c r="AU85" s="4"/>
      <c r="AV85" s="4" t="s">
        <v>475</v>
      </c>
      <c r="AW85" s="23" t="s">
        <v>2310</v>
      </c>
      <c r="AX85" s="19"/>
      <c r="AY85" s="19"/>
      <c r="AZ85" s="19"/>
      <c r="BA85" s="19"/>
      <c r="BB85" s="24" t="s">
        <v>2311</v>
      </c>
      <c r="BC85" s="4" t="s">
        <v>2312</v>
      </c>
      <c r="BD85" s="4" t="s">
        <v>2313</v>
      </c>
      <c r="BE85" s="4" t="s">
        <v>514</v>
      </c>
      <c r="BF85" s="4" t="s">
        <v>515</v>
      </c>
      <c r="BG85" s="4" t="s">
        <v>2314</v>
      </c>
      <c r="BH85" s="4" t="s">
        <v>2315</v>
      </c>
      <c r="BI85" s="7"/>
      <c r="BJ85" s="7"/>
      <c r="BK85" s="7"/>
      <c r="BL85" s="7"/>
      <c r="BM85" s="4"/>
      <c r="BN85" s="4"/>
      <c r="BO85" s="7"/>
      <c r="BP85" s="7"/>
      <c r="BQ85" s="7"/>
      <c r="BR85" s="7"/>
      <c r="BS85" s="7"/>
      <c r="BT85" s="7"/>
      <c r="BU85" s="7"/>
      <c r="BV85" s="20" t="s">
        <v>26</v>
      </c>
      <c r="BW85" s="20" t="s">
        <v>26</v>
      </c>
      <c r="BX85" s="20" t="s">
        <v>39</v>
      </c>
      <c r="BY85" s="7"/>
      <c r="BZ85" s="20" t="s">
        <v>484</v>
      </c>
      <c r="CA85" s="20" t="s">
        <v>485</v>
      </c>
      <c r="CB85" s="20" t="s">
        <v>2316</v>
      </c>
      <c r="CC85" s="7"/>
      <c r="CD85" s="7"/>
      <c r="CE85" s="20" t="s">
        <v>2317</v>
      </c>
      <c r="CF85" s="7"/>
      <c r="CG85" s="7"/>
      <c r="CH85" s="22" t="str">
        <f aca="false">IF(AND(ISNUMBER(BP85),ISNUMBER(AG85),AG85&gt;0),BP85*1000000/AG85,"")</f>
        <v/>
      </c>
      <c r="CI85" s="7"/>
      <c r="CJ85" s="7"/>
      <c r="CK85" s="7"/>
      <c r="CL85" s="7"/>
      <c r="CM85" s="7"/>
      <c r="CN85" s="7"/>
      <c r="CO85" s="7"/>
      <c r="CP85" s="7"/>
      <c r="CQ85" s="7"/>
      <c r="CR85" s="7"/>
      <c r="CS85" s="7"/>
    </row>
    <row r="86" customFormat="false" ht="1021.6" hidden="false" customHeight="false" outlineLevel="0" collapsed="false">
      <c r="A86" s="4" t="n">
        <v>85</v>
      </c>
      <c r="B86" s="4" t="s">
        <v>2010</v>
      </c>
      <c r="C86" s="4" t="s">
        <v>62</v>
      </c>
      <c r="D86" s="4" t="s">
        <v>2011</v>
      </c>
      <c r="E86" s="4" t="s">
        <v>2318</v>
      </c>
      <c r="F86" s="4" t="s">
        <v>2319</v>
      </c>
      <c r="G86" s="4" t="s">
        <v>2320</v>
      </c>
      <c r="H86" s="4" t="s">
        <v>2321</v>
      </c>
      <c r="I86" s="4" t="s">
        <v>2322</v>
      </c>
      <c r="J86" s="4" t="s">
        <v>2323</v>
      </c>
      <c r="K86" s="17"/>
      <c r="L86" s="4"/>
      <c r="M86" s="4"/>
      <c r="N86" s="4"/>
      <c r="O86" s="23" t="s">
        <v>643</v>
      </c>
      <c r="P86" s="7"/>
      <c r="Q86" s="7"/>
      <c r="R86" s="23" t="s">
        <v>2324</v>
      </c>
      <c r="S86" s="4" t="s">
        <v>2020</v>
      </c>
      <c r="T86" s="23" t="s">
        <v>2325</v>
      </c>
      <c r="U86" s="4" t="s">
        <v>2022</v>
      </c>
      <c r="V86" s="4" t="s">
        <v>647</v>
      </c>
      <c r="W86" s="4" t="s">
        <v>2326</v>
      </c>
      <c r="X86" s="4" t="s">
        <v>649</v>
      </c>
      <c r="Y86" s="4" t="s">
        <v>650</v>
      </c>
      <c r="Z86" s="23" t="s">
        <v>2327</v>
      </c>
      <c r="AA86" s="7"/>
      <c r="AB86" s="4"/>
      <c r="AC86" s="4"/>
      <c r="AD86" s="4"/>
      <c r="AE86" s="18" t="s">
        <v>470</v>
      </c>
      <c r="AF86" s="4" t="s">
        <v>471</v>
      </c>
      <c r="AG86" s="4"/>
      <c r="AH86" s="4"/>
      <c r="AI86" s="4" t="s">
        <v>472</v>
      </c>
      <c r="AJ86" s="23" t="s">
        <v>2328</v>
      </c>
      <c r="AK86" s="4"/>
      <c r="AL86" s="7"/>
      <c r="AM86" s="4"/>
      <c r="AN86" s="4"/>
      <c r="AO86" s="23" t="s">
        <v>2329</v>
      </c>
      <c r="AP86" s="4"/>
      <c r="AQ86" s="7"/>
      <c r="AR86" s="4"/>
      <c r="AS86" s="4"/>
      <c r="AT86" s="4"/>
      <c r="AU86" s="4"/>
      <c r="AV86" s="23" t="s">
        <v>2330</v>
      </c>
      <c r="AW86" s="23" t="s">
        <v>2331</v>
      </c>
      <c r="AX86" s="19"/>
      <c r="AY86" s="19"/>
      <c r="AZ86" s="19"/>
      <c r="BA86" s="19"/>
      <c r="BB86" s="24" t="s">
        <v>2332</v>
      </c>
      <c r="BC86" s="4" t="s">
        <v>2333</v>
      </c>
      <c r="BD86" s="4" t="s">
        <v>2334</v>
      </c>
      <c r="BE86" s="4" t="s">
        <v>2040</v>
      </c>
      <c r="BF86" s="4" t="s">
        <v>2041</v>
      </c>
      <c r="BG86" s="4" t="s">
        <v>2335</v>
      </c>
      <c r="BH86" s="4" t="s">
        <v>2336</v>
      </c>
      <c r="BI86" s="7"/>
      <c r="BJ86" s="7"/>
      <c r="BK86" s="7"/>
      <c r="BL86" s="7"/>
      <c r="BM86" s="4"/>
      <c r="BN86" s="4"/>
      <c r="BO86" s="7"/>
      <c r="BP86" s="7"/>
      <c r="BQ86" s="7"/>
      <c r="BR86" s="7"/>
      <c r="BS86" s="7"/>
      <c r="BT86" s="7"/>
      <c r="BU86" s="7"/>
      <c r="BV86" s="20" t="s">
        <v>24</v>
      </c>
      <c r="BW86" s="20" t="s">
        <v>31</v>
      </c>
      <c r="BX86" s="20" t="s">
        <v>38</v>
      </c>
      <c r="BY86" s="20" t="s">
        <v>2337</v>
      </c>
      <c r="BZ86" s="20" t="s">
        <v>484</v>
      </c>
      <c r="CA86" s="20" t="s">
        <v>713</v>
      </c>
      <c r="CB86" s="20" t="s">
        <v>2163</v>
      </c>
      <c r="CC86" s="20" t="s">
        <v>2164</v>
      </c>
      <c r="CD86" s="20" t="s">
        <v>2165</v>
      </c>
      <c r="CE86" s="20" t="s">
        <v>297</v>
      </c>
      <c r="CF86" s="21" t="n">
        <v>15</v>
      </c>
      <c r="CG86" s="20" t="s">
        <v>2338</v>
      </c>
      <c r="CH86" s="22" t="str">
        <f aca="false">IF(AND(ISNUMBER(BP86),ISNUMBER(AG86),AG86&gt;0),BP86*1000000/AG86,"")</f>
        <v/>
      </c>
      <c r="CI86" s="7"/>
      <c r="CJ86" s="7"/>
      <c r="CK86" s="7"/>
      <c r="CL86" s="7"/>
      <c r="CM86" s="7"/>
      <c r="CN86" s="7"/>
      <c r="CO86" s="7"/>
      <c r="CP86" s="7"/>
      <c r="CQ86" s="7"/>
      <c r="CR86" s="7"/>
      <c r="CS86" s="7"/>
    </row>
    <row r="87" customFormat="false" ht="458.2" hidden="false" customHeight="false" outlineLevel="0" collapsed="false">
      <c r="A87" s="4" t="n">
        <v>86</v>
      </c>
      <c r="B87" s="4" t="s">
        <v>2010</v>
      </c>
      <c r="C87" s="4" t="s">
        <v>63</v>
      </c>
      <c r="D87" s="4" t="s">
        <v>2011</v>
      </c>
      <c r="E87" s="4" t="s">
        <v>2339</v>
      </c>
      <c r="F87" s="4" t="s">
        <v>2340</v>
      </c>
      <c r="G87" s="4" t="s">
        <v>2341</v>
      </c>
      <c r="H87" s="4" t="s">
        <v>2342</v>
      </c>
      <c r="I87" s="4" t="s">
        <v>2343</v>
      </c>
      <c r="J87" s="4" t="s">
        <v>2344</v>
      </c>
      <c r="K87" s="17" t="n">
        <v>121.75559748</v>
      </c>
      <c r="L87" s="4" t="n">
        <v>2026</v>
      </c>
      <c r="M87" s="4" t="s">
        <v>6</v>
      </c>
      <c r="N87" s="4" t="s">
        <v>2018</v>
      </c>
      <c r="O87" s="4" t="s">
        <v>494</v>
      </c>
      <c r="P87" s="7" t="n">
        <v>121.75559748</v>
      </c>
      <c r="Q87" s="7"/>
      <c r="R87" s="23" t="s">
        <v>2345</v>
      </c>
      <c r="S87" s="4" t="s">
        <v>2020</v>
      </c>
      <c r="T87" s="4" t="s">
        <v>2346</v>
      </c>
      <c r="U87" s="4" t="s">
        <v>2022</v>
      </c>
      <c r="V87" s="4" t="s">
        <v>498</v>
      </c>
      <c r="W87" s="4"/>
      <c r="X87" s="4" t="s">
        <v>499</v>
      </c>
      <c r="Y87" s="4"/>
      <c r="Z87" s="23" t="s">
        <v>2347</v>
      </c>
      <c r="AA87" s="7"/>
      <c r="AB87" s="4"/>
      <c r="AC87" s="4"/>
      <c r="AD87" s="4"/>
      <c r="AE87" s="18" t="s">
        <v>470</v>
      </c>
      <c r="AF87" s="4" t="s">
        <v>471</v>
      </c>
      <c r="AG87" s="4"/>
      <c r="AH87" s="4"/>
      <c r="AI87" s="4" t="s">
        <v>472</v>
      </c>
      <c r="AJ87" s="4" t="s">
        <v>473</v>
      </c>
      <c r="AK87" s="4"/>
      <c r="AL87" s="20" t="n">
        <v>58.784907</v>
      </c>
      <c r="AM87" s="23" t="n">
        <v>2026</v>
      </c>
      <c r="AN87" s="23" t="s">
        <v>2348</v>
      </c>
      <c r="AO87" s="23" t="s">
        <v>506</v>
      </c>
      <c r="AP87" s="23" t="s">
        <v>2349</v>
      </c>
      <c r="AQ87" s="7"/>
      <c r="AR87" s="4"/>
      <c r="AS87" s="4"/>
      <c r="AT87" s="4"/>
      <c r="AU87" s="4"/>
      <c r="AV87" s="4" t="s">
        <v>475</v>
      </c>
      <c r="AW87" s="23" t="s">
        <v>2350</v>
      </c>
      <c r="AX87" s="24" t="n">
        <v>1103</v>
      </c>
      <c r="AY87" s="24" t="s">
        <v>964</v>
      </c>
      <c r="AZ87" s="24" t="s">
        <v>2351</v>
      </c>
      <c r="BA87" s="24" t="s">
        <v>2352</v>
      </c>
      <c r="BB87" s="24" t="s">
        <v>2353</v>
      </c>
      <c r="BC87" s="4" t="s">
        <v>2354</v>
      </c>
      <c r="BD87" s="4" t="s">
        <v>2355</v>
      </c>
      <c r="BE87" s="4" t="s">
        <v>514</v>
      </c>
      <c r="BF87" s="4" t="s">
        <v>2356</v>
      </c>
      <c r="BG87" s="4" t="s">
        <v>2357</v>
      </c>
      <c r="BH87" s="4" t="s">
        <v>2358</v>
      </c>
      <c r="BI87" s="7"/>
      <c r="BJ87" s="7"/>
      <c r="BK87" s="7"/>
      <c r="BL87" s="7"/>
      <c r="BM87" s="4"/>
      <c r="BN87" s="23" t="s">
        <v>2359</v>
      </c>
      <c r="BO87" s="7"/>
      <c r="BP87" s="7"/>
      <c r="BQ87" s="7"/>
      <c r="BR87" s="7"/>
      <c r="BS87" s="7"/>
      <c r="BT87" s="7"/>
      <c r="BU87" s="7"/>
      <c r="BV87" s="20" t="s">
        <v>24</v>
      </c>
      <c r="BW87" s="20" t="s">
        <v>30</v>
      </c>
      <c r="BX87" s="20" t="s">
        <v>34</v>
      </c>
      <c r="BY87" s="20" t="s">
        <v>2110</v>
      </c>
      <c r="BZ87" s="20" t="s">
        <v>484</v>
      </c>
      <c r="CA87" s="20" t="s">
        <v>664</v>
      </c>
      <c r="CB87" s="20" t="s">
        <v>2111</v>
      </c>
      <c r="CC87" s="20" t="s">
        <v>2112</v>
      </c>
      <c r="CD87" s="20" t="s">
        <v>79</v>
      </c>
      <c r="CE87" s="20" t="s">
        <v>78</v>
      </c>
      <c r="CF87" s="21" t="n">
        <v>12</v>
      </c>
      <c r="CG87" s="7"/>
      <c r="CH87" s="22" t="str">
        <f aca="false">IF(AND(ISNUMBER(BP87),ISNUMBER(AG87),AG87&gt;0),BP87*1000000/AG87,"")</f>
        <v/>
      </c>
      <c r="CI87" s="21" t="n">
        <v>607</v>
      </c>
      <c r="CJ87" s="21" t="n">
        <v>495</v>
      </c>
      <c r="CK87" s="21" t="n">
        <v>1</v>
      </c>
      <c r="CL87" s="21" t="n">
        <v>1103</v>
      </c>
      <c r="CM87" s="7"/>
      <c r="CN87" s="21" t="n">
        <v>1</v>
      </c>
      <c r="CO87" s="7"/>
      <c r="CP87" s="20" t="s">
        <v>2360</v>
      </c>
      <c r="CQ87" s="20" t="s">
        <v>2361</v>
      </c>
      <c r="CR87" s="20" t="s">
        <v>2352</v>
      </c>
      <c r="CS87" s="20" t="s">
        <v>2362</v>
      </c>
    </row>
    <row r="88" customFormat="false" ht="431.3" hidden="false" customHeight="false" outlineLevel="0" collapsed="false">
      <c r="A88" s="4" t="n">
        <v>87</v>
      </c>
      <c r="B88" s="4" t="s">
        <v>2010</v>
      </c>
      <c r="C88" s="4" t="s">
        <v>63</v>
      </c>
      <c r="D88" s="4" t="s">
        <v>2011</v>
      </c>
      <c r="E88" s="4" t="s">
        <v>2363</v>
      </c>
      <c r="F88" s="4" t="s">
        <v>2364</v>
      </c>
      <c r="G88" s="4" t="s">
        <v>2365</v>
      </c>
      <c r="H88" s="4" t="s">
        <v>2366</v>
      </c>
      <c r="I88" s="4" t="s">
        <v>2367</v>
      </c>
      <c r="J88" s="4" t="s">
        <v>2368</v>
      </c>
      <c r="K88" s="25" t="n">
        <v>10.718431</v>
      </c>
      <c r="L88" s="23" t="n">
        <v>2026</v>
      </c>
      <c r="M88" s="23" t="s">
        <v>6</v>
      </c>
      <c r="N88" s="23" t="s">
        <v>2018</v>
      </c>
      <c r="O88" s="23" t="s">
        <v>494</v>
      </c>
      <c r="P88" s="20" t="n">
        <v>10.718431</v>
      </c>
      <c r="Q88" s="7"/>
      <c r="R88" s="23" t="s">
        <v>2369</v>
      </c>
      <c r="S88" s="23" t="s">
        <v>2370</v>
      </c>
      <c r="T88" s="4" t="s">
        <v>2371</v>
      </c>
      <c r="U88" s="4" t="s">
        <v>2022</v>
      </c>
      <c r="V88" s="4" t="s">
        <v>498</v>
      </c>
      <c r="W88" s="4"/>
      <c r="X88" s="4" t="s">
        <v>499</v>
      </c>
      <c r="Y88" s="4"/>
      <c r="Z88" s="23" t="s">
        <v>2372</v>
      </c>
      <c r="AA88" s="7"/>
      <c r="AB88" s="4"/>
      <c r="AC88" s="4"/>
      <c r="AD88" s="4"/>
      <c r="AE88" s="18" t="s">
        <v>470</v>
      </c>
      <c r="AF88" s="4" t="s">
        <v>471</v>
      </c>
      <c r="AG88" s="4"/>
      <c r="AH88" s="4"/>
      <c r="AI88" s="4" t="s">
        <v>472</v>
      </c>
      <c r="AJ88" s="4" t="s">
        <v>473</v>
      </c>
      <c r="AK88" s="4"/>
      <c r="AL88" s="20" t="n">
        <v>9.271181</v>
      </c>
      <c r="AM88" s="23" t="n">
        <v>2026</v>
      </c>
      <c r="AN88" s="23" t="s">
        <v>2373</v>
      </c>
      <c r="AO88" s="23" t="s">
        <v>506</v>
      </c>
      <c r="AP88" s="23" t="s">
        <v>2374</v>
      </c>
      <c r="AQ88" s="7"/>
      <c r="AR88" s="4"/>
      <c r="AS88" s="4"/>
      <c r="AT88" s="4"/>
      <c r="AU88" s="4"/>
      <c r="AV88" s="4" t="s">
        <v>475</v>
      </c>
      <c r="AW88" s="23" t="s">
        <v>2375</v>
      </c>
      <c r="AX88" s="19"/>
      <c r="AY88" s="19"/>
      <c r="AZ88" s="19"/>
      <c r="BA88" s="19"/>
      <c r="BB88" s="24" t="s">
        <v>2376</v>
      </c>
      <c r="BC88" s="4" t="s">
        <v>2377</v>
      </c>
      <c r="BD88" s="4" t="s">
        <v>2378</v>
      </c>
      <c r="BE88" s="4" t="s">
        <v>514</v>
      </c>
      <c r="BF88" s="4" t="s">
        <v>515</v>
      </c>
      <c r="BG88" s="4" t="s">
        <v>2379</v>
      </c>
      <c r="BH88" s="4" t="s">
        <v>2380</v>
      </c>
      <c r="BI88" s="7"/>
      <c r="BJ88" s="7"/>
      <c r="BK88" s="7"/>
      <c r="BL88" s="7"/>
      <c r="BM88" s="4"/>
      <c r="BN88" s="23" t="s">
        <v>2381</v>
      </c>
      <c r="BO88" s="7"/>
      <c r="BP88" s="7"/>
      <c r="BQ88" s="7"/>
      <c r="BR88" s="7"/>
      <c r="BS88" s="7"/>
      <c r="BT88" s="7"/>
      <c r="BU88" s="7"/>
      <c r="BV88" s="20" t="s">
        <v>24</v>
      </c>
      <c r="BW88" s="20" t="s">
        <v>30</v>
      </c>
      <c r="BX88" s="20" t="s">
        <v>37</v>
      </c>
      <c r="BY88" s="20" t="s">
        <v>2382</v>
      </c>
      <c r="BZ88" s="20" t="s">
        <v>484</v>
      </c>
      <c r="CA88" s="20" t="s">
        <v>664</v>
      </c>
      <c r="CB88" s="20" t="s">
        <v>2383</v>
      </c>
      <c r="CC88" s="20" t="s">
        <v>2187</v>
      </c>
      <c r="CD88" s="20" t="s">
        <v>2384</v>
      </c>
      <c r="CE88" s="20" t="s">
        <v>134</v>
      </c>
      <c r="CF88" s="21" t="n">
        <v>10</v>
      </c>
      <c r="CG88" s="7"/>
      <c r="CH88" s="22" t="str">
        <f aca="false">IF(AND(ISNUMBER(BP88),ISNUMBER(AG88),AG88&gt;0),BP88*1000000/AG88,"")</f>
        <v/>
      </c>
      <c r="CI88" s="7"/>
      <c r="CJ88" s="7"/>
      <c r="CK88" s="7"/>
      <c r="CL88" s="7"/>
      <c r="CM88" s="7"/>
      <c r="CN88" s="7"/>
      <c r="CO88" s="7"/>
      <c r="CP88" s="7"/>
      <c r="CQ88" s="7"/>
      <c r="CR88" s="7"/>
      <c r="CS88" s="7"/>
    </row>
    <row r="89" customFormat="false" ht="752.95" hidden="false" customHeight="false" outlineLevel="0" collapsed="false">
      <c r="A89" s="4" t="n">
        <v>88</v>
      </c>
      <c r="B89" s="4" t="s">
        <v>2010</v>
      </c>
      <c r="C89" s="4" t="s">
        <v>65</v>
      </c>
      <c r="D89" s="4" t="s">
        <v>2011</v>
      </c>
      <c r="E89" s="4" t="s">
        <v>2318</v>
      </c>
      <c r="F89" s="4" t="s">
        <v>2385</v>
      </c>
      <c r="G89" s="4" t="s">
        <v>2386</v>
      </c>
      <c r="H89" s="4" t="s">
        <v>2387</v>
      </c>
      <c r="I89" s="4" t="s">
        <v>2388</v>
      </c>
      <c r="J89" s="4" t="s">
        <v>2389</v>
      </c>
      <c r="K89" s="17"/>
      <c r="L89" s="4"/>
      <c r="M89" s="4"/>
      <c r="N89" s="4"/>
      <c r="O89" s="4" t="s">
        <v>780</v>
      </c>
      <c r="P89" s="7"/>
      <c r="Q89" s="7"/>
      <c r="R89" s="4" t="s">
        <v>2390</v>
      </c>
      <c r="S89" s="4" t="s">
        <v>2020</v>
      </c>
      <c r="T89" s="23" t="s">
        <v>2391</v>
      </c>
      <c r="U89" s="4" t="s">
        <v>2022</v>
      </c>
      <c r="V89" s="4" t="s">
        <v>647</v>
      </c>
      <c r="W89" s="4" t="s">
        <v>2392</v>
      </c>
      <c r="X89" s="4" t="s">
        <v>649</v>
      </c>
      <c r="Y89" s="4" t="s">
        <v>650</v>
      </c>
      <c r="Z89" s="23" t="s">
        <v>2393</v>
      </c>
      <c r="AA89" s="7"/>
      <c r="AB89" s="4"/>
      <c r="AC89" s="4"/>
      <c r="AD89" s="4"/>
      <c r="AE89" s="18" t="s">
        <v>470</v>
      </c>
      <c r="AF89" s="4" t="s">
        <v>471</v>
      </c>
      <c r="AG89" s="4"/>
      <c r="AH89" s="4"/>
      <c r="AI89" s="4" t="s">
        <v>472</v>
      </c>
      <c r="AJ89" s="4" t="s">
        <v>473</v>
      </c>
      <c r="AK89" s="4"/>
      <c r="AL89" s="7"/>
      <c r="AM89" s="4"/>
      <c r="AN89" s="4"/>
      <c r="AO89" s="4" t="s">
        <v>474</v>
      </c>
      <c r="AP89" s="4"/>
      <c r="AQ89" s="7"/>
      <c r="AR89" s="4"/>
      <c r="AS89" s="4"/>
      <c r="AT89" s="4"/>
      <c r="AU89" s="4"/>
      <c r="AV89" s="4" t="s">
        <v>475</v>
      </c>
      <c r="AW89" s="4" t="s">
        <v>476</v>
      </c>
      <c r="AX89" s="19"/>
      <c r="AY89" s="19"/>
      <c r="AZ89" s="19"/>
      <c r="BA89" s="19"/>
      <c r="BB89" s="24" t="s">
        <v>2394</v>
      </c>
      <c r="BC89" s="4" t="s">
        <v>2395</v>
      </c>
      <c r="BD89" s="4" t="s">
        <v>1562</v>
      </c>
      <c r="BE89" s="4" t="s">
        <v>686</v>
      </c>
      <c r="BF89" s="4" t="s">
        <v>1563</v>
      </c>
      <c r="BG89" s="4" t="s">
        <v>2396</v>
      </c>
      <c r="BH89" s="4" t="s">
        <v>2397</v>
      </c>
      <c r="BI89" s="7"/>
      <c r="BJ89" s="7"/>
      <c r="BK89" s="7"/>
      <c r="BL89" s="7"/>
      <c r="BM89" s="4"/>
      <c r="BN89" s="4"/>
      <c r="BO89" s="7"/>
      <c r="BP89" s="7"/>
      <c r="BQ89" s="7"/>
      <c r="BR89" s="7"/>
      <c r="BS89" s="7"/>
      <c r="BT89" s="7"/>
      <c r="BU89" s="7"/>
      <c r="BV89" s="20" t="s">
        <v>24</v>
      </c>
      <c r="BW89" s="20" t="s">
        <v>31</v>
      </c>
      <c r="BX89" s="20" t="s">
        <v>38</v>
      </c>
      <c r="BY89" s="20" t="s">
        <v>2337</v>
      </c>
      <c r="BZ89" s="20" t="s">
        <v>484</v>
      </c>
      <c r="CA89" s="20" t="s">
        <v>664</v>
      </c>
      <c r="CB89" s="20" t="s">
        <v>2163</v>
      </c>
      <c r="CC89" s="20" t="s">
        <v>2164</v>
      </c>
      <c r="CD89" s="20" t="s">
        <v>2165</v>
      </c>
      <c r="CE89" s="20" t="s">
        <v>297</v>
      </c>
      <c r="CF89" s="21" t="n">
        <v>15</v>
      </c>
      <c r="CG89" s="20" t="s">
        <v>2398</v>
      </c>
      <c r="CH89" s="22" t="str">
        <f aca="false">IF(AND(ISNUMBER(BP89),ISNUMBER(AG89),AG89&gt;0),BP89*1000000/AG89,"")</f>
        <v/>
      </c>
      <c r="CI89" s="7"/>
      <c r="CJ89" s="7"/>
      <c r="CK89" s="7"/>
      <c r="CL89" s="7"/>
      <c r="CM89" s="7"/>
      <c r="CN89" s="7"/>
      <c r="CO89" s="7"/>
      <c r="CP89" s="7"/>
      <c r="CQ89" s="7"/>
      <c r="CR89" s="7"/>
      <c r="CS89" s="7"/>
    </row>
    <row r="90" customFormat="false" ht="739.55" hidden="false" customHeight="false" outlineLevel="0" collapsed="false">
      <c r="A90" s="4" t="n">
        <v>89</v>
      </c>
      <c r="B90" s="4" t="s">
        <v>2010</v>
      </c>
      <c r="C90" s="4" t="s">
        <v>66</v>
      </c>
      <c r="D90" s="4" t="s">
        <v>2116</v>
      </c>
      <c r="E90" s="4" t="s">
        <v>2399</v>
      </c>
      <c r="F90" s="4" t="s">
        <v>2400</v>
      </c>
      <c r="G90" s="4" t="s">
        <v>2401</v>
      </c>
      <c r="H90" s="4" t="s">
        <v>2402</v>
      </c>
      <c r="I90" s="4" t="s">
        <v>2403</v>
      </c>
      <c r="J90" s="4" t="s">
        <v>2404</v>
      </c>
      <c r="K90" s="17" t="n">
        <v>107.722503</v>
      </c>
      <c r="L90" s="4" t="n">
        <v>2026</v>
      </c>
      <c r="M90" s="4" t="s">
        <v>6</v>
      </c>
      <c r="N90" s="4" t="s">
        <v>2018</v>
      </c>
      <c r="O90" s="4" t="s">
        <v>494</v>
      </c>
      <c r="P90" s="7" t="n">
        <v>107.722503</v>
      </c>
      <c r="Q90" s="7"/>
      <c r="R90" s="23" t="s">
        <v>2405</v>
      </c>
      <c r="S90" s="4" t="s">
        <v>2020</v>
      </c>
      <c r="T90" s="4" t="s">
        <v>2219</v>
      </c>
      <c r="U90" s="4" t="s">
        <v>2022</v>
      </c>
      <c r="V90" s="4" t="s">
        <v>557</v>
      </c>
      <c r="W90" s="4" t="s">
        <v>2406</v>
      </c>
      <c r="X90" s="4" t="s">
        <v>559</v>
      </c>
      <c r="Y90" s="4" t="s">
        <v>560</v>
      </c>
      <c r="Z90" s="23" t="s">
        <v>2407</v>
      </c>
      <c r="AA90" s="7"/>
      <c r="AB90" s="4"/>
      <c r="AC90" s="4"/>
      <c r="AD90" s="4"/>
      <c r="AE90" s="18" t="s">
        <v>470</v>
      </c>
      <c r="AF90" s="4" t="s">
        <v>471</v>
      </c>
      <c r="AG90" s="4"/>
      <c r="AH90" s="4"/>
      <c r="AI90" s="4" t="s">
        <v>472</v>
      </c>
      <c r="AJ90" s="4" t="s">
        <v>473</v>
      </c>
      <c r="AK90" s="4"/>
      <c r="AL90" s="20" t="n">
        <v>6.822119</v>
      </c>
      <c r="AM90" s="23" t="n">
        <v>2026</v>
      </c>
      <c r="AN90" s="23" t="s">
        <v>2408</v>
      </c>
      <c r="AO90" s="23" t="s">
        <v>506</v>
      </c>
      <c r="AP90" s="23" t="s">
        <v>2409</v>
      </c>
      <c r="AQ90" s="7"/>
      <c r="AR90" s="4"/>
      <c r="AS90" s="4"/>
      <c r="AT90" s="4"/>
      <c r="AU90" s="4"/>
      <c r="AV90" s="4" t="s">
        <v>475</v>
      </c>
      <c r="AW90" s="23" t="s">
        <v>2375</v>
      </c>
      <c r="AX90" s="19"/>
      <c r="AY90" s="19"/>
      <c r="AZ90" s="19"/>
      <c r="BA90" s="19"/>
      <c r="BB90" s="24" t="s">
        <v>2410</v>
      </c>
      <c r="BC90" s="4" t="s">
        <v>2411</v>
      </c>
      <c r="BD90" s="4" t="s">
        <v>2412</v>
      </c>
      <c r="BE90" s="4" t="s">
        <v>514</v>
      </c>
      <c r="BF90" s="4" t="s">
        <v>515</v>
      </c>
      <c r="BG90" s="4" t="s">
        <v>2413</v>
      </c>
      <c r="BH90" s="4" t="s">
        <v>2414</v>
      </c>
      <c r="BI90" s="7"/>
      <c r="BJ90" s="7"/>
      <c r="BK90" s="7"/>
      <c r="BL90" s="7"/>
      <c r="BM90" s="4"/>
      <c r="BN90" s="4"/>
      <c r="BO90" s="7"/>
      <c r="BP90" s="7"/>
      <c r="BQ90" s="7"/>
      <c r="BR90" s="7"/>
      <c r="BS90" s="7"/>
      <c r="BT90" s="7"/>
      <c r="BU90" s="7"/>
      <c r="BV90" s="20" t="s">
        <v>24</v>
      </c>
      <c r="BW90" s="20" t="s">
        <v>30</v>
      </c>
      <c r="BX90" s="20" t="s">
        <v>36</v>
      </c>
      <c r="BY90" s="20" t="s">
        <v>2415</v>
      </c>
      <c r="BZ90" s="20" t="s">
        <v>484</v>
      </c>
      <c r="CA90" s="20" t="s">
        <v>664</v>
      </c>
      <c r="CB90" s="20" t="s">
        <v>2416</v>
      </c>
      <c r="CC90" s="20" t="s">
        <v>2187</v>
      </c>
      <c r="CD90" s="20" t="s">
        <v>2417</v>
      </c>
      <c r="CE90" s="20" t="s">
        <v>214</v>
      </c>
      <c r="CF90" s="21" t="n">
        <v>10</v>
      </c>
      <c r="CG90" s="7"/>
      <c r="CH90" s="22" t="str">
        <f aca="false">IF(AND(ISNUMBER(BP90),ISNUMBER(AG90),AG90&gt;0),BP90*1000000/AG90,"")</f>
        <v/>
      </c>
      <c r="CI90" s="7"/>
      <c r="CJ90" s="7"/>
      <c r="CK90" s="7"/>
      <c r="CL90" s="7"/>
      <c r="CM90" s="7"/>
      <c r="CN90" s="7"/>
      <c r="CO90" s="7"/>
      <c r="CP90" s="7"/>
      <c r="CQ90" s="7"/>
      <c r="CR90" s="7"/>
      <c r="CS90" s="7"/>
    </row>
    <row r="91" customFormat="false" ht="605.95" hidden="false" customHeight="false" outlineLevel="0" collapsed="false">
      <c r="A91" s="4" t="n">
        <v>90</v>
      </c>
      <c r="B91" s="4" t="s">
        <v>2010</v>
      </c>
      <c r="C91" s="4" t="s">
        <v>2418</v>
      </c>
      <c r="D91" s="4" t="s">
        <v>2116</v>
      </c>
      <c r="E91" s="4" t="s">
        <v>2419</v>
      </c>
      <c r="F91" s="4" t="s">
        <v>2420</v>
      </c>
      <c r="G91" s="4" t="s">
        <v>2421</v>
      </c>
      <c r="H91" s="4" t="s">
        <v>2422</v>
      </c>
      <c r="I91" s="4" t="s">
        <v>2423</v>
      </c>
      <c r="J91" s="4" t="s">
        <v>2424</v>
      </c>
      <c r="K91" s="17"/>
      <c r="L91" s="4"/>
      <c r="M91" s="4"/>
      <c r="N91" s="4"/>
      <c r="O91" s="4" t="s">
        <v>460</v>
      </c>
      <c r="P91" s="7"/>
      <c r="Q91" s="7"/>
      <c r="R91" s="23" t="s">
        <v>2425</v>
      </c>
      <c r="S91" s="4" t="s">
        <v>2020</v>
      </c>
      <c r="T91" s="23" t="s">
        <v>2426</v>
      </c>
      <c r="U91" s="23" t="s">
        <v>2427</v>
      </c>
      <c r="V91" s="4" t="s">
        <v>498</v>
      </c>
      <c r="W91" s="4"/>
      <c r="X91" s="4" t="s">
        <v>499</v>
      </c>
      <c r="Y91" s="4"/>
      <c r="Z91" s="23" t="s">
        <v>2428</v>
      </c>
      <c r="AA91" s="7"/>
      <c r="AB91" s="4"/>
      <c r="AC91" s="4"/>
      <c r="AD91" s="4"/>
      <c r="AE91" s="18" t="s">
        <v>470</v>
      </c>
      <c r="AF91" s="4" t="s">
        <v>471</v>
      </c>
      <c r="AG91" s="4"/>
      <c r="AH91" s="4"/>
      <c r="AI91" s="4" t="s">
        <v>472</v>
      </c>
      <c r="AJ91" s="23" t="s">
        <v>2429</v>
      </c>
      <c r="AK91" s="4"/>
      <c r="AL91" s="7"/>
      <c r="AM91" s="4"/>
      <c r="AN91" s="4"/>
      <c r="AO91" s="23" t="s">
        <v>2430</v>
      </c>
      <c r="AP91" s="4"/>
      <c r="AQ91" s="7"/>
      <c r="AR91" s="4"/>
      <c r="AS91" s="4"/>
      <c r="AT91" s="4"/>
      <c r="AU91" s="4"/>
      <c r="AV91" s="23" t="s">
        <v>2430</v>
      </c>
      <c r="AW91" s="23" t="s">
        <v>2431</v>
      </c>
      <c r="AX91" s="19"/>
      <c r="AY91" s="19"/>
      <c r="AZ91" s="19"/>
      <c r="BA91" s="19"/>
      <c r="BB91" s="24" t="s">
        <v>2432</v>
      </c>
      <c r="BC91" s="4" t="s">
        <v>2433</v>
      </c>
      <c r="BD91" s="4" t="s">
        <v>2434</v>
      </c>
      <c r="BE91" s="4" t="s">
        <v>2040</v>
      </c>
      <c r="BF91" s="4" t="s">
        <v>2435</v>
      </c>
      <c r="BG91" s="4" t="s">
        <v>2436</v>
      </c>
      <c r="BH91" s="4" t="s">
        <v>2437</v>
      </c>
      <c r="BI91" s="7"/>
      <c r="BJ91" s="7"/>
      <c r="BK91" s="7"/>
      <c r="BL91" s="7"/>
      <c r="BM91" s="4"/>
      <c r="BN91" s="4"/>
      <c r="BO91" s="7"/>
      <c r="BP91" s="7"/>
      <c r="BQ91" s="7"/>
      <c r="BR91" s="7"/>
      <c r="BS91" s="7"/>
      <c r="BT91" s="7"/>
      <c r="BU91" s="7"/>
      <c r="BV91" s="20" t="s">
        <v>26</v>
      </c>
      <c r="BW91" s="20" t="s">
        <v>26</v>
      </c>
      <c r="BX91" s="20" t="s">
        <v>39</v>
      </c>
      <c r="BY91" s="20" t="s">
        <v>2438</v>
      </c>
      <c r="BZ91" s="20" t="s">
        <v>484</v>
      </c>
      <c r="CA91" s="20" t="s">
        <v>485</v>
      </c>
      <c r="CB91" s="20" t="s">
        <v>2439</v>
      </c>
      <c r="CC91" s="7"/>
      <c r="CD91" s="7"/>
      <c r="CE91" s="20" t="s">
        <v>316</v>
      </c>
      <c r="CF91" s="21" t="n">
        <v>12</v>
      </c>
      <c r="CG91" s="7"/>
      <c r="CH91" s="22" t="str">
        <f aca="false">IF(AND(ISNUMBER(BP91),ISNUMBER(AG91),AG91&gt;0),BP91*1000000/AG91,"")</f>
        <v/>
      </c>
      <c r="CI91" s="7"/>
      <c r="CJ91" s="7"/>
      <c r="CK91" s="7"/>
      <c r="CL91" s="7"/>
      <c r="CM91" s="7"/>
      <c r="CN91" s="7"/>
      <c r="CO91" s="7"/>
      <c r="CP91" s="7"/>
      <c r="CQ91" s="7"/>
      <c r="CR91" s="7"/>
      <c r="CS91" s="7"/>
    </row>
    <row r="92" customFormat="false" ht="686.55" hidden="false" customHeight="false" outlineLevel="0" collapsed="false">
      <c r="A92" s="4" t="n">
        <v>91</v>
      </c>
      <c r="B92" s="4" t="s">
        <v>2010</v>
      </c>
      <c r="C92" s="4" t="s">
        <v>2440</v>
      </c>
      <c r="D92" s="4" t="s">
        <v>2116</v>
      </c>
      <c r="E92" s="4" t="s">
        <v>2441</v>
      </c>
      <c r="F92" s="4" t="s">
        <v>2442</v>
      </c>
      <c r="G92" s="4" t="s">
        <v>2443</v>
      </c>
      <c r="H92" s="4" t="s">
        <v>2444</v>
      </c>
      <c r="I92" s="4" t="s">
        <v>2445</v>
      </c>
      <c r="J92" s="4" t="s">
        <v>2446</v>
      </c>
      <c r="K92" s="25" t="n">
        <v>24.43862</v>
      </c>
      <c r="L92" s="23" t="n">
        <v>2026</v>
      </c>
      <c r="M92" s="23" t="s">
        <v>6</v>
      </c>
      <c r="N92" s="23" t="s">
        <v>2447</v>
      </c>
      <c r="O92" s="23" t="s">
        <v>494</v>
      </c>
      <c r="P92" s="7"/>
      <c r="Q92" s="7"/>
      <c r="R92" s="23" t="s">
        <v>2448</v>
      </c>
      <c r="S92" s="23" t="s">
        <v>2449</v>
      </c>
      <c r="T92" s="23" t="s">
        <v>2450</v>
      </c>
      <c r="U92" s="4" t="s">
        <v>2451</v>
      </c>
      <c r="V92" s="4" t="s">
        <v>498</v>
      </c>
      <c r="W92" s="4"/>
      <c r="X92" s="4" t="s">
        <v>499</v>
      </c>
      <c r="Y92" s="4"/>
      <c r="Z92" s="23" t="s">
        <v>2452</v>
      </c>
      <c r="AA92" s="7"/>
      <c r="AB92" s="4"/>
      <c r="AC92" s="4"/>
      <c r="AD92" s="4"/>
      <c r="AE92" s="18" t="s">
        <v>470</v>
      </c>
      <c r="AF92" s="4" t="s">
        <v>471</v>
      </c>
      <c r="AG92" s="4"/>
      <c r="AH92" s="4"/>
      <c r="AI92" s="4" t="s">
        <v>472</v>
      </c>
      <c r="AJ92" s="4" t="s">
        <v>473</v>
      </c>
      <c r="AK92" s="4"/>
      <c r="AL92" s="7"/>
      <c r="AM92" s="4"/>
      <c r="AN92" s="4"/>
      <c r="AO92" s="23" t="s">
        <v>2453</v>
      </c>
      <c r="AP92" s="4"/>
      <c r="AQ92" s="7"/>
      <c r="AR92" s="4"/>
      <c r="AS92" s="4"/>
      <c r="AT92" s="4"/>
      <c r="AU92" s="4"/>
      <c r="AV92" s="4" t="s">
        <v>475</v>
      </c>
      <c r="AW92" s="23" t="s">
        <v>2454</v>
      </c>
      <c r="AX92" s="19"/>
      <c r="AY92" s="19"/>
      <c r="AZ92" s="19"/>
      <c r="BA92" s="19"/>
      <c r="BB92" s="19"/>
      <c r="BC92" s="4" t="s">
        <v>2455</v>
      </c>
      <c r="BD92" s="4" t="s">
        <v>2456</v>
      </c>
      <c r="BE92" s="4" t="s">
        <v>2040</v>
      </c>
      <c r="BF92" s="4" t="s">
        <v>2041</v>
      </c>
      <c r="BG92" s="4" t="s">
        <v>2457</v>
      </c>
      <c r="BH92" s="4" t="s">
        <v>2458</v>
      </c>
      <c r="BI92" s="7"/>
      <c r="BJ92" s="7"/>
      <c r="BK92" s="7"/>
      <c r="BL92" s="7"/>
      <c r="BM92" s="4"/>
      <c r="BN92" s="23" t="s">
        <v>2459</v>
      </c>
      <c r="BO92" s="7"/>
      <c r="BP92" s="7"/>
      <c r="BQ92" s="7"/>
      <c r="BR92" s="7"/>
      <c r="BS92" s="7"/>
      <c r="BT92" s="7"/>
      <c r="BU92" s="7"/>
      <c r="BV92" s="20" t="s">
        <v>24</v>
      </c>
      <c r="BW92" s="20" t="s">
        <v>30</v>
      </c>
      <c r="BX92" s="20" t="s">
        <v>36</v>
      </c>
      <c r="BY92" s="7"/>
      <c r="BZ92" s="20" t="s">
        <v>484</v>
      </c>
      <c r="CA92" s="20" t="s">
        <v>524</v>
      </c>
      <c r="CB92" s="20" t="s">
        <v>2460</v>
      </c>
      <c r="CC92" s="20" t="s">
        <v>2293</v>
      </c>
      <c r="CD92" s="20" t="s">
        <v>2461</v>
      </c>
      <c r="CE92" s="20" t="s">
        <v>2462</v>
      </c>
      <c r="CF92" s="7"/>
      <c r="CG92" s="7"/>
      <c r="CH92" s="22" t="str">
        <f aca="false">IF(AND(ISNUMBER(BP92),ISNUMBER(AG92),AG92&gt;0),BP92*1000000/AG92,"")</f>
        <v/>
      </c>
      <c r="CI92" s="7"/>
      <c r="CJ92" s="7"/>
      <c r="CK92" s="7"/>
      <c r="CL92" s="7"/>
      <c r="CM92" s="7"/>
      <c r="CN92" s="21" t="n">
        <v>1</v>
      </c>
      <c r="CO92" s="7"/>
      <c r="CP92" s="20" t="s">
        <v>2463</v>
      </c>
      <c r="CQ92" s="7"/>
      <c r="CR92" s="20" t="s">
        <v>2464</v>
      </c>
      <c r="CS92" s="20" t="s">
        <v>2465</v>
      </c>
    </row>
    <row r="93" customFormat="false" ht="806.7" hidden="false" customHeight="false" outlineLevel="0" collapsed="false">
      <c r="A93" s="4" t="n">
        <v>92</v>
      </c>
      <c r="B93" s="4" t="s">
        <v>2010</v>
      </c>
      <c r="C93" s="4" t="s">
        <v>69</v>
      </c>
      <c r="D93" s="4" t="s">
        <v>2116</v>
      </c>
      <c r="E93" s="4" t="s">
        <v>2466</v>
      </c>
      <c r="F93" s="4" t="s">
        <v>592</v>
      </c>
      <c r="G93" s="4" t="s">
        <v>2467</v>
      </c>
      <c r="H93" s="4" t="s">
        <v>2468</v>
      </c>
      <c r="I93" s="4" t="s">
        <v>2469</v>
      </c>
      <c r="J93" s="4" t="s">
        <v>2470</v>
      </c>
      <c r="K93" s="25" t="n">
        <v>0.996964</v>
      </c>
      <c r="L93" s="23" t="n">
        <v>2026</v>
      </c>
      <c r="M93" s="23" t="s">
        <v>5</v>
      </c>
      <c r="N93" s="23" t="s">
        <v>2471</v>
      </c>
      <c r="O93" s="23" t="s">
        <v>494</v>
      </c>
      <c r="P93" s="20" t="n">
        <v>0.996964</v>
      </c>
      <c r="Q93" s="7"/>
      <c r="R93" s="23" t="s">
        <v>2472</v>
      </c>
      <c r="S93" s="23" t="s">
        <v>2473</v>
      </c>
      <c r="T93" s="23" t="s">
        <v>2474</v>
      </c>
      <c r="U93" s="4" t="s">
        <v>2022</v>
      </c>
      <c r="V93" s="4" t="s">
        <v>498</v>
      </c>
      <c r="W93" s="4"/>
      <c r="X93" s="4" t="s">
        <v>499</v>
      </c>
      <c r="Y93" s="4"/>
      <c r="Z93" s="23" t="s">
        <v>2475</v>
      </c>
      <c r="AA93" s="20"/>
      <c r="AB93" s="23"/>
      <c r="AC93" s="23"/>
      <c r="AD93" s="23"/>
      <c r="AE93" s="18" t="s">
        <v>470</v>
      </c>
      <c r="AF93" s="4" t="s">
        <v>471</v>
      </c>
      <c r="AG93" s="23" t="n">
        <v>4</v>
      </c>
      <c r="AH93" s="23" t="s">
        <v>2025</v>
      </c>
      <c r="AI93" s="23" t="s">
        <v>2476</v>
      </c>
      <c r="AJ93" s="23" t="s">
        <v>503</v>
      </c>
      <c r="AK93" s="23" t="s">
        <v>2477</v>
      </c>
      <c r="AL93" s="7"/>
      <c r="AM93" s="4"/>
      <c r="AN93" s="4"/>
      <c r="AO93" s="23" t="s">
        <v>2478</v>
      </c>
      <c r="AP93" s="4"/>
      <c r="AQ93" s="7"/>
      <c r="AR93" s="4"/>
      <c r="AS93" s="4"/>
      <c r="AT93" s="4"/>
      <c r="AU93" s="4"/>
      <c r="AV93" s="4" t="s">
        <v>475</v>
      </c>
      <c r="AW93" s="23" t="s">
        <v>2479</v>
      </c>
      <c r="AX93" s="24" t="n">
        <v>11</v>
      </c>
      <c r="AY93" s="24" t="s">
        <v>2480</v>
      </c>
      <c r="AZ93" s="24" t="s">
        <v>2481</v>
      </c>
      <c r="BA93" s="24" t="s">
        <v>2477</v>
      </c>
      <c r="BB93" s="24" t="s">
        <v>2482</v>
      </c>
      <c r="BC93" s="4" t="s">
        <v>2483</v>
      </c>
      <c r="BD93" s="4" t="s">
        <v>2484</v>
      </c>
      <c r="BE93" s="4" t="s">
        <v>514</v>
      </c>
      <c r="BF93" s="4" t="s">
        <v>515</v>
      </c>
      <c r="BG93" s="4" t="s">
        <v>2485</v>
      </c>
      <c r="BH93" s="4" t="s">
        <v>2486</v>
      </c>
      <c r="BI93" s="7"/>
      <c r="BJ93" s="7"/>
      <c r="BK93" s="7"/>
      <c r="BL93" s="7"/>
      <c r="BM93" s="4"/>
      <c r="BN93" s="23" t="s">
        <v>2487</v>
      </c>
      <c r="BO93" s="7"/>
      <c r="BP93" s="7"/>
      <c r="BQ93" s="7"/>
      <c r="BR93" s="7"/>
      <c r="BS93" s="7"/>
      <c r="BT93" s="7"/>
      <c r="BU93" s="7"/>
      <c r="BV93" s="20" t="s">
        <v>24</v>
      </c>
      <c r="BW93" s="20" t="s">
        <v>30</v>
      </c>
      <c r="BX93" s="20" t="s">
        <v>37</v>
      </c>
      <c r="BY93" s="20" t="s">
        <v>2382</v>
      </c>
      <c r="BZ93" s="20" t="s">
        <v>484</v>
      </c>
      <c r="CA93" s="20" t="s">
        <v>524</v>
      </c>
      <c r="CB93" s="20" t="s">
        <v>2383</v>
      </c>
      <c r="CC93" s="20" t="s">
        <v>2187</v>
      </c>
      <c r="CD93" s="20" t="s">
        <v>2384</v>
      </c>
      <c r="CE93" s="20" t="s">
        <v>134</v>
      </c>
      <c r="CF93" s="21" t="n">
        <v>10</v>
      </c>
      <c r="CG93" s="7"/>
      <c r="CH93" s="22" t="str">
        <f aca="false">IF(AND(ISNUMBER(BP93),ISNUMBER(AG93),AG93&gt;0),BP93*1000000/AG93,"")</f>
        <v/>
      </c>
      <c r="CI93" s="21" t="n">
        <v>9</v>
      </c>
      <c r="CJ93" s="21" t="n">
        <v>1</v>
      </c>
      <c r="CK93" s="21" t="n">
        <v>1</v>
      </c>
      <c r="CL93" s="21" t="n">
        <v>11</v>
      </c>
      <c r="CM93" s="7"/>
      <c r="CN93" s="7"/>
      <c r="CO93" s="21" t="n">
        <v>1</v>
      </c>
      <c r="CP93" s="20" t="s">
        <v>2488</v>
      </c>
      <c r="CQ93" s="20" t="s">
        <v>2489</v>
      </c>
      <c r="CR93" s="20" t="s">
        <v>2477</v>
      </c>
      <c r="CS93" s="20" t="s">
        <v>2490</v>
      </c>
    </row>
    <row r="94" customFormat="false" ht="1048.5" hidden="false" customHeight="false" outlineLevel="0" collapsed="false">
      <c r="A94" s="4" t="n">
        <v>93</v>
      </c>
      <c r="B94" s="4" t="s">
        <v>2010</v>
      </c>
      <c r="C94" s="4" t="s">
        <v>70</v>
      </c>
      <c r="D94" s="4" t="s">
        <v>2116</v>
      </c>
      <c r="E94" s="4" t="s">
        <v>2491</v>
      </c>
      <c r="F94" s="4" t="s">
        <v>2492</v>
      </c>
      <c r="G94" s="4" t="s">
        <v>2493</v>
      </c>
      <c r="H94" s="4" t="s">
        <v>2494</v>
      </c>
      <c r="I94" s="4" t="s">
        <v>2495</v>
      </c>
      <c r="J94" s="4" t="s">
        <v>2496</v>
      </c>
      <c r="K94" s="17" t="n">
        <v>2.227</v>
      </c>
      <c r="L94" s="4" t="n">
        <v>2026</v>
      </c>
      <c r="M94" s="4" t="s">
        <v>4</v>
      </c>
      <c r="N94" s="23" t="s">
        <v>2497</v>
      </c>
      <c r="O94" s="4" t="s">
        <v>494</v>
      </c>
      <c r="P94" s="7" t="n">
        <v>2.227</v>
      </c>
      <c r="Q94" s="7" t="n">
        <v>0</v>
      </c>
      <c r="R94" s="23" t="s">
        <v>2498</v>
      </c>
      <c r="S94" s="23" t="s">
        <v>2499</v>
      </c>
      <c r="T94" s="23" t="s">
        <v>2500</v>
      </c>
      <c r="U94" s="4" t="s">
        <v>2022</v>
      </c>
      <c r="V94" s="4" t="s">
        <v>647</v>
      </c>
      <c r="W94" s="4" t="s">
        <v>2501</v>
      </c>
      <c r="X94" s="4" t="s">
        <v>2064</v>
      </c>
      <c r="Y94" s="4" t="s">
        <v>2065</v>
      </c>
      <c r="Z94" s="23" t="s">
        <v>2502</v>
      </c>
      <c r="AA94" s="7"/>
      <c r="AB94" s="4"/>
      <c r="AC94" s="4"/>
      <c r="AD94" s="4"/>
      <c r="AE94" s="18" t="s">
        <v>470</v>
      </c>
      <c r="AF94" s="4" t="s">
        <v>471</v>
      </c>
      <c r="AG94" s="4"/>
      <c r="AH94" s="4"/>
      <c r="AI94" s="4" t="s">
        <v>472</v>
      </c>
      <c r="AJ94" s="4" t="s">
        <v>473</v>
      </c>
      <c r="AK94" s="4"/>
      <c r="AL94" s="20" t="n">
        <v>1.56624</v>
      </c>
      <c r="AM94" s="23" t="n">
        <v>2026</v>
      </c>
      <c r="AN94" s="23" t="s">
        <v>2503</v>
      </c>
      <c r="AO94" s="23" t="s">
        <v>506</v>
      </c>
      <c r="AP94" s="23" t="s">
        <v>2504</v>
      </c>
      <c r="AQ94" s="20" t="n">
        <v>1.052896</v>
      </c>
      <c r="AR94" s="23" t="n">
        <v>2026</v>
      </c>
      <c r="AS94" s="23" t="s">
        <v>2505</v>
      </c>
      <c r="AT94" s="23" t="s">
        <v>509</v>
      </c>
      <c r="AU94" s="23" t="s">
        <v>2506</v>
      </c>
      <c r="AV94" s="23" t="s">
        <v>974</v>
      </c>
      <c r="AW94" s="23" t="s">
        <v>2507</v>
      </c>
      <c r="AX94" s="24" t="n">
        <v>17</v>
      </c>
      <c r="AY94" s="24" t="s">
        <v>964</v>
      </c>
      <c r="AZ94" s="24" t="s">
        <v>2508</v>
      </c>
      <c r="BA94" s="24" t="s">
        <v>2509</v>
      </c>
      <c r="BB94" s="19"/>
      <c r="BC94" s="4" t="s">
        <v>2510</v>
      </c>
      <c r="BD94" s="4" t="s">
        <v>2511</v>
      </c>
      <c r="BE94" s="4" t="s">
        <v>2512</v>
      </c>
      <c r="BF94" s="4" t="s">
        <v>2513</v>
      </c>
      <c r="BG94" s="4" t="s">
        <v>2514</v>
      </c>
      <c r="BH94" s="4" t="s">
        <v>2515</v>
      </c>
      <c r="BI94" s="7"/>
      <c r="BJ94" s="7"/>
      <c r="BK94" s="7"/>
      <c r="BL94" s="7"/>
      <c r="BM94" s="4"/>
      <c r="BN94" s="23" t="s">
        <v>2516</v>
      </c>
      <c r="BO94" s="20" t="n">
        <v>1.517282</v>
      </c>
      <c r="BP94" s="20" t="n">
        <v>1.422362</v>
      </c>
      <c r="BQ94" s="20" t="n">
        <v>1.422362</v>
      </c>
      <c r="BR94" s="20" t="s">
        <v>2517</v>
      </c>
      <c r="BS94" s="20" t="s">
        <v>2518</v>
      </c>
      <c r="BT94" s="20" t="s">
        <v>2519</v>
      </c>
      <c r="BU94" s="20" t="s">
        <v>2520</v>
      </c>
      <c r="BV94" s="20" t="s">
        <v>24</v>
      </c>
      <c r="BW94" s="20" t="s">
        <v>30</v>
      </c>
      <c r="BX94" s="20" t="s">
        <v>35</v>
      </c>
      <c r="BY94" s="20" t="s">
        <v>2078</v>
      </c>
      <c r="BZ94" s="20" t="s">
        <v>484</v>
      </c>
      <c r="CA94" s="20" t="s">
        <v>524</v>
      </c>
      <c r="CB94" s="20" t="s">
        <v>2079</v>
      </c>
      <c r="CC94" s="20" t="s">
        <v>2080</v>
      </c>
      <c r="CD94" s="20" t="s">
        <v>121</v>
      </c>
      <c r="CE94" s="20" t="s">
        <v>120</v>
      </c>
      <c r="CF94" s="21" t="n">
        <v>10</v>
      </c>
      <c r="CG94" s="7"/>
      <c r="CH94" s="22" t="str">
        <f aca="false">IF(AND(ISNUMBER(BP94),ISNUMBER(AG94),AG94&gt;0),BP94*1000000/AG94,"")</f>
        <v/>
      </c>
      <c r="CI94" s="21" t="n">
        <v>7</v>
      </c>
      <c r="CJ94" s="21" t="n">
        <v>6</v>
      </c>
      <c r="CK94" s="21" t="n">
        <v>0</v>
      </c>
      <c r="CL94" s="21" t="n">
        <v>13</v>
      </c>
      <c r="CM94" s="21" t="n">
        <v>2</v>
      </c>
      <c r="CN94" s="21" t="n">
        <v>4</v>
      </c>
      <c r="CO94" s="21" t="n">
        <v>0</v>
      </c>
      <c r="CP94" s="20" t="s">
        <v>2521</v>
      </c>
      <c r="CQ94" s="20" t="s">
        <v>2522</v>
      </c>
      <c r="CR94" s="20" t="s">
        <v>2523</v>
      </c>
      <c r="CS94" s="20" t="s">
        <v>2524</v>
      </c>
    </row>
    <row r="95" customFormat="false" ht="485.05" hidden="false" customHeight="false" outlineLevel="0" collapsed="false">
      <c r="A95" s="4" t="n">
        <v>94</v>
      </c>
      <c r="B95" s="4" t="s">
        <v>2010</v>
      </c>
      <c r="C95" s="4" t="s">
        <v>71</v>
      </c>
      <c r="D95" s="4" t="s">
        <v>2011</v>
      </c>
      <c r="E95" s="4" t="s">
        <v>2525</v>
      </c>
      <c r="F95" s="4" t="s">
        <v>2526</v>
      </c>
      <c r="G95" s="4" t="s">
        <v>2527</v>
      </c>
      <c r="H95" s="4" t="s">
        <v>2528</v>
      </c>
      <c r="I95" s="4" t="s">
        <v>2529</v>
      </c>
      <c r="J95" s="4" t="s">
        <v>2530</v>
      </c>
      <c r="K95" s="17"/>
      <c r="L95" s="4"/>
      <c r="M95" s="4"/>
      <c r="N95" s="4"/>
      <c r="O95" s="4" t="s">
        <v>460</v>
      </c>
      <c r="P95" s="7"/>
      <c r="Q95" s="7"/>
      <c r="R95" s="23" t="s">
        <v>2531</v>
      </c>
      <c r="S95" s="4" t="s">
        <v>2020</v>
      </c>
      <c r="T95" s="4" t="s">
        <v>2532</v>
      </c>
      <c r="U95" s="4" t="s">
        <v>2533</v>
      </c>
      <c r="V95" s="4" t="s">
        <v>498</v>
      </c>
      <c r="W95" s="4"/>
      <c r="X95" s="4" t="s">
        <v>499</v>
      </c>
      <c r="Y95" s="4"/>
      <c r="Z95" s="23" t="s">
        <v>2534</v>
      </c>
      <c r="AA95" s="7"/>
      <c r="AB95" s="4"/>
      <c r="AC95" s="4"/>
      <c r="AD95" s="4"/>
      <c r="AE95" s="18" t="s">
        <v>470</v>
      </c>
      <c r="AF95" s="4" t="s">
        <v>471</v>
      </c>
      <c r="AG95" s="4"/>
      <c r="AH95" s="4"/>
      <c r="AI95" s="4" t="s">
        <v>472</v>
      </c>
      <c r="AJ95" s="4" t="s">
        <v>473</v>
      </c>
      <c r="AK95" s="4"/>
      <c r="AL95" s="7"/>
      <c r="AM95" s="4"/>
      <c r="AN95" s="4"/>
      <c r="AO95" s="4" t="s">
        <v>474</v>
      </c>
      <c r="AP95" s="4"/>
      <c r="AQ95" s="7"/>
      <c r="AR95" s="4"/>
      <c r="AS95" s="4"/>
      <c r="AT95" s="4"/>
      <c r="AU95" s="4"/>
      <c r="AV95" s="4" t="s">
        <v>475</v>
      </c>
      <c r="AW95" s="23" t="s">
        <v>2535</v>
      </c>
      <c r="AX95" s="19"/>
      <c r="AY95" s="19"/>
      <c r="AZ95" s="19"/>
      <c r="BA95" s="19"/>
      <c r="BB95" s="19"/>
      <c r="BC95" s="4" t="s">
        <v>2536</v>
      </c>
      <c r="BD95" s="4" t="s">
        <v>2537</v>
      </c>
      <c r="BE95" s="4" t="s">
        <v>2040</v>
      </c>
      <c r="BF95" s="4" t="s">
        <v>2538</v>
      </c>
      <c r="BG95" s="4" t="s">
        <v>2539</v>
      </c>
      <c r="BH95" s="4" t="s">
        <v>2540</v>
      </c>
      <c r="BI95" s="7"/>
      <c r="BJ95" s="7"/>
      <c r="BK95" s="7"/>
      <c r="BL95" s="7"/>
      <c r="BM95" s="4"/>
      <c r="BN95" s="4"/>
      <c r="BO95" s="7"/>
      <c r="BP95" s="7"/>
      <c r="BQ95" s="7"/>
      <c r="BR95" s="7"/>
      <c r="BS95" s="7"/>
      <c r="BT95" s="7"/>
      <c r="BU95" s="7"/>
      <c r="BV95" s="20" t="s">
        <v>26</v>
      </c>
      <c r="BW95" s="20" t="s">
        <v>26</v>
      </c>
      <c r="BX95" s="20" t="s">
        <v>39</v>
      </c>
      <c r="BY95" s="7"/>
      <c r="BZ95" s="20" t="s">
        <v>484</v>
      </c>
      <c r="CA95" s="20" t="s">
        <v>485</v>
      </c>
      <c r="CB95" s="20" t="s">
        <v>2541</v>
      </c>
      <c r="CC95" s="7"/>
      <c r="CD95" s="7"/>
      <c r="CE95" s="20" t="s">
        <v>2542</v>
      </c>
      <c r="CF95" s="7"/>
      <c r="CG95" s="7"/>
      <c r="CH95" s="22" t="str">
        <f aca="false">IF(AND(ISNUMBER(BP95),ISNUMBER(AG95),AG95&gt;0),BP95*1000000/AG95,"")</f>
        <v/>
      </c>
      <c r="CI95" s="7"/>
      <c r="CJ95" s="7"/>
      <c r="CK95" s="7"/>
      <c r="CL95" s="7"/>
      <c r="CM95" s="7"/>
      <c r="CN95" s="7"/>
      <c r="CO95" s="7"/>
      <c r="CP95" s="7"/>
      <c r="CQ95" s="7"/>
      <c r="CR95" s="7"/>
      <c r="CS95" s="7"/>
    </row>
    <row r="96" customFormat="false" ht="887.3" hidden="false" customHeight="false" outlineLevel="0" collapsed="false">
      <c r="A96" s="4" t="n">
        <v>95</v>
      </c>
      <c r="B96" s="4" t="s">
        <v>2010</v>
      </c>
      <c r="C96" s="4" t="s">
        <v>64</v>
      </c>
      <c r="D96" s="4" t="s">
        <v>2116</v>
      </c>
      <c r="E96" s="4" t="s">
        <v>2543</v>
      </c>
      <c r="F96" s="4" t="s">
        <v>592</v>
      </c>
      <c r="G96" s="4" t="s">
        <v>2544</v>
      </c>
      <c r="H96" s="4" t="s">
        <v>2545</v>
      </c>
      <c r="I96" s="4" t="s">
        <v>2546</v>
      </c>
      <c r="J96" s="4" t="s">
        <v>2547</v>
      </c>
      <c r="K96" s="25" t="n">
        <v>5.37467</v>
      </c>
      <c r="L96" s="23" t="n">
        <v>2026</v>
      </c>
      <c r="M96" s="23" t="s">
        <v>6</v>
      </c>
      <c r="N96" s="23" t="s">
        <v>2548</v>
      </c>
      <c r="O96" s="23" t="s">
        <v>494</v>
      </c>
      <c r="P96" s="7"/>
      <c r="Q96" s="7"/>
      <c r="R96" s="23" t="s">
        <v>2549</v>
      </c>
      <c r="S96" s="23" t="s">
        <v>2550</v>
      </c>
      <c r="T96" s="4" t="s">
        <v>2551</v>
      </c>
      <c r="U96" s="4" t="s">
        <v>2022</v>
      </c>
      <c r="V96" s="4" t="s">
        <v>1406</v>
      </c>
      <c r="W96" s="4" t="s">
        <v>2552</v>
      </c>
      <c r="X96" s="4" t="s">
        <v>1408</v>
      </c>
      <c r="Y96" s="4" t="s">
        <v>1409</v>
      </c>
      <c r="Z96" s="23" t="s">
        <v>2553</v>
      </c>
      <c r="AA96" s="7"/>
      <c r="AB96" s="4"/>
      <c r="AC96" s="4"/>
      <c r="AD96" s="4"/>
      <c r="AE96" s="18" t="s">
        <v>470</v>
      </c>
      <c r="AF96" s="4" t="s">
        <v>471</v>
      </c>
      <c r="AG96" s="4"/>
      <c r="AH96" s="4"/>
      <c r="AI96" s="4" t="s">
        <v>472</v>
      </c>
      <c r="AJ96" s="4" t="s">
        <v>473</v>
      </c>
      <c r="AK96" s="4"/>
      <c r="AL96" s="7"/>
      <c r="AM96" s="4"/>
      <c r="AN96" s="4"/>
      <c r="AO96" s="4" t="s">
        <v>474</v>
      </c>
      <c r="AP96" s="4"/>
      <c r="AQ96" s="7"/>
      <c r="AR96" s="4"/>
      <c r="AS96" s="4"/>
      <c r="AT96" s="4"/>
      <c r="AU96" s="4"/>
      <c r="AV96" s="4" t="s">
        <v>475</v>
      </c>
      <c r="AW96" s="23" t="s">
        <v>2554</v>
      </c>
      <c r="AX96" s="19"/>
      <c r="AY96" s="19"/>
      <c r="AZ96" s="19"/>
      <c r="BA96" s="19"/>
      <c r="BB96" s="19"/>
      <c r="BC96" s="4" t="s">
        <v>2555</v>
      </c>
      <c r="BD96" s="4" t="s">
        <v>1562</v>
      </c>
      <c r="BE96" s="4" t="s">
        <v>686</v>
      </c>
      <c r="BF96" s="4" t="s">
        <v>1563</v>
      </c>
      <c r="BG96" s="4" t="s">
        <v>2556</v>
      </c>
      <c r="BH96" s="4" t="s">
        <v>2557</v>
      </c>
      <c r="BI96" s="7"/>
      <c r="BJ96" s="7"/>
      <c r="BK96" s="7"/>
      <c r="BL96" s="7"/>
      <c r="BM96" s="4"/>
      <c r="BN96" s="4"/>
      <c r="BO96" s="7"/>
      <c r="BP96" s="7"/>
      <c r="BQ96" s="7"/>
      <c r="BR96" s="7"/>
      <c r="BS96" s="7"/>
      <c r="BT96" s="7"/>
      <c r="BU96" s="7"/>
      <c r="BV96" s="20" t="s">
        <v>24</v>
      </c>
      <c r="BW96" s="20" t="s">
        <v>30</v>
      </c>
      <c r="BX96" s="20" t="s">
        <v>37</v>
      </c>
      <c r="BY96" s="20" t="s">
        <v>2382</v>
      </c>
      <c r="BZ96" s="20" t="s">
        <v>484</v>
      </c>
      <c r="CA96" s="20" t="s">
        <v>664</v>
      </c>
      <c r="CB96" s="20" t="s">
        <v>2383</v>
      </c>
      <c r="CC96" s="20" t="s">
        <v>2187</v>
      </c>
      <c r="CD96" s="20" t="s">
        <v>2384</v>
      </c>
      <c r="CE96" s="20" t="s">
        <v>134</v>
      </c>
      <c r="CF96" s="21" t="n">
        <v>10</v>
      </c>
      <c r="CG96" s="7"/>
      <c r="CH96" s="22" t="str">
        <f aca="false">IF(AND(ISNUMBER(BP96),ISNUMBER(AG96),AG96&gt;0),BP96*1000000/AG96,"")</f>
        <v/>
      </c>
      <c r="CI96" s="7"/>
      <c r="CJ96" s="7"/>
      <c r="CK96" s="7"/>
      <c r="CL96" s="7"/>
      <c r="CM96" s="7"/>
      <c r="CN96" s="7"/>
      <c r="CO96" s="7"/>
      <c r="CP96" s="7"/>
      <c r="CQ96" s="7"/>
      <c r="CR96" s="7"/>
      <c r="CS96" s="7"/>
    </row>
    <row r="97" customFormat="false" ht="766.4" hidden="false" customHeight="false" outlineLevel="0" collapsed="false">
      <c r="A97" s="4" t="n">
        <v>96</v>
      </c>
      <c r="B97" s="4" t="s">
        <v>2010</v>
      </c>
      <c r="C97" s="4" t="s">
        <v>67</v>
      </c>
      <c r="D97" s="4" t="s">
        <v>1333</v>
      </c>
      <c r="E97" s="4" t="s">
        <v>2558</v>
      </c>
      <c r="F97" s="4" t="s">
        <v>2559</v>
      </c>
      <c r="G97" s="4" t="s">
        <v>2560</v>
      </c>
      <c r="H97" s="4" t="s">
        <v>2561</v>
      </c>
      <c r="I97" s="4" t="s">
        <v>2562</v>
      </c>
      <c r="J97" s="4" t="s">
        <v>2563</v>
      </c>
      <c r="K97" s="25" t="n">
        <v>15.531808</v>
      </c>
      <c r="L97" s="23" t="n">
        <v>2026</v>
      </c>
      <c r="M97" s="23" t="s">
        <v>6</v>
      </c>
      <c r="N97" s="23" t="s">
        <v>2564</v>
      </c>
      <c r="O97" s="23" t="s">
        <v>494</v>
      </c>
      <c r="P97" s="7"/>
      <c r="Q97" s="7"/>
      <c r="R97" s="23" t="s">
        <v>2565</v>
      </c>
      <c r="S97" s="23" t="s">
        <v>2566</v>
      </c>
      <c r="T97" s="23" t="s">
        <v>2567</v>
      </c>
      <c r="U97" s="4" t="s">
        <v>2568</v>
      </c>
      <c r="V97" s="4" t="s">
        <v>498</v>
      </c>
      <c r="W97" s="4"/>
      <c r="X97" s="4" t="s">
        <v>2569</v>
      </c>
      <c r="Y97" s="4"/>
      <c r="Z97" s="23" t="s">
        <v>2570</v>
      </c>
      <c r="AA97" s="7"/>
      <c r="AB97" s="4"/>
      <c r="AC97" s="4"/>
      <c r="AD97" s="4"/>
      <c r="AE97" s="18" t="s">
        <v>470</v>
      </c>
      <c r="AF97" s="4" t="s">
        <v>471</v>
      </c>
      <c r="AG97" s="23" t="n">
        <v>148</v>
      </c>
      <c r="AH97" s="23" t="s">
        <v>601</v>
      </c>
      <c r="AI97" s="23" t="s">
        <v>2571</v>
      </c>
      <c r="AJ97" s="23" t="s">
        <v>503</v>
      </c>
      <c r="AK97" s="23" t="s">
        <v>2572</v>
      </c>
      <c r="AL97" s="7"/>
      <c r="AM97" s="4"/>
      <c r="AN97" s="4"/>
      <c r="AO97" s="23" t="s">
        <v>2573</v>
      </c>
      <c r="AP97" s="4"/>
      <c r="AQ97" s="7"/>
      <c r="AR97" s="4"/>
      <c r="AS97" s="4"/>
      <c r="AT97" s="4"/>
      <c r="AU97" s="4"/>
      <c r="AV97" s="4" t="s">
        <v>2574</v>
      </c>
      <c r="AW97" s="23" t="s">
        <v>2575</v>
      </c>
      <c r="AX97" s="19"/>
      <c r="AY97" s="19"/>
      <c r="AZ97" s="19"/>
      <c r="BA97" s="19"/>
      <c r="BB97" s="24" t="s">
        <v>2576</v>
      </c>
      <c r="BC97" s="4" t="s">
        <v>2577</v>
      </c>
      <c r="BD97" s="4" t="s">
        <v>2578</v>
      </c>
      <c r="BE97" s="4" t="s">
        <v>514</v>
      </c>
      <c r="BF97" s="4" t="s">
        <v>515</v>
      </c>
      <c r="BG97" s="4" t="s">
        <v>2579</v>
      </c>
      <c r="BH97" s="4" t="s">
        <v>2580</v>
      </c>
      <c r="BI97" s="7"/>
      <c r="BJ97" s="7"/>
      <c r="BK97" s="7"/>
      <c r="BL97" s="7"/>
      <c r="BM97" s="4"/>
      <c r="BN97" s="23" t="s">
        <v>2581</v>
      </c>
      <c r="BO97" s="7"/>
      <c r="BP97" s="7"/>
      <c r="BQ97" s="7"/>
      <c r="BR97" s="7"/>
      <c r="BS97" s="7"/>
      <c r="BT97" s="7"/>
      <c r="BU97" s="7"/>
      <c r="BV97" s="20" t="s">
        <v>23</v>
      </c>
      <c r="BW97" s="20" t="s">
        <v>28</v>
      </c>
      <c r="BX97" s="20" t="s">
        <v>34</v>
      </c>
      <c r="BY97" s="7"/>
      <c r="BZ97" s="20" t="s">
        <v>484</v>
      </c>
      <c r="CA97" s="20" t="s">
        <v>524</v>
      </c>
      <c r="CB97" s="20" t="s">
        <v>2582</v>
      </c>
      <c r="CC97" s="20" t="s">
        <v>1208</v>
      </c>
      <c r="CD97" s="7"/>
      <c r="CE97" s="20" t="s">
        <v>2583</v>
      </c>
      <c r="CF97" s="7"/>
      <c r="CG97" s="7"/>
      <c r="CH97" s="22" t="str">
        <f aca="false">IF(AND(ISNUMBER(BP97),ISNUMBER(AG97),AG97&gt;0),BP97*1000000/AG97,"")</f>
        <v/>
      </c>
      <c r="CI97" s="21" t="n">
        <v>83</v>
      </c>
      <c r="CJ97" s="21" t="n">
        <v>51</v>
      </c>
      <c r="CK97" s="21" t="n">
        <v>1</v>
      </c>
      <c r="CL97" s="21" t="n">
        <v>135</v>
      </c>
      <c r="CM97" s="7"/>
      <c r="CN97" s="7"/>
      <c r="CO97" s="7"/>
      <c r="CP97" s="20" t="s">
        <v>2584</v>
      </c>
      <c r="CQ97" s="20" t="s">
        <v>2585</v>
      </c>
      <c r="CR97" s="20" t="s">
        <v>2586</v>
      </c>
      <c r="CS97" s="20" t="s">
        <v>2587</v>
      </c>
    </row>
    <row r="98" customFormat="false" ht="1451.45" hidden="false" customHeight="false" outlineLevel="0" collapsed="false">
      <c r="A98" s="4" t="n">
        <v>97</v>
      </c>
      <c r="B98" s="4" t="s">
        <v>2010</v>
      </c>
      <c r="C98" s="4" t="s">
        <v>55</v>
      </c>
      <c r="D98" s="4" t="s">
        <v>1333</v>
      </c>
      <c r="E98" s="4" t="s">
        <v>2588</v>
      </c>
      <c r="F98" s="4" t="s">
        <v>2589</v>
      </c>
      <c r="G98" s="4" t="s">
        <v>2590</v>
      </c>
      <c r="H98" s="4" t="s">
        <v>2591</v>
      </c>
      <c r="I98" s="4" t="s">
        <v>2592</v>
      </c>
      <c r="J98" s="4" t="s">
        <v>2593</v>
      </c>
      <c r="K98" s="17" t="n">
        <v>492.887081</v>
      </c>
      <c r="L98" s="4" t="n">
        <v>2026</v>
      </c>
      <c r="M98" s="4" t="s">
        <v>5</v>
      </c>
      <c r="N98" s="4" t="s">
        <v>2018</v>
      </c>
      <c r="O98" s="4" t="s">
        <v>494</v>
      </c>
      <c r="P98" s="7" t="n">
        <v>492.887081</v>
      </c>
      <c r="Q98" s="7"/>
      <c r="R98" s="4" t="s">
        <v>2594</v>
      </c>
      <c r="S98" s="4" t="s">
        <v>2595</v>
      </c>
      <c r="T98" s="4" t="s">
        <v>2596</v>
      </c>
      <c r="U98" s="4" t="s">
        <v>2568</v>
      </c>
      <c r="V98" s="4" t="s">
        <v>498</v>
      </c>
      <c r="W98" s="4"/>
      <c r="X98" s="4" t="s">
        <v>2569</v>
      </c>
      <c r="Y98" s="4"/>
      <c r="Z98" s="23" t="s">
        <v>2597</v>
      </c>
      <c r="AA98" s="7"/>
      <c r="AB98" s="4"/>
      <c r="AC98" s="4"/>
      <c r="AD98" s="4"/>
      <c r="AE98" s="18" t="s">
        <v>470</v>
      </c>
      <c r="AF98" s="4" t="s">
        <v>471</v>
      </c>
      <c r="AG98" s="4"/>
      <c r="AH98" s="4"/>
      <c r="AI98" s="4" t="s">
        <v>2598</v>
      </c>
      <c r="AJ98" s="4" t="s">
        <v>2599</v>
      </c>
      <c r="AK98" s="4"/>
      <c r="AL98" s="20" t="n">
        <v>72.8035</v>
      </c>
      <c r="AM98" s="23" t="n">
        <v>2026</v>
      </c>
      <c r="AN98" s="23" t="s">
        <v>2600</v>
      </c>
      <c r="AO98" s="23" t="s">
        <v>506</v>
      </c>
      <c r="AP98" s="23" t="s">
        <v>2601</v>
      </c>
      <c r="AQ98" s="20" t="n">
        <v>14.113971</v>
      </c>
      <c r="AR98" s="23" t="n">
        <v>2026</v>
      </c>
      <c r="AS98" s="23" t="s">
        <v>2030</v>
      </c>
      <c r="AT98" s="23" t="s">
        <v>2602</v>
      </c>
      <c r="AU98" s="23" t="s">
        <v>2603</v>
      </c>
      <c r="AV98" s="23" t="s">
        <v>2033</v>
      </c>
      <c r="AW98" s="23" t="s">
        <v>2604</v>
      </c>
      <c r="AX98" s="24" t="n">
        <v>1321</v>
      </c>
      <c r="AY98" s="24" t="s">
        <v>964</v>
      </c>
      <c r="AZ98" s="24" t="s">
        <v>2605</v>
      </c>
      <c r="BA98" s="24" t="s">
        <v>2606</v>
      </c>
      <c r="BB98" s="24" t="s">
        <v>2607</v>
      </c>
      <c r="BC98" s="4" t="s">
        <v>2608</v>
      </c>
      <c r="BD98" s="4" t="s">
        <v>2609</v>
      </c>
      <c r="BE98" s="4" t="s">
        <v>514</v>
      </c>
      <c r="BF98" s="4" t="s">
        <v>515</v>
      </c>
      <c r="BG98" s="4" t="s">
        <v>2610</v>
      </c>
      <c r="BH98" s="4" t="s">
        <v>2611</v>
      </c>
      <c r="BI98" s="7"/>
      <c r="BJ98" s="7"/>
      <c r="BK98" s="7"/>
      <c r="BL98" s="20" t="n">
        <v>72.849102</v>
      </c>
      <c r="BM98" s="23" t="s">
        <v>2612</v>
      </c>
      <c r="BN98" s="23" t="s">
        <v>2613</v>
      </c>
      <c r="BO98" s="20" t="n">
        <v>63.48109</v>
      </c>
      <c r="BP98" s="20" t="n">
        <v>57.934101</v>
      </c>
      <c r="BQ98" s="20" t="n">
        <v>57.934101</v>
      </c>
      <c r="BR98" s="20" t="s">
        <v>2045</v>
      </c>
      <c r="BS98" s="20" t="s">
        <v>2046</v>
      </c>
      <c r="BT98" s="20" t="s">
        <v>2614</v>
      </c>
      <c r="BU98" s="20" t="s">
        <v>2615</v>
      </c>
      <c r="BV98" s="20" t="s">
        <v>24</v>
      </c>
      <c r="BW98" s="20" t="s">
        <v>30</v>
      </c>
      <c r="BX98" s="20" t="s">
        <v>34</v>
      </c>
      <c r="BY98" s="20" t="s">
        <v>2616</v>
      </c>
      <c r="BZ98" s="20" t="s">
        <v>484</v>
      </c>
      <c r="CA98" s="20" t="s">
        <v>524</v>
      </c>
      <c r="CB98" s="20" t="s">
        <v>2617</v>
      </c>
      <c r="CC98" s="20" t="s">
        <v>2618</v>
      </c>
      <c r="CD98" s="20" t="s">
        <v>2619</v>
      </c>
      <c r="CE98" s="20" t="s">
        <v>201</v>
      </c>
      <c r="CF98" s="21" t="n">
        <v>10</v>
      </c>
      <c r="CG98" s="7"/>
      <c r="CH98" s="22" t="str">
        <f aca="false">IF(AND(ISNUMBER(BP98),ISNUMBER(AG98),AG98&gt;0),BP98*1000000/AG98,"")</f>
        <v/>
      </c>
      <c r="CI98" s="21" t="n">
        <v>858</v>
      </c>
      <c r="CJ98" s="21" t="n">
        <v>195</v>
      </c>
      <c r="CK98" s="21" t="n">
        <v>266</v>
      </c>
      <c r="CL98" s="21" t="n">
        <v>1319</v>
      </c>
      <c r="CM98" s="7"/>
      <c r="CN98" s="21" t="n">
        <v>2</v>
      </c>
      <c r="CO98" s="7"/>
      <c r="CP98" s="20" t="s">
        <v>2620</v>
      </c>
      <c r="CQ98" s="20" t="s">
        <v>2621</v>
      </c>
      <c r="CR98" s="20" t="s">
        <v>2606</v>
      </c>
      <c r="CS98" s="20" t="s">
        <v>2622</v>
      </c>
    </row>
    <row r="99" customFormat="false" ht="1505.2" hidden="false" customHeight="false" outlineLevel="0" collapsed="false">
      <c r="A99" s="4" t="n">
        <v>98</v>
      </c>
      <c r="B99" s="4" t="s">
        <v>2010</v>
      </c>
      <c r="C99" s="4" t="s">
        <v>55</v>
      </c>
      <c r="D99" s="4" t="s">
        <v>1333</v>
      </c>
      <c r="E99" s="4" t="s">
        <v>2623</v>
      </c>
      <c r="F99" s="4" t="s">
        <v>2624</v>
      </c>
      <c r="G99" s="4" t="s">
        <v>2625</v>
      </c>
      <c r="H99" s="4" t="s">
        <v>2626</v>
      </c>
      <c r="I99" s="4" t="s">
        <v>2627</v>
      </c>
      <c r="J99" s="4" t="s">
        <v>2628</v>
      </c>
      <c r="K99" s="25" t="n">
        <v>123.015591</v>
      </c>
      <c r="L99" s="23" t="n">
        <v>2026</v>
      </c>
      <c r="M99" s="23" t="s">
        <v>6</v>
      </c>
      <c r="N99" s="23" t="s">
        <v>2018</v>
      </c>
      <c r="O99" s="23" t="s">
        <v>494</v>
      </c>
      <c r="P99" s="20" t="n">
        <v>123.015591</v>
      </c>
      <c r="Q99" s="7"/>
      <c r="R99" s="23" t="s">
        <v>2629</v>
      </c>
      <c r="S99" s="4" t="s">
        <v>2595</v>
      </c>
      <c r="T99" s="23" t="s">
        <v>2630</v>
      </c>
      <c r="U99" s="4" t="s">
        <v>2568</v>
      </c>
      <c r="V99" s="4" t="s">
        <v>498</v>
      </c>
      <c r="W99" s="4"/>
      <c r="X99" s="4" t="s">
        <v>2569</v>
      </c>
      <c r="Y99" s="4"/>
      <c r="Z99" s="23" t="s">
        <v>2631</v>
      </c>
      <c r="AA99" s="7"/>
      <c r="AB99" s="4"/>
      <c r="AC99" s="4"/>
      <c r="AD99" s="4"/>
      <c r="AE99" s="18" t="s">
        <v>470</v>
      </c>
      <c r="AF99" s="4" t="s">
        <v>471</v>
      </c>
      <c r="AG99" s="4"/>
      <c r="AH99" s="4"/>
      <c r="AI99" s="4" t="s">
        <v>2598</v>
      </c>
      <c r="AJ99" s="4" t="s">
        <v>2599</v>
      </c>
      <c r="AK99" s="4"/>
      <c r="AL99" s="20" t="n">
        <v>21.669549</v>
      </c>
      <c r="AM99" s="23" t="n">
        <v>2026</v>
      </c>
      <c r="AN99" s="23" t="s">
        <v>2632</v>
      </c>
      <c r="AO99" s="23" t="s">
        <v>506</v>
      </c>
      <c r="AP99" s="23" t="s">
        <v>2633</v>
      </c>
      <c r="AQ99" s="20" t="n">
        <v>4.461338</v>
      </c>
      <c r="AR99" s="23" t="n">
        <v>2026</v>
      </c>
      <c r="AS99" s="23" t="s">
        <v>2030</v>
      </c>
      <c r="AT99" s="23" t="s">
        <v>2634</v>
      </c>
      <c r="AU99" s="23" t="s">
        <v>2635</v>
      </c>
      <c r="AV99" s="23" t="s">
        <v>2033</v>
      </c>
      <c r="AW99" s="23" t="s">
        <v>2604</v>
      </c>
      <c r="AX99" s="24" t="n">
        <v>312</v>
      </c>
      <c r="AY99" s="24" t="s">
        <v>964</v>
      </c>
      <c r="AZ99" s="24" t="s">
        <v>2636</v>
      </c>
      <c r="BA99" s="24" t="s">
        <v>2637</v>
      </c>
      <c r="BB99" s="24" t="s">
        <v>2638</v>
      </c>
      <c r="BC99" s="4" t="s">
        <v>2639</v>
      </c>
      <c r="BD99" s="4" t="s">
        <v>2640</v>
      </c>
      <c r="BE99" s="4" t="s">
        <v>2040</v>
      </c>
      <c r="BF99" s="4" t="s">
        <v>2041</v>
      </c>
      <c r="BG99" s="4" t="s">
        <v>2641</v>
      </c>
      <c r="BH99" s="4" t="s">
        <v>2642</v>
      </c>
      <c r="BI99" s="7"/>
      <c r="BJ99" s="7"/>
      <c r="BK99" s="7"/>
      <c r="BL99" s="7"/>
      <c r="BM99" s="4"/>
      <c r="BN99" s="23" t="s">
        <v>2643</v>
      </c>
      <c r="BO99" s="20" t="n">
        <v>19.508546</v>
      </c>
      <c r="BP99" s="20" t="n">
        <v>18.711895</v>
      </c>
      <c r="BQ99" s="20" t="n">
        <v>18.711895</v>
      </c>
      <c r="BR99" s="20" t="s">
        <v>2045</v>
      </c>
      <c r="BS99" s="20" t="s">
        <v>2046</v>
      </c>
      <c r="BT99" s="20" t="s">
        <v>2644</v>
      </c>
      <c r="BU99" s="20" t="s">
        <v>2645</v>
      </c>
      <c r="BV99" s="20" t="s">
        <v>24</v>
      </c>
      <c r="BW99" s="20" t="s">
        <v>30</v>
      </c>
      <c r="BX99" s="20" t="s">
        <v>36</v>
      </c>
      <c r="BY99" s="7"/>
      <c r="BZ99" s="20" t="s">
        <v>484</v>
      </c>
      <c r="CA99" s="20" t="s">
        <v>524</v>
      </c>
      <c r="CB99" s="20" t="s">
        <v>2646</v>
      </c>
      <c r="CC99" s="20" t="s">
        <v>2647</v>
      </c>
      <c r="CD99" s="20" t="s">
        <v>2648</v>
      </c>
      <c r="CE99" s="20" t="s">
        <v>2649</v>
      </c>
      <c r="CF99" s="7"/>
      <c r="CG99" s="7"/>
      <c r="CH99" s="22" t="str">
        <f aca="false">IF(AND(ISNUMBER(BP99),ISNUMBER(AG99),AG99&gt;0),BP99*1000000/AG99,"")</f>
        <v/>
      </c>
      <c r="CI99" s="21" t="n">
        <v>172</v>
      </c>
      <c r="CJ99" s="21" t="n">
        <v>121</v>
      </c>
      <c r="CK99" s="21" t="n">
        <v>19</v>
      </c>
      <c r="CL99" s="21" t="n">
        <v>312</v>
      </c>
      <c r="CM99" s="7"/>
      <c r="CN99" s="7"/>
      <c r="CO99" s="7"/>
      <c r="CP99" s="20" t="s">
        <v>2650</v>
      </c>
      <c r="CQ99" s="20" t="s">
        <v>2651</v>
      </c>
      <c r="CR99" s="20" t="s">
        <v>2637</v>
      </c>
      <c r="CS99" s="20" t="s">
        <v>2652</v>
      </c>
    </row>
    <row r="100" customFormat="false" ht="1505.2" hidden="false" customHeight="false" outlineLevel="0" collapsed="false">
      <c r="A100" s="4" t="n">
        <v>99</v>
      </c>
      <c r="B100" s="4" t="s">
        <v>2010</v>
      </c>
      <c r="C100" s="4" t="s">
        <v>55</v>
      </c>
      <c r="D100" s="4" t="s">
        <v>1333</v>
      </c>
      <c r="E100" s="4" t="s">
        <v>2653</v>
      </c>
      <c r="F100" s="4" t="s">
        <v>2654</v>
      </c>
      <c r="G100" s="4" t="s">
        <v>2625</v>
      </c>
      <c r="H100" s="4" t="s">
        <v>2626</v>
      </c>
      <c r="I100" s="4" t="s">
        <v>2655</v>
      </c>
      <c r="J100" s="4" t="s">
        <v>2656</v>
      </c>
      <c r="K100" s="17" t="n">
        <v>3.901802</v>
      </c>
      <c r="L100" s="4" t="n">
        <v>2026</v>
      </c>
      <c r="M100" s="4" t="s">
        <v>5</v>
      </c>
      <c r="N100" s="4" t="s">
        <v>2018</v>
      </c>
      <c r="O100" s="4" t="s">
        <v>494</v>
      </c>
      <c r="P100" s="7" t="n">
        <v>3.901802</v>
      </c>
      <c r="Q100" s="7"/>
      <c r="R100" s="4" t="s">
        <v>2657</v>
      </c>
      <c r="S100" s="4" t="s">
        <v>2595</v>
      </c>
      <c r="T100" s="4" t="s">
        <v>2596</v>
      </c>
      <c r="U100" s="4" t="s">
        <v>2568</v>
      </c>
      <c r="V100" s="4" t="s">
        <v>498</v>
      </c>
      <c r="W100" s="4"/>
      <c r="X100" s="4" t="s">
        <v>2569</v>
      </c>
      <c r="Y100" s="4"/>
      <c r="Z100" s="23" t="s">
        <v>2658</v>
      </c>
      <c r="AA100" s="7"/>
      <c r="AB100" s="4"/>
      <c r="AC100" s="4"/>
      <c r="AD100" s="4"/>
      <c r="AE100" s="18" t="s">
        <v>470</v>
      </c>
      <c r="AF100" s="4" t="s">
        <v>471</v>
      </c>
      <c r="AG100" s="4"/>
      <c r="AH100" s="4"/>
      <c r="AI100" s="4" t="s">
        <v>2598</v>
      </c>
      <c r="AJ100" s="4" t="s">
        <v>2599</v>
      </c>
      <c r="AK100" s="4"/>
      <c r="AL100" s="7" t="n">
        <v>2.279024</v>
      </c>
      <c r="AM100" s="4" t="n">
        <v>2026</v>
      </c>
      <c r="AN100" s="4" t="s">
        <v>2659</v>
      </c>
      <c r="AO100" s="4" t="s">
        <v>2095</v>
      </c>
      <c r="AP100" s="4" t="s">
        <v>2660</v>
      </c>
      <c r="AQ100" s="20" t="n">
        <v>0.43181</v>
      </c>
      <c r="AR100" s="23" t="n">
        <v>2026</v>
      </c>
      <c r="AS100" s="23" t="s">
        <v>2030</v>
      </c>
      <c r="AT100" s="23" t="s">
        <v>2661</v>
      </c>
      <c r="AU100" s="23" t="s">
        <v>2662</v>
      </c>
      <c r="AV100" s="23" t="s">
        <v>2033</v>
      </c>
      <c r="AW100" s="23" t="s">
        <v>2604</v>
      </c>
      <c r="AX100" s="24" t="n">
        <v>40</v>
      </c>
      <c r="AY100" s="19" t="s">
        <v>964</v>
      </c>
      <c r="AZ100" s="24" t="s">
        <v>2663</v>
      </c>
      <c r="BA100" s="24" t="s">
        <v>2664</v>
      </c>
      <c r="BB100" s="24" t="s">
        <v>2665</v>
      </c>
      <c r="BC100" s="4" t="s">
        <v>2666</v>
      </c>
      <c r="BD100" s="4" t="s">
        <v>2667</v>
      </c>
      <c r="BE100" s="4" t="s">
        <v>2668</v>
      </c>
      <c r="BF100" s="4" t="s">
        <v>2669</v>
      </c>
      <c r="BG100" s="4" t="s">
        <v>2670</v>
      </c>
      <c r="BH100" s="4" t="s">
        <v>2671</v>
      </c>
      <c r="BI100" s="7"/>
      <c r="BJ100" s="7"/>
      <c r="BK100" s="7"/>
      <c r="BL100" s="7"/>
      <c r="BM100" s="4"/>
      <c r="BN100" s="23" t="s">
        <v>2672</v>
      </c>
      <c r="BO100" s="20" t="n">
        <v>2.237818</v>
      </c>
      <c r="BP100" s="20" t="n">
        <v>1.601418</v>
      </c>
      <c r="BQ100" s="20" t="n">
        <v>1.601418</v>
      </c>
      <c r="BR100" s="20" t="s">
        <v>2045</v>
      </c>
      <c r="BS100" s="20" t="s">
        <v>2046</v>
      </c>
      <c r="BT100" s="20" t="s">
        <v>2673</v>
      </c>
      <c r="BU100" s="20" t="s">
        <v>2674</v>
      </c>
      <c r="BV100" s="20" t="s">
        <v>24</v>
      </c>
      <c r="BW100" s="20" t="s">
        <v>30</v>
      </c>
      <c r="BX100" s="20" t="s">
        <v>37</v>
      </c>
      <c r="BY100" s="20" t="s">
        <v>2185</v>
      </c>
      <c r="BZ100" s="20" t="s">
        <v>484</v>
      </c>
      <c r="CA100" s="20" t="s">
        <v>524</v>
      </c>
      <c r="CB100" s="20" t="s">
        <v>2186</v>
      </c>
      <c r="CC100" s="20" t="s">
        <v>2187</v>
      </c>
      <c r="CD100" s="20" t="s">
        <v>150</v>
      </c>
      <c r="CE100" s="20" t="s">
        <v>149</v>
      </c>
      <c r="CF100" s="21" t="n">
        <v>11</v>
      </c>
      <c r="CG100" s="7"/>
      <c r="CH100" s="22" t="str">
        <f aca="false">IF(AND(ISNUMBER(BP100),ISNUMBER(AG100),AG100&gt;0),BP100*1000000/AG100,"")</f>
        <v/>
      </c>
      <c r="CI100" s="21" t="n">
        <v>21</v>
      </c>
      <c r="CJ100" s="21" t="n">
        <v>18</v>
      </c>
      <c r="CK100" s="21" t="n">
        <v>0</v>
      </c>
      <c r="CL100" s="21" t="n">
        <v>39</v>
      </c>
      <c r="CM100" s="7"/>
      <c r="CN100" s="21" t="n">
        <v>1</v>
      </c>
      <c r="CO100" s="7"/>
      <c r="CP100" s="20" t="s">
        <v>2675</v>
      </c>
      <c r="CQ100" s="20" t="s">
        <v>2676</v>
      </c>
      <c r="CR100" s="20" t="s">
        <v>2664</v>
      </c>
      <c r="CS100" s="20" t="s">
        <v>2677</v>
      </c>
    </row>
    <row r="101" customFormat="false" ht="1344" hidden="false" customHeight="false" outlineLevel="0" collapsed="false">
      <c r="A101" s="4" t="n">
        <v>100</v>
      </c>
      <c r="B101" s="4" t="s">
        <v>2010</v>
      </c>
      <c r="C101" s="4" t="s">
        <v>55</v>
      </c>
      <c r="D101" s="4" t="s">
        <v>1333</v>
      </c>
      <c r="E101" s="4" t="s">
        <v>2678</v>
      </c>
      <c r="F101" s="4" t="s">
        <v>2679</v>
      </c>
      <c r="G101" s="4" t="s">
        <v>2680</v>
      </c>
      <c r="H101" s="4" t="s">
        <v>2681</v>
      </c>
      <c r="I101" s="4" t="s">
        <v>2682</v>
      </c>
      <c r="J101" s="4" t="s">
        <v>2683</v>
      </c>
      <c r="K101" s="17" t="n">
        <v>56.356937</v>
      </c>
      <c r="L101" s="4" t="n">
        <v>2026</v>
      </c>
      <c r="M101" s="4" t="s">
        <v>5</v>
      </c>
      <c r="N101" s="4" t="s">
        <v>2018</v>
      </c>
      <c r="O101" s="4" t="s">
        <v>494</v>
      </c>
      <c r="P101" s="7" t="n">
        <v>56.356937</v>
      </c>
      <c r="Q101" s="7"/>
      <c r="R101" s="4" t="s">
        <v>2684</v>
      </c>
      <c r="S101" s="4" t="s">
        <v>2595</v>
      </c>
      <c r="T101" s="23" t="s">
        <v>2685</v>
      </c>
      <c r="U101" s="4" t="s">
        <v>2568</v>
      </c>
      <c r="V101" s="4" t="s">
        <v>498</v>
      </c>
      <c r="W101" s="4"/>
      <c r="X101" s="4" t="s">
        <v>2569</v>
      </c>
      <c r="Y101" s="4"/>
      <c r="Z101" s="23" t="s">
        <v>2686</v>
      </c>
      <c r="AA101" s="7"/>
      <c r="AB101" s="4"/>
      <c r="AC101" s="4"/>
      <c r="AD101" s="4"/>
      <c r="AE101" s="18" t="s">
        <v>470</v>
      </c>
      <c r="AF101" s="4" t="s">
        <v>471</v>
      </c>
      <c r="AG101" s="4"/>
      <c r="AH101" s="4"/>
      <c r="AI101" s="4" t="s">
        <v>2598</v>
      </c>
      <c r="AJ101" s="4" t="s">
        <v>2599</v>
      </c>
      <c r="AK101" s="4"/>
      <c r="AL101" s="7" t="n">
        <v>29.027069</v>
      </c>
      <c r="AM101" s="4" t="n">
        <v>2026</v>
      </c>
      <c r="AN101" s="4" t="s">
        <v>2687</v>
      </c>
      <c r="AO101" s="4" t="s">
        <v>2095</v>
      </c>
      <c r="AP101" s="4" t="s">
        <v>2688</v>
      </c>
      <c r="AQ101" s="20" t="n">
        <v>0</v>
      </c>
      <c r="AR101" s="23" t="n">
        <v>2026</v>
      </c>
      <c r="AS101" s="23" t="s">
        <v>2030</v>
      </c>
      <c r="AT101" s="23" t="s">
        <v>2689</v>
      </c>
      <c r="AU101" s="23" t="s">
        <v>2690</v>
      </c>
      <c r="AV101" s="23" t="s">
        <v>2691</v>
      </c>
      <c r="AW101" s="23" t="s">
        <v>2692</v>
      </c>
      <c r="AX101" s="24" t="n">
        <v>391</v>
      </c>
      <c r="AY101" s="19" t="s">
        <v>964</v>
      </c>
      <c r="AZ101" s="24" t="s">
        <v>2693</v>
      </c>
      <c r="BA101" s="24" t="s">
        <v>2694</v>
      </c>
      <c r="BB101" s="24" t="s">
        <v>2695</v>
      </c>
      <c r="BC101" s="4" t="s">
        <v>2696</v>
      </c>
      <c r="BD101" s="4" t="s">
        <v>2697</v>
      </c>
      <c r="BE101" s="4" t="s">
        <v>514</v>
      </c>
      <c r="BF101" s="4" t="s">
        <v>515</v>
      </c>
      <c r="BG101" s="4" t="s">
        <v>2698</v>
      </c>
      <c r="BH101" s="4" t="s">
        <v>2699</v>
      </c>
      <c r="BI101" s="7"/>
      <c r="BJ101" s="7"/>
      <c r="BK101" s="7"/>
      <c r="BL101" s="20" t="n">
        <v>16.092232</v>
      </c>
      <c r="BM101" s="23" t="s">
        <v>2700</v>
      </c>
      <c r="BN101" s="23" t="s">
        <v>2701</v>
      </c>
      <c r="BO101" s="20" t="n">
        <v>9.033225</v>
      </c>
      <c r="BP101" s="20" t="n">
        <v>0</v>
      </c>
      <c r="BQ101" s="20" t="n">
        <v>0</v>
      </c>
      <c r="BR101" s="20" t="s">
        <v>2045</v>
      </c>
      <c r="BS101" s="20" t="s">
        <v>2702</v>
      </c>
      <c r="BT101" s="20" t="s">
        <v>2703</v>
      </c>
      <c r="BU101" s="20" t="s">
        <v>2704</v>
      </c>
      <c r="BV101" s="20" t="s">
        <v>24</v>
      </c>
      <c r="BW101" s="20" t="s">
        <v>31</v>
      </c>
      <c r="BX101" s="20" t="s">
        <v>34</v>
      </c>
      <c r="BY101" s="20" t="s">
        <v>2705</v>
      </c>
      <c r="BZ101" s="20" t="s">
        <v>484</v>
      </c>
      <c r="CA101" s="20" t="s">
        <v>713</v>
      </c>
      <c r="CB101" s="20" t="s">
        <v>2706</v>
      </c>
      <c r="CC101" s="20" t="s">
        <v>2293</v>
      </c>
      <c r="CD101" s="20" t="s">
        <v>2707</v>
      </c>
      <c r="CE101" s="20" t="s">
        <v>248</v>
      </c>
      <c r="CF101" s="21" t="n">
        <v>5</v>
      </c>
      <c r="CG101" s="7"/>
      <c r="CH101" s="22" t="str">
        <f aca="false">IF(AND(ISNUMBER(BP101),ISNUMBER(AG101),AG101&gt;0),BP101*1000000/AG101,"")</f>
        <v/>
      </c>
      <c r="CI101" s="21" t="n">
        <v>242</v>
      </c>
      <c r="CJ101" s="21" t="n">
        <v>147</v>
      </c>
      <c r="CK101" s="21" t="n">
        <v>1</v>
      </c>
      <c r="CL101" s="21" t="n">
        <v>390</v>
      </c>
      <c r="CM101" s="7"/>
      <c r="CN101" s="21" t="n">
        <v>1</v>
      </c>
      <c r="CO101" s="7"/>
      <c r="CP101" s="20" t="s">
        <v>2708</v>
      </c>
      <c r="CQ101" s="20" t="s">
        <v>2709</v>
      </c>
      <c r="CR101" s="20" t="s">
        <v>2694</v>
      </c>
      <c r="CS101" s="20" t="s">
        <v>2710</v>
      </c>
    </row>
    <row r="102" customFormat="false" ht="2794" hidden="false" customHeight="false" outlineLevel="0" collapsed="false">
      <c r="A102" s="4" t="n">
        <v>101</v>
      </c>
      <c r="B102" s="4" t="s">
        <v>2010</v>
      </c>
      <c r="C102" s="4" t="s">
        <v>55</v>
      </c>
      <c r="D102" s="4" t="s">
        <v>1333</v>
      </c>
      <c r="E102" s="4" t="s">
        <v>2711</v>
      </c>
      <c r="F102" s="4" t="s">
        <v>2712</v>
      </c>
      <c r="G102" s="4" t="s">
        <v>2713</v>
      </c>
      <c r="H102" s="4" t="s">
        <v>2714</v>
      </c>
      <c r="I102" s="4" t="s">
        <v>2715</v>
      </c>
      <c r="J102" s="4" t="s">
        <v>2716</v>
      </c>
      <c r="K102" s="17" t="n">
        <v>271.626</v>
      </c>
      <c r="L102" s="4" t="n">
        <v>2026</v>
      </c>
      <c r="M102" s="4" t="s">
        <v>5</v>
      </c>
      <c r="N102" s="4" t="s">
        <v>2018</v>
      </c>
      <c r="O102" s="4" t="s">
        <v>494</v>
      </c>
      <c r="P102" s="7" t="n">
        <v>271.626</v>
      </c>
      <c r="Q102" s="7"/>
      <c r="R102" s="4" t="s">
        <v>2717</v>
      </c>
      <c r="S102" s="4" t="s">
        <v>2595</v>
      </c>
      <c r="T102" s="4" t="s">
        <v>2718</v>
      </c>
      <c r="U102" s="4" t="s">
        <v>2568</v>
      </c>
      <c r="V102" s="4" t="s">
        <v>498</v>
      </c>
      <c r="W102" s="4"/>
      <c r="X102" s="4" t="s">
        <v>2569</v>
      </c>
      <c r="Y102" s="4"/>
      <c r="Z102" s="23" t="s">
        <v>2719</v>
      </c>
      <c r="AA102" s="7"/>
      <c r="AB102" s="4"/>
      <c r="AC102" s="4"/>
      <c r="AD102" s="4"/>
      <c r="AE102" s="18" t="s">
        <v>470</v>
      </c>
      <c r="AF102" s="4" t="s">
        <v>471</v>
      </c>
      <c r="AG102" s="4"/>
      <c r="AH102" s="4"/>
      <c r="AI102" s="4" t="s">
        <v>2598</v>
      </c>
      <c r="AJ102" s="4" t="s">
        <v>2599</v>
      </c>
      <c r="AK102" s="4"/>
      <c r="AL102" s="20" t="n">
        <v>162.613441</v>
      </c>
      <c r="AM102" s="4" t="n">
        <v>2026</v>
      </c>
      <c r="AN102" s="23" t="s">
        <v>2720</v>
      </c>
      <c r="AO102" s="23" t="s">
        <v>506</v>
      </c>
      <c r="AP102" s="4" t="s">
        <v>2721</v>
      </c>
      <c r="AQ102" s="20" t="n">
        <v>29.182011</v>
      </c>
      <c r="AR102" s="23" t="n">
        <v>2026</v>
      </c>
      <c r="AS102" s="23" t="s">
        <v>2030</v>
      </c>
      <c r="AT102" s="23" t="s">
        <v>2722</v>
      </c>
      <c r="AU102" s="23" t="s">
        <v>2723</v>
      </c>
      <c r="AV102" s="23" t="s">
        <v>2033</v>
      </c>
      <c r="AW102" s="23" t="s">
        <v>2724</v>
      </c>
      <c r="AX102" s="24" t="n">
        <v>3984</v>
      </c>
      <c r="AY102" s="24" t="s">
        <v>964</v>
      </c>
      <c r="AZ102" s="24" t="s">
        <v>2725</v>
      </c>
      <c r="BA102" s="24" t="s">
        <v>2726</v>
      </c>
      <c r="BB102" s="24" t="s">
        <v>2727</v>
      </c>
      <c r="BC102" s="4" t="s">
        <v>2728</v>
      </c>
      <c r="BD102" s="4" t="s">
        <v>2729</v>
      </c>
      <c r="BE102" s="4" t="s">
        <v>2040</v>
      </c>
      <c r="BF102" s="4" t="s">
        <v>2730</v>
      </c>
      <c r="BG102" s="4" t="s">
        <v>2731</v>
      </c>
      <c r="BH102" s="4" t="s">
        <v>2732</v>
      </c>
      <c r="BI102" s="7"/>
      <c r="BJ102" s="7"/>
      <c r="BK102" s="7"/>
      <c r="BL102" s="20" t="n">
        <v>162.925268</v>
      </c>
      <c r="BM102" s="23" t="s">
        <v>2733</v>
      </c>
      <c r="BN102" s="23" t="s">
        <v>2734</v>
      </c>
      <c r="BO102" s="7"/>
      <c r="BP102" s="7"/>
      <c r="BQ102" s="7"/>
      <c r="BR102" s="7"/>
      <c r="BS102" s="7"/>
      <c r="BT102" s="7"/>
      <c r="BU102" s="7"/>
      <c r="BV102" s="20" t="s">
        <v>23</v>
      </c>
      <c r="BW102" s="20" t="s">
        <v>28</v>
      </c>
      <c r="BX102" s="20" t="s">
        <v>34</v>
      </c>
      <c r="BY102" s="20" t="s">
        <v>2207</v>
      </c>
      <c r="BZ102" s="20" t="s">
        <v>484</v>
      </c>
      <c r="CA102" s="20" t="s">
        <v>524</v>
      </c>
      <c r="CB102" s="20" t="s">
        <v>2208</v>
      </c>
      <c r="CC102" s="20" t="s">
        <v>2209</v>
      </c>
      <c r="CD102" s="7"/>
      <c r="CE102" s="20" t="s">
        <v>283</v>
      </c>
      <c r="CF102" s="21" t="n">
        <v>9</v>
      </c>
      <c r="CG102" s="7"/>
      <c r="CH102" s="22" t="str">
        <f aca="false">IF(AND(ISNUMBER(BP102),ISNUMBER(AG102),AG102&gt;0),BP102*1000000/AG102,"")</f>
        <v/>
      </c>
      <c r="CI102" s="21" t="n">
        <v>3734</v>
      </c>
      <c r="CJ102" s="21" t="n">
        <v>115</v>
      </c>
      <c r="CK102" s="21" t="n">
        <v>134</v>
      </c>
      <c r="CL102" s="21" t="n">
        <v>3983</v>
      </c>
      <c r="CM102" s="7"/>
      <c r="CN102" s="21" t="n">
        <v>1</v>
      </c>
      <c r="CO102" s="7"/>
      <c r="CP102" s="20" t="s">
        <v>2735</v>
      </c>
      <c r="CQ102" s="20" t="s">
        <v>2736</v>
      </c>
      <c r="CR102" s="20" t="s">
        <v>2726</v>
      </c>
      <c r="CS102" s="20" t="s">
        <v>2737</v>
      </c>
    </row>
    <row r="103" customFormat="false" ht="458.2" hidden="false" customHeight="false" outlineLevel="0" collapsed="false">
      <c r="A103" s="4" t="n">
        <v>102</v>
      </c>
      <c r="B103" s="4" t="s">
        <v>2010</v>
      </c>
      <c r="C103" s="4" t="s">
        <v>63</v>
      </c>
      <c r="D103" s="4" t="s">
        <v>1333</v>
      </c>
      <c r="E103" s="4" t="s">
        <v>2738</v>
      </c>
      <c r="F103" s="4" t="s">
        <v>2739</v>
      </c>
      <c r="G103" s="4" t="s">
        <v>2740</v>
      </c>
      <c r="H103" s="4" t="s">
        <v>2741</v>
      </c>
      <c r="I103" s="4" t="s">
        <v>2742</v>
      </c>
      <c r="J103" s="4" t="s">
        <v>2743</v>
      </c>
      <c r="K103" s="17"/>
      <c r="L103" s="4"/>
      <c r="M103" s="4"/>
      <c r="N103" s="4"/>
      <c r="O103" s="23" t="s">
        <v>2744</v>
      </c>
      <c r="P103" s="7"/>
      <c r="Q103" s="7"/>
      <c r="R103" s="23" t="s">
        <v>2745</v>
      </c>
      <c r="S103" s="23" t="s">
        <v>2746</v>
      </c>
      <c r="T103" s="4" t="s">
        <v>2747</v>
      </c>
      <c r="U103" s="4" t="s">
        <v>2568</v>
      </c>
      <c r="V103" s="4" t="s">
        <v>498</v>
      </c>
      <c r="W103" s="4"/>
      <c r="X103" s="4" t="s">
        <v>2569</v>
      </c>
      <c r="Y103" s="4"/>
      <c r="Z103" s="23" t="s">
        <v>2748</v>
      </c>
      <c r="AA103" s="7"/>
      <c r="AB103" s="4"/>
      <c r="AC103" s="4"/>
      <c r="AD103" s="4"/>
      <c r="AE103" s="18" t="s">
        <v>470</v>
      </c>
      <c r="AF103" s="4" t="s">
        <v>471</v>
      </c>
      <c r="AG103" s="4"/>
      <c r="AH103" s="4"/>
      <c r="AI103" s="4" t="s">
        <v>2598</v>
      </c>
      <c r="AJ103" s="4" t="s">
        <v>2599</v>
      </c>
      <c r="AK103" s="4"/>
      <c r="AL103" s="7"/>
      <c r="AM103" s="4"/>
      <c r="AN103" s="4"/>
      <c r="AO103" s="4" t="s">
        <v>2749</v>
      </c>
      <c r="AP103" s="4"/>
      <c r="AQ103" s="7"/>
      <c r="AR103" s="4"/>
      <c r="AS103" s="4"/>
      <c r="AT103" s="4"/>
      <c r="AU103" s="4"/>
      <c r="AV103" s="4" t="s">
        <v>2574</v>
      </c>
      <c r="AW103" s="23" t="s">
        <v>2750</v>
      </c>
      <c r="AX103" s="19"/>
      <c r="AY103" s="19"/>
      <c r="AZ103" s="19"/>
      <c r="BA103" s="19"/>
      <c r="BB103" s="19"/>
      <c r="BC103" s="4" t="s">
        <v>2751</v>
      </c>
      <c r="BD103" s="4" t="s">
        <v>2752</v>
      </c>
      <c r="BE103" s="4" t="s">
        <v>540</v>
      </c>
      <c r="BF103" s="4" t="s">
        <v>2753</v>
      </c>
      <c r="BG103" s="4" t="s">
        <v>2754</v>
      </c>
      <c r="BH103" s="4" t="s">
        <v>2755</v>
      </c>
      <c r="BI103" s="7"/>
      <c r="BJ103" s="7"/>
      <c r="BK103" s="7"/>
      <c r="BL103" s="7"/>
      <c r="BM103" s="4"/>
      <c r="BN103" s="4"/>
      <c r="BO103" s="7"/>
      <c r="BP103" s="7"/>
      <c r="BQ103" s="7"/>
      <c r="BR103" s="7"/>
      <c r="BS103" s="7"/>
      <c r="BT103" s="7"/>
      <c r="BU103" s="7"/>
      <c r="BV103" s="20" t="s">
        <v>26</v>
      </c>
      <c r="BW103" s="20" t="s">
        <v>26</v>
      </c>
      <c r="BX103" s="20" t="s">
        <v>39</v>
      </c>
      <c r="BY103" s="7"/>
      <c r="BZ103" s="20" t="s">
        <v>484</v>
      </c>
      <c r="CA103" s="20" t="s">
        <v>485</v>
      </c>
      <c r="CB103" s="20" t="s">
        <v>2756</v>
      </c>
      <c r="CC103" s="7"/>
      <c r="CD103" s="7"/>
      <c r="CE103" s="20" t="s">
        <v>2757</v>
      </c>
      <c r="CF103" s="7"/>
      <c r="CG103" s="7"/>
      <c r="CH103" s="22" t="str">
        <f aca="false">IF(AND(ISNUMBER(BP103),ISNUMBER(AG103),AG103&gt;0),BP103*1000000/AG103,"")</f>
        <v/>
      </c>
      <c r="CI103" s="7"/>
      <c r="CJ103" s="7"/>
      <c r="CK103" s="7"/>
      <c r="CL103" s="7"/>
      <c r="CM103" s="7"/>
      <c r="CN103" s="7"/>
      <c r="CO103" s="7"/>
      <c r="CP103" s="7"/>
      <c r="CQ103" s="7"/>
      <c r="CR103" s="7"/>
      <c r="CS103" s="7"/>
    </row>
    <row r="104" customFormat="false" ht="579.1" hidden="false" customHeight="false" outlineLevel="0" collapsed="false">
      <c r="A104" s="4" t="n">
        <v>103</v>
      </c>
      <c r="B104" s="4" t="s">
        <v>2010</v>
      </c>
      <c r="C104" s="4" t="s">
        <v>64</v>
      </c>
      <c r="D104" s="4" t="s">
        <v>1333</v>
      </c>
      <c r="E104" s="4" t="s">
        <v>2758</v>
      </c>
      <c r="F104" s="4" t="s">
        <v>2759</v>
      </c>
      <c r="G104" s="4" t="s">
        <v>2760</v>
      </c>
      <c r="H104" s="4" t="s">
        <v>2761</v>
      </c>
      <c r="I104" s="4" t="s">
        <v>2762</v>
      </c>
      <c r="J104" s="4" t="s">
        <v>2763</v>
      </c>
      <c r="K104" s="25" t="n">
        <v>2.59089</v>
      </c>
      <c r="L104" s="23" t="n">
        <v>2026</v>
      </c>
      <c r="M104" s="23" t="s">
        <v>5</v>
      </c>
      <c r="N104" s="23" t="s">
        <v>2764</v>
      </c>
      <c r="O104" s="23" t="s">
        <v>494</v>
      </c>
      <c r="P104" s="20" t="n">
        <v>2.59089</v>
      </c>
      <c r="Q104" s="7"/>
      <c r="R104" s="23" t="s">
        <v>2765</v>
      </c>
      <c r="S104" s="23" t="s">
        <v>2766</v>
      </c>
      <c r="T104" s="23" t="s">
        <v>2767</v>
      </c>
      <c r="U104" s="4" t="s">
        <v>2568</v>
      </c>
      <c r="V104" s="4" t="s">
        <v>498</v>
      </c>
      <c r="W104" s="4"/>
      <c r="X104" s="4" t="s">
        <v>2569</v>
      </c>
      <c r="Y104" s="4"/>
      <c r="Z104" s="23" t="s">
        <v>2768</v>
      </c>
      <c r="AA104" s="7"/>
      <c r="AB104" s="4"/>
      <c r="AC104" s="4"/>
      <c r="AD104" s="4"/>
      <c r="AE104" s="18" t="s">
        <v>470</v>
      </c>
      <c r="AF104" s="4" t="s">
        <v>471</v>
      </c>
      <c r="AG104" s="4"/>
      <c r="AH104" s="4"/>
      <c r="AI104" s="4" t="s">
        <v>2598</v>
      </c>
      <c r="AJ104" s="4" t="s">
        <v>2599</v>
      </c>
      <c r="AK104" s="4"/>
      <c r="AL104" s="7"/>
      <c r="AM104" s="4"/>
      <c r="AN104" s="4"/>
      <c r="AO104" s="4" t="s">
        <v>2749</v>
      </c>
      <c r="AP104" s="4"/>
      <c r="AQ104" s="7"/>
      <c r="AR104" s="4"/>
      <c r="AS104" s="4"/>
      <c r="AT104" s="4"/>
      <c r="AU104" s="4"/>
      <c r="AV104" s="4" t="s">
        <v>2574</v>
      </c>
      <c r="AW104" s="23" t="s">
        <v>2769</v>
      </c>
      <c r="AX104" s="19"/>
      <c r="AY104" s="19"/>
      <c r="AZ104" s="19"/>
      <c r="BA104" s="19"/>
      <c r="BB104" s="19"/>
      <c r="BC104" s="4" t="s">
        <v>2770</v>
      </c>
      <c r="BD104" s="4" t="s">
        <v>2771</v>
      </c>
      <c r="BE104" s="4" t="s">
        <v>2040</v>
      </c>
      <c r="BF104" s="4" t="s">
        <v>2772</v>
      </c>
      <c r="BG104" s="4" t="s">
        <v>2773</v>
      </c>
      <c r="BH104" s="4" t="s">
        <v>2774</v>
      </c>
      <c r="BI104" s="7"/>
      <c r="BJ104" s="7"/>
      <c r="BK104" s="7"/>
      <c r="BL104" s="7"/>
      <c r="BM104" s="4"/>
      <c r="BN104" s="4"/>
      <c r="BO104" s="7"/>
      <c r="BP104" s="7"/>
      <c r="BQ104" s="7"/>
      <c r="BR104" s="7"/>
      <c r="BS104" s="7"/>
      <c r="BT104" s="7"/>
      <c r="BU104" s="7"/>
      <c r="BV104" s="20" t="s">
        <v>23</v>
      </c>
      <c r="BW104" s="20" t="s">
        <v>28</v>
      </c>
      <c r="BX104" s="20" t="s">
        <v>35</v>
      </c>
      <c r="BY104" s="7"/>
      <c r="BZ104" s="20" t="s">
        <v>484</v>
      </c>
      <c r="CA104" s="20" t="s">
        <v>664</v>
      </c>
      <c r="CB104" s="20" t="s">
        <v>2775</v>
      </c>
      <c r="CC104" s="20" t="s">
        <v>2776</v>
      </c>
      <c r="CD104" s="7"/>
      <c r="CE104" s="20" t="s">
        <v>2777</v>
      </c>
      <c r="CF104" s="7"/>
      <c r="CG104" s="7"/>
      <c r="CH104" s="22" t="str">
        <f aca="false">IF(AND(ISNUMBER(BP104),ISNUMBER(AG104),AG104&gt;0),BP104*1000000/AG104,"")</f>
        <v/>
      </c>
      <c r="CI104" s="7"/>
      <c r="CJ104" s="7"/>
      <c r="CK104" s="7"/>
      <c r="CL104" s="7"/>
      <c r="CM104" s="7"/>
      <c r="CN104" s="7"/>
      <c r="CO104" s="7"/>
      <c r="CP104" s="7"/>
      <c r="CQ104" s="7"/>
      <c r="CR104" s="7"/>
      <c r="CS104" s="7"/>
    </row>
    <row r="105" customFormat="false" ht="471.6" hidden="false" customHeight="false" outlineLevel="0" collapsed="false">
      <c r="A105" s="4" t="n">
        <v>104</v>
      </c>
      <c r="B105" s="4" t="s">
        <v>2010</v>
      </c>
      <c r="C105" s="4" t="s">
        <v>64</v>
      </c>
      <c r="D105" s="4" t="s">
        <v>547</v>
      </c>
      <c r="E105" s="4" t="s">
        <v>2778</v>
      </c>
      <c r="F105" s="4" t="s">
        <v>2759</v>
      </c>
      <c r="G105" s="4" t="s">
        <v>2779</v>
      </c>
      <c r="H105" s="4" t="s">
        <v>2780</v>
      </c>
      <c r="I105" s="4" t="s">
        <v>2781</v>
      </c>
      <c r="J105" s="4" t="s">
        <v>2782</v>
      </c>
      <c r="K105" s="25" t="n">
        <v>1.63811</v>
      </c>
      <c r="L105" s="23" t="n">
        <v>2026</v>
      </c>
      <c r="M105" s="23" t="s">
        <v>5</v>
      </c>
      <c r="N105" s="23" t="s">
        <v>2764</v>
      </c>
      <c r="O105" s="23" t="s">
        <v>494</v>
      </c>
      <c r="P105" s="20" t="n">
        <v>1.63811</v>
      </c>
      <c r="Q105" s="7"/>
      <c r="R105" s="23" t="s">
        <v>2783</v>
      </c>
      <c r="S105" s="23" t="s">
        <v>2766</v>
      </c>
      <c r="T105" s="23" t="s">
        <v>2767</v>
      </c>
      <c r="U105" s="4" t="s">
        <v>2568</v>
      </c>
      <c r="V105" s="4" t="s">
        <v>498</v>
      </c>
      <c r="W105" s="4"/>
      <c r="X105" s="4" t="s">
        <v>2569</v>
      </c>
      <c r="Y105" s="4"/>
      <c r="Z105" s="23" t="s">
        <v>2784</v>
      </c>
      <c r="AA105" s="7"/>
      <c r="AB105" s="4"/>
      <c r="AC105" s="4"/>
      <c r="AD105" s="4"/>
      <c r="AE105" s="18" t="s">
        <v>470</v>
      </c>
      <c r="AF105" s="4" t="s">
        <v>471</v>
      </c>
      <c r="AG105" s="4"/>
      <c r="AH105" s="4"/>
      <c r="AI105" s="4" t="s">
        <v>2598</v>
      </c>
      <c r="AJ105" s="4" t="s">
        <v>2599</v>
      </c>
      <c r="AK105" s="4"/>
      <c r="AL105" s="7"/>
      <c r="AM105" s="4"/>
      <c r="AN105" s="4"/>
      <c r="AO105" s="4" t="s">
        <v>2749</v>
      </c>
      <c r="AP105" s="4"/>
      <c r="AQ105" s="7"/>
      <c r="AR105" s="4"/>
      <c r="AS105" s="4"/>
      <c r="AT105" s="4"/>
      <c r="AU105" s="4"/>
      <c r="AV105" s="4" t="s">
        <v>2574</v>
      </c>
      <c r="AW105" s="23" t="s">
        <v>2769</v>
      </c>
      <c r="AX105" s="19"/>
      <c r="AY105" s="19"/>
      <c r="AZ105" s="19"/>
      <c r="BA105" s="19"/>
      <c r="BB105" s="19"/>
      <c r="BC105" s="4" t="s">
        <v>2785</v>
      </c>
      <c r="BD105" s="4" t="s">
        <v>2786</v>
      </c>
      <c r="BE105" s="4" t="s">
        <v>2787</v>
      </c>
      <c r="BF105" s="4" t="s">
        <v>2788</v>
      </c>
      <c r="BG105" s="4" t="s">
        <v>2789</v>
      </c>
      <c r="BH105" s="4" t="s">
        <v>2790</v>
      </c>
      <c r="BI105" s="7"/>
      <c r="BJ105" s="7"/>
      <c r="BK105" s="7"/>
      <c r="BL105" s="7"/>
      <c r="BM105" s="4"/>
      <c r="BN105" s="4"/>
      <c r="BO105" s="7"/>
      <c r="BP105" s="7"/>
      <c r="BQ105" s="7"/>
      <c r="BR105" s="7"/>
      <c r="BS105" s="7"/>
      <c r="BT105" s="7"/>
      <c r="BU105" s="7"/>
      <c r="BV105" s="20" t="s">
        <v>24</v>
      </c>
      <c r="BW105" s="20" t="s">
        <v>30</v>
      </c>
      <c r="BX105" s="20" t="s">
        <v>35</v>
      </c>
      <c r="BY105" s="20" t="s">
        <v>2791</v>
      </c>
      <c r="BZ105" s="20" t="s">
        <v>484</v>
      </c>
      <c r="CA105" s="20" t="s">
        <v>664</v>
      </c>
      <c r="CB105" s="20" t="s">
        <v>2792</v>
      </c>
      <c r="CC105" s="20" t="s">
        <v>2793</v>
      </c>
      <c r="CD105" s="20" t="s">
        <v>243</v>
      </c>
      <c r="CE105" s="20" t="s">
        <v>242</v>
      </c>
      <c r="CF105" s="21" t="n">
        <v>2</v>
      </c>
      <c r="CG105" s="7"/>
      <c r="CH105" s="22" t="str">
        <f aca="false">IF(AND(ISNUMBER(BP105),ISNUMBER(AG105),AG105&gt;0),BP105*1000000/AG105,"")</f>
        <v/>
      </c>
      <c r="CI105" s="7"/>
      <c r="CJ105" s="7"/>
      <c r="CK105" s="7"/>
      <c r="CL105" s="7"/>
      <c r="CM105" s="7"/>
      <c r="CN105" s="7"/>
      <c r="CO105" s="7"/>
      <c r="CP105" s="7"/>
      <c r="CQ105" s="7"/>
      <c r="CR105" s="7"/>
      <c r="CS105" s="7"/>
    </row>
    <row r="106" customFormat="false" ht="538.8" hidden="false" customHeight="false" outlineLevel="0" collapsed="false">
      <c r="A106" s="4" t="n">
        <v>105</v>
      </c>
      <c r="B106" s="4" t="s">
        <v>2010</v>
      </c>
      <c r="C106" s="4" t="s">
        <v>64</v>
      </c>
      <c r="D106" s="4" t="s">
        <v>1333</v>
      </c>
      <c r="E106" s="4" t="s">
        <v>2794</v>
      </c>
      <c r="F106" s="4" t="s">
        <v>2759</v>
      </c>
      <c r="G106" s="4" t="s">
        <v>2795</v>
      </c>
      <c r="H106" s="4" t="s">
        <v>2796</v>
      </c>
      <c r="I106" s="4" t="s">
        <v>2797</v>
      </c>
      <c r="J106" s="4" t="s">
        <v>2798</v>
      </c>
      <c r="K106" s="17"/>
      <c r="L106" s="4"/>
      <c r="M106" s="4"/>
      <c r="N106" s="4"/>
      <c r="O106" s="4" t="s">
        <v>780</v>
      </c>
      <c r="P106" s="7"/>
      <c r="Q106" s="7"/>
      <c r="R106" s="23" t="s">
        <v>2799</v>
      </c>
      <c r="S106" s="4" t="s">
        <v>2595</v>
      </c>
      <c r="T106" s="23" t="s">
        <v>2800</v>
      </c>
      <c r="U106" s="4" t="s">
        <v>2568</v>
      </c>
      <c r="V106" s="4" t="s">
        <v>498</v>
      </c>
      <c r="W106" s="4"/>
      <c r="X106" s="4" t="s">
        <v>2569</v>
      </c>
      <c r="Y106" s="4"/>
      <c r="Z106" s="23" t="s">
        <v>2801</v>
      </c>
      <c r="AA106" s="7"/>
      <c r="AB106" s="4"/>
      <c r="AC106" s="4"/>
      <c r="AD106" s="4"/>
      <c r="AE106" s="18" t="s">
        <v>470</v>
      </c>
      <c r="AF106" s="4" t="s">
        <v>471</v>
      </c>
      <c r="AG106" s="4"/>
      <c r="AH106" s="4"/>
      <c r="AI106" s="4" t="s">
        <v>2598</v>
      </c>
      <c r="AJ106" s="4" t="s">
        <v>2599</v>
      </c>
      <c r="AK106" s="4"/>
      <c r="AL106" s="7"/>
      <c r="AM106" s="4"/>
      <c r="AN106" s="4"/>
      <c r="AO106" s="4" t="s">
        <v>2749</v>
      </c>
      <c r="AP106" s="4"/>
      <c r="AQ106" s="7"/>
      <c r="AR106" s="4"/>
      <c r="AS106" s="4"/>
      <c r="AT106" s="4"/>
      <c r="AU106" s="4"/>
      <c r="AV106" s="4" t="s">
        <v>2574</v>
      </c>
      <c r="AW106" s="23" t="s">
        <v>2802</v>
      </c>
      <c r="AX106" s="19"/>
      <c r="AY106" s="19"/>
      <c r="AZ106" s="19"/>
      <c r="BA106" s="19"/>
      <c r="BB106" s="19"/>
      <c r="BC106" s="4" t="s">
        <v>2803</v>
      </c>
      <c r="BD106" s="4" t="s">
        <v>2804</v>
      </c>
      <c r="BE106" s="4" t="s">
        <v>2805</v>
      </c>
      <c r="BF106" s="4" t="s">
        <v>2806</v>
      </c>
      <c r="BG106" s="4" t="s">
        <v>2807</v>
      </c>
      <c r="BH106" s="4" t="s">
        <v>2808</v>
      </c>
      <c r="BI106" s="7"/>
      <c r="BJ106" s="7"/>
      <c r="BK106" s="7"/>
      <c r="BL106" s="7"/>
      <c r="BM106" s="4"/>
      <c r="BN106" s="4"/>
      <c r="BO106" s="7"/>
      <c r="BP106" s="7"/>
      <c r="BQ106" s="7"/>
      <c r="BR106" s="7"/>
      <c r="BS106" s="7"/>
      <c r="BT106" s="7"/>
      <c r="BU106" s="7"/>
      <c r="BV106" s="20" t="s">
        <v>26</v>
      </c>
      <c r="BW106" s="20" t="s">
        <v>26</v>
      </c>
      <c r="BX106" s="20" t="s">
        <v>39</v>
      </c>
      <c r="BY106" s="7"/>
      <c r="BZ106" s="20" t="s">
        <v>484</v>
      </c>
      <c r="CA106" s="20" t="s">
        <v>485</v>
      </c>
      <c r="CB106" s="20" t="s">
        <v>2809</v>
      </c>
      <c r="CC106" s="7"/>
      <c r="CD106" s="7"/>
      <c r="CE106" s="20" t="s">
        <v>2810</v>
      </c>
      <c r="CF106" s="7"/>
      <c r="CG106" s="7"/>
      <c r="CH106" s="22" t="str">
        <f aca="false">IF(AND(ISNUMBER(BP106),ISNUMBER(AG106),AG106&gt;0),BP106*1000000/AG106,"")</f>
        <v/>
      </c>
      <c r="CI106" s="7"/>
      <c r="CJ106" s="7"/>
      <c r="CK106" s="7"/>
      <c r="CL106" s="7"/>
      <c r="CM106" s="7"/>
      <c r="CN106" s="7"/>
      <c r="CO106" s="7"/>
      <c r="CP106" s="7"/>
      <c r="CQ106" s="7"/>
      <c r="CR106" s="7"/>
      <c r="CS106" s="7"/>
    </row>
    <row r="107" customFormat="false" ht="538.8" hidden="false" customHeight="false" outlineLevel="0" collapsed="false">
      <c r="A107" s="4" t="n">
        <v>106</v>
      </c>
      <c r="B107" s="4" t="s">
        <v>2010</v>
      </c>
      <c r="C107" s="4" t="s">
        <v>64</v>
      </c>
      <c r="D107" s="4" t="s">
        <v>1333</v>
      </c>
      <c r="E107" s="4" t="s">
        <v>2811</v>
      </c>
      <c r="F107" s="4" t="s">
        <v>2812</v>
      </c>
      <c r="G107" s="4" t="s">
        <v>2813</v>
      </c>
      <c r="H107" s="4" t="s">
        <v>2814</v>
      </c>
      <c r="I107" s="4" t="s">
        <v>2815</v>
      </c>
      <c r="J107" s="4" t="s">
        <v>2816</v>
      </c>
      <c r="K107" s="25" t="n">
        <v>81.00922</v>
      </c>
      <c r="L107" s="23" t="n">
        <v>2026</v>
      </c>
      <c r="M107" s="23" t="s">
        <v>6</v>
      </c>
      <c r="N107" s="23" t="s">
        <v>2817</v>
      </c>
      <c r="O107" s="23" t="s">
        <v>494</v>
      </c>
      <c r="P107" s="7"/>
      <c r="Q107" s="7"/>
      <c r="R107" s="23" t="s">
        <v>2818</v>
      </c>
      <c r="S107" s="23" t="s">
        <v>2819</v>
      </c>
      <c r="T107" s="23" t="s">
        <v>2820</v>
      </c>
      <c r="U107" s="4" t="s">
        <v>2568</v>
      </c>
      <c r="V107" s="4" t="s">
        <v>498</v>
      </c>
      <c r="W107" s="4"/>
      <c r="X107" s="4" t="s">
        <v>2569</v>
      </c>
      <c r="Y107" s="4"/>
      <c r="Z107" s="23" t="s">
        <v>2821</v>
      </c>
      <c r="AA107" s="7"/>
      <c r="AB107" s="4"/>
      <c r="AC107" s="4"/>
      <c r="AD107" s="4"/>
      <c r="AE107" s="18" t="s">
        <v>470</v>
      </c>
      <c r="AF107" s="4" t="s">
        <v>471</v>
      </c>
      <c r="AG107" s="4"/>
      <c r="AH107" s="4"/>
      <c r="AI107" s="4" t="s">
        <v>2598</v>
      </c>
      <c r="AJ107" s="4" t="s">
        <v>2599</v>
      </c>
      <c r="AK107" s="4"/>
      <c r="AL107" s="7"/>
      <c r="AM107" s="4"/>
      <c r="AN107" s="4"/>
      <c r="AO107" s="4" t="s">
        <v>2749</v>
      </c>
      <c r="AP107" s="4"/>
      <c r="AQ107" s="7"/>
      <c r="AR107" s="4"/>
      <c r="AS107" s="4"/>
      <c r="AT107" s="4"/>
      <c r="AU107" s="4"/>
      <c r="AV107" s="4" t="s">
        <v>2574</v>
      </c>
      <c r="AW107" s="23" t="s">
        <v>2822</v>
      </c>
      <c r="AX107" s="19"/>
      <c r="AY107" s="19"/>
      <c r="AZ107" s="19"/>
      <c r="BA107" s="19"/>
      <c r="BB107" s="19"/>
      <c r="BC107" s="4" t="s">
        <v>2823</v>
      </c>
      <c r="BD107" s="4" t="s">
        <v>2824</v>
      </c>
      <c r="BE107" s="4" t="s">
        <v>2040</v>
      </c>
      <c r="BF107" s="4" t="s">
        <v>2041</v>
      </c>
      <c r="BG107" s="4" t="s">
        <v>2825</v>
      </c>
      <c r="BH107" s="4" t="s">
        <v>2826</v>
      </c>
      <c r="BI107" s="7"/>
      <c r="BJ107" s="7"/>
      <c r="BK107" s="7"/>
      <c r="BL107" s="7"/>
      <c r="BM107" s="4"/>
      <c r="BN107" s="4"/>
      <c r="BO107" s="7"/>
      <c r="BP107" s="7"/>
      <c r="BQ107" s="7"/>
      <c r="BR107" s="7"/>
      <c r="BS107" s="7"/>
      <c r="BT107" s="7"/>
      <c r="BU107" s="7"/>
      <c r="BV107" s="20" t="s">
        <v>25</v>
      </c>
      <c r="BW107" s="20" t="s">
        <v>32</v>
      </c>
      <c r="BX107" s="20" t="s">
        <v>34</v>
      </c>
      <c r="BY107" s="7"/>
      <c r="BZ107" s="20" t="s">
        <v>484</v>
      </c>
      <c r="CA107" s="20" t="s">
        <v>664</v>
      </c>
      <c r="CB107" s="20" t="s">
        <v>2827</v>
      </c>
      <c r="CC107" s="20" t="s">
        <v>2828</v>
      </c>
      <c r="CD107" s="7"/>
      <c r="CE107" s="20" t="s">
        <v>2829</v>
      </c>
      <c r="CF107" s="7"/>
      <c r="CG107" s="7"/>
      <c r="CH107" s="22" t="str">
        <f aca="false">IF(AND(ISNUMBER(BP107),ISNUMBER(AG107),AG107&gt;0),BP107*1000000/AG107,"")</f>
        <v/>
      </c>
      <c r="CI107" s="7"/>
      <c r="CJ107" s="7"/>
      <c r="CK107" s="7"/>
      <c r="CL107" s="7"/>
      <c r="CM107" s="7"/>
      <c r="CN107" s="7"/>
      <c r="CO107" s="7"/>
      <c r="CP107" s="7"/>
      <c r="CQ107" s="7"/>
      <c r="CR107" s="7"/>
      <c r="CS107" s="7"/>
    </row>
    <row r="108" customFormat="false" ht="646.25" hidden="false" customHeight="false" outlineLevel="0" collapsed="false">
      <c r="A108" s="4" t="n">
        <v>107</v>
      </c>
      <c r="B108" s="4" t="s">
        <v>2010</v>
      </c>
      <c r="C108" s="4" t="s">
        <v>70</v>
      </c>
      <c r="D108" s="4" t="s">
        <v>1333</v>
      </c>
      <c r="E108" s="4" t="s">
        <v>2830</v>
      </c>
      <c r="F108" s="4" t="s">
        <v>2759</v>
      </c>
      <c r="G108" s="4" t="s">
        <v>2831</v>
      </c>
      <c r="H108" s="4" t="s">
        <v>2832</v>
      </c>
      <c r="I108" s="4" t="s">
        <v>2833</v>
      </c>
      <c r="J108" s="4" t="s">
        <v>2834</v>
      </c>
      <c r="K108" s="25" t="n">
        <v>15.98</v>
      </c>
      <c r="L108" s="23" t="n">
        <v>2026</v>
      </c>
      <c r="M108" s="23" t="s">
        <v>6</v>
      </c>
      <c r="N108" s="23" t="s">
        <v>2835</v>
      </c>
      <c r="O108" s="23" t="s">
        <v>494</v>
      </c>
      <c r="P108" s="7"/>
      <c r="Q108" s="7"/>
      <c r="R108" s="23" t="s">
        <v>2836</v>
      </c>
      <c r="S108" s="23" t="s">
        <v>2837</v>
      </c>
      <c r="T108" s="23" t="s">
        <v>2838</v>
      </c>
      <c r="U108" s="4" t="s">
        <v>2568</v>
      </c>
      <c r="V108" s="4" t="s">
        <v>498</v>
      </c>
      <c r="W108" s="4"/>
      <c r="X108" s="4" t="s">
        <v>2569</v>
      </c>
      <c r="Y108" s="4"/>
      <c r="Z108" s="23" t="s">
        <v>2839</v>
      </c>
      <c r="AA108" s="7"/>
      <c r="AB108" s="4"/>
      <c r="AC108" s="4"/>
      <c r="AD108" s="4"/>
      <c r="AE108" s="18" t="s">
        <v>470</v>
      </c>
      <c r="AF108" s="4" t="s">
        <v>471</v>
      </c>
      <c r="AG108" s="4"/>
      <c r="AH108" s="4"/>
      <c r="AI108" s="4" t="s">
        <v>2598</v>
      </c>
      <c r="AJ108" s="4" t="s">
        <v>2599</v>
      </c>
      <c r="AK108" s="4"/>
      <c r="AL108" s="7"/>
      <c r="AM108" s="4"/>
      <c r="AN108" s="4"/>
      <c r="AO108" s="4" t="s">
        <v>2749</v>
      </c>
      <c r="AP108" s="4"/>
      <c r="AQ108" s="7"/>
      <c r="AR108" s="4"/>
      <c r="AS108" s="4"/>
      <c r="AT108" s="4"/>
      <c r="AU108" s="4"/>
      <c r="AV108" s="4" t="s">
        <v>2574</v>
      </c>
      <c r="AW108" s="23" t="s">
        <v>2840</v>
      </c>
      <c r="AX108" s="24" t="n">
        <v>74</v>
      </c>
      <c r="AY108" s="24" t="s">
        <v>964</v>
      </c>
      <c r="AZ108" s="24" t="s">
        <v>2841</v>
      </c>
      <c r="BA108" s="24" t="s">
        <v>2509</v>
      </c>
      <c r="BB108" s="24" t="s">
        <v>2842</v>
      </c>
      <c r="BC108" s="4" t="s">
        <v>2843</v>
      </c>
      <c r="BD108" s="4" t="s">
        <v>2844</v>
      </c>
      <c r="BE108" s="4" t="s">
        <v>514</v>
      </c>
      <c r="BF108" s="4" t="s">
        <v>515</v>
      </c>
      <c r="BG108" s="4" t="s">
        <v>2845</v>
      </c>
      <c r="BH108" s="4" t="s">
        <v>2846</v>
      </c>
      <c r="BI108" s="7"/>
      <c r="BJ108" s="7"/>
      <c r="BK108" s="7"/>
      <c r="BL108" s="7"/>
      <c r="BM108" s="4"/>
      <c r="BN108" s="23" t="s">
        <v>2847</v>
      </c>
      <c r="BO108" s="7"/>
      <c r="BP108" s="7"/>
      <c r="BQ108" s="7"/>
      <c r="BR108" s="7"/>
      <c r="BS108" s="7"/>
      <c r="BT108" s="7"/>
      <c r="BU108" s="7"/>
      <c r="BV108" s="20" t="s">
        <v>24</v>
      </c>
      <c r="BW108" s="20" t="s">
        <v>30</v>
      </c>
      <c r="BX108" s="20" t="s">
        <v>34</v>
      </c>
      <c r="BY108" s="7"/>
      <c r="BZ108" s="20" t="s">
        <v>484</v>
      </c>
      <c r="CA108" s="20" t="s">
        <v>664</v>
      </c>
      <c r="CB108" s="20" t="s">
        <v>2848</v>
      </c>
      <c r="CC108" s="20" t="s">
        <v>2849</v>
      </c>
      <c r="CD108" s="20" t="s">
        <v>2850</v>
      </c>
      <c r="CE108" s="20" t="s">
        <v>2851</v>
      </c>
      <c r="CF108" s="7"/>
      <c r="CG108" s="7"/>
      <c r="CH108" s="22" t="str">
        <f aca="false">IF(AND(ISNUMBER(BP108),ISNUMBER(AG108),AG108&gt;0),BP108*1000000/AG108,"")</f>
        <v/>
      </c>
      <c r="CI108" s="21" t="n">
        <v>26</v>
      </c>
      <c r="CJ108" s="21" t="n">
        <v>25</v>
      </c>
      <c r="CK108" s="21" t="n">
        <v>18</v>
      </c>
      <c r="CL108" s="21" t="n">
        <v>69</v>
      </c>
      <c r="CM108" s="21" t="n">
        <v>5</v>
      </c>
      <c r="CN108" s="21" t="n">
        <v>1</v>
      </c>
      <c r="CO108" s="21" t="n">
        <v>0</v>
      </c>
      <c r="CP108" s="20" t="s">
        <v>2852</v>
      </c>
      <c r="CQ108" s="20" t="s">
        <v>2853</v>
      </c>
      <c r="CR108" s="20" t="s">
        <v>2854</v>
      </c>
      <c r="CS108" s="20" t="s">
        <v>2855</v>
      </c>
    </row>
    <row r="109" customFormat="false" ht="431.3" hidden="false" customHeight="false" outlineLevel="0" collapsed="false">
      <c r="A109" s="4" t="n">
        <v>108</v>
      </c>
      <c r="B109" s="4" t="s">
        <v>2010</v>
      </c>
      <c r="C109" s="4" t="s">
        <v>70</v>
      </c>
      <c r="D109" s="4" t="s">
        <v>1333</v>
      </c>
      <c r="E109" s="4" t="s">
        <v>2856</v>
      </c>
      <c r="F109" s="4" t="s">
        <v>2759</v>
      </c>
      <c r="G109" s="4" t="s">
        <v>2857</v>
      </c>
      <c r="H109" s="4" t="s">
        <v>2858</v>
      </c>
      <c r="I109" s="4" t="s">
        <v>2859</v>
      </c>
      <c r="J109" s="4" t="s">
        <v>2860</v>
      </c>
      <c r="K109" s="25" t="n">
        <v>6.415</v>
      </c>
      <c r="L109" s="23" t="n">
        <v>2026</v>
      </c>
      <c r="M109" s="23" t="s">
        <v>6</v>
      </c>
      <c r="N109" s="23" t="s">
        <v>2835</v>
      </c>
      <c r="O109" s="23" t="s">
        <v>494</v>
      </c>
      <c r="P109" s="7"/>
      <c r="Q109" s="7"/>
      <c r="R109" s="23" t="s">
        <v>2861</v>
      </c>
      <c r="S109" s="23" t="s">
        <v>2837</v>
      </c>
      <c r="T109" s="23" t="s">
        <v>2862</v>
      </c>
      <c r="U109" s="4" t="s">
        <v>2568</v>
      </c>
      <c r="V109" s="4" t="s">
        <v>2863</v>
      </c>
      <c r="W109" s="4" t="s">
        <v>2864</v>
      </c>
      <c r="X109" s="4" t="s">
        <v>2865</v>
      </c>
      <c r="Y109" s="4" t="s">
        <v>2866</v>
      </c>
      <c r="Z109" s="23" t="s">
        <v>2867</v>
      </c>
      <c r="AA109" s="7"/>
      <c r="AB109" s="4"/>
      <c r="AC109" s="4"/>
      <c r="AD109" s="4"/>
      <c r="AE109" s="18" t="s">
        <v>470</v>
      </c>
      <c r="AF109" s="4" t="s">
        <v>471</v>
      </c>
      <c r="AG109" s="4"/>
      <c r="AH109" s="4"/>
      <c r="AI109" s="4" t="s">
        <v>2598</v>
      </c>
      <c r="AJ109" s="4" t="s">
        <v>2599</v>
      </c>
      <c r="AK109" s="4"/>
      <c r="AL109" s="7"/>
      <c r="AM109" s="4"/>
      <c r="AN109" s="4"/>
      <c r="AO109" s="4" t="s">
        <v>2749</v>
      </c>
      <c r="AP109" s="4"/>
      <c r="AQ109" s="7"/>
      <c r="AR109" s="4"/>
      <c r="AS109" s="4"/>
      <c r="AT109" s="4"/>
      <c r="AU109" s="4"/>
      <c r="AV109" s="4" t="s">
        <v>2574</v>
      </c>
      <c r="AW109" s="23" t="s">
        <v>2868</v>
      </c>
      <c r="AX109" s="24" t="n">
        <v>12</v>
      </c>
      <c r="AY109" s="24" t="s">
        <v>964</v>
      </c>
      <c r="AZ109" s="24" t="s">
        <v>2869</v>
      </c>
      <c r="BA109" s="24" t="s">
        <v>2509</v>
      </c>
      <c r="BB109" s="24" t="s">
        <v>2870</v>
      </c>
      <c r="BC109" s="4" t="s">
        <v>2871</v>
      </c>
      <c r="BD109" s="4" t="s">
        <v>2872</v>
      </c>
      <c r="BE109" s="4" t="s">
        <v>540</v>
      </c>
      <c r="BF109" s="4" t="s">
        <v>541</v>
      </c>
      <c r="BG109" s="4" t="s">
        <v>2873</v>
      </c>
      <c r="BH109" s="4" t="s">
        <v>2874</v>
      </c>
      <c r="BI109" s="7"/>
      <c r="BJ109" s="7"/>
      <c r="BK109" s="7"/>
      <c r="BL109" s="7"/>
      <c r="BM109" s="4"/>
      <c r="BN109" s="23" t="s">
        <v>2875</v>
      </c>
      <c r="BO109" s="7"/>
      <c r="BP109" s="7"/>
      <c r="BQ109" s="7"/>
      <c r="BR109" s="7"/>
      <c r="BS109" s="7"/>
      <c r="BT109" s="7"/>
      <c r="BU109" s="7"/>
      <c r="BV109" s="20" t="s">
        <v>24</v>
      </c>
      <c r="BW109" s="20" t="s">
        <v>30</v>
      </c>
      <c r="BX109" s="20" t="s">
        <v>34</v>
      </c>
      <c r="BY109" s="20" t="s">
        <v>2876</v>
      </c>
      <c r="BZ109" s="20" t="s">
        <v>484</v>
      </c>
      <c r="CA109" s="20" t="s">
        <v>664</v>
      </c>
      <c r="CB109" s="20" t="s">
        <v>2877</v>
      </c>
      <c r="CC109" s="20" t="s">
        <v>2187</v>
      </c>
      <c r="CD109" s="20" t="s">
        <v>2878</v>
      </c>
      <c r="CE109" s="20" t="s">
        <v>189</v>
      </c>
      <c r="CF109" s="21" t="n">
        <v>9</v>
      </c>
      <c r="CG109" s="7"/>
      <c r="CH109" s="22" t="str">
        <f aca="false">IF(AND(ISNUMBER(BP109),ISNUMBER(AG109),AG109&gt;0),BP109*1000000/AG109,"")</f>
        <v/>
      </c>
      <c r="CI109" s="7"/>
      <c r="CJ109" s="7"/>
      <c r="CK109" s="7"/>
      <c r="CL109" s="7"/>
      <c r="CM109" s="7"/>
      <c r="CN109" s="21" t="n">
        <v>1</v>
      </c>
      <c r="CO109" s="21" t="n">
        <v>0</v>
      </c>
      <c r="CP109" s="20" t="s">
        <v>2879</v>
      </c>
      <c r="CQ109" s="7"/>
      <c r="CR109" s="20" t="s">
        <v>2509</v>
      </c>
      <c r="CS109" s="20" t="s">
        <v>2880</v>
      </c>
    </row>
    <row r="110" customFormat="false" ht="552.2" hidden="false" customHeight="false" outlineLevel="0" collapsed="false">
      <c r="A110" s="4" t="n">
        <v>109</v>
      </c>
      <c r="B110" s="4" t="s">
        <v>2010</v>
      </c>
      <c r="C110" s="4" t="s">
        <v>70</v>
      </c>
      <c r="D110" s="4" t="s">
        <v>1333</v>
      </c>
      <c r="E110" s="4" t="s">
        <v>2881</v>
      </c>
      <c r="F110" s="4" t="s">
        <v>2882</v>
      </c>
      <c r="G110" s="4" t="s">
        <v>2883</v>
      </c>
      <c r="H110" s="4" t="s">
        <v>2884</v>
      </c>
      <c r="I110" s="4" t="s">
        <v>2885</v>
      </c>
      <c r="J110" s="4" t="s">
        <v>2886</v>
      </c>
      <c r="K110" s="25" t="n">
        <v>9.975</v>
      </c>
      <c r="L110" s="23" t="n">
        <v>2026</v>
      </c>
      <c r="M110" s="23" t="s">
        <v>6</v>
      </c>
      <c r="N110" s="23" t="s">
        <v>2835</v>
      </c>
      <c r="O110" s="23" t="s">
        <v>494</v>
      </c>
      <c r="P110" s="7"/>
      <c r="Q110" s="7"/>
      <c r="R110" s="23" t="s">
        <v>2887</v>
      </c>
      <c r="S110" s="23" t="s">
        <v>2837</v>
      </c>
      <c r="T110" s="23" t="s">
        <v>2888</v>
      </c>
      <c r="U110" s="4" t="s">
        <v>2568</v>
      </c>
      <c r="V110" s="4" t="s">
        <v>498</v>
      </c>
      <c r="W110" s="4"/>
      <c r="X110" s="4" t="s">
        <v>2569</v>
      </c>
      <c r="Y110" s="4"/>
      <c r="Z110" s="23" t="s">
        <v>2889</v>
      </c>
      <c r="AA110" s="7"/>
      <c r="AB110" s="4"/>
      <c r="AC110" s="4"/>
      <c r="AD110" s="4"/>
      <c r="AE110" s="18" t="s">
        <v>470</v>
      </c>
      <c r="AF110" s="4" t="s">
        <v>471</v>
      </c>
      <c r="AG110" s="4"/>
      <c r="AH110" s="4"/>
      <c r="AI110" s="4" t="s">
        <v>2598</v>
      </c>
      <c r="AJ110" s="4" t="s">
        <v>2599</v>
      </c>
      <c r="AK110" s="4"/>
      <c r="AL110" s="7"/>
      <c r="AM110" s="4"/>
      <c r="AN110" s="4"/>
      <c r="AO110" s="4" t="s">
        <v>2749</v>
      </c>
      <c r="AP110" s="4"/>
      <c r="AQ110" s="7"/>
      <c r="AR110" s="4"/>
      <c r="AS110" s="4"/>
      <c r="AT110" s="4"/>
      <c r="AU110" s="4"/>
      <c r="AV110" s="4" t="s">
        <v>2574</v>
      </c>
      <c r="AW110" s="23" t="s">
        <v>2840</v>
      </c>
      <c r="AX110" s="24" t="n">
        <v>19</v>
      </c>
      <c r="AY110" s="24" t="s">
        <v>964</v>
      </c>
      <c r="AZ110" s="24" t="s">
        <v>2890</v>
      </c>
      <c r="BA110" s="24" t="s">
        <v>2509</v>
      </c>
      <c r="BB110" s="24" t="s">
        <v>2891</v>
      </c>
      <c r="BC110" s="4" t="s">
        <v>2892</v>
      </c>
      <c r="BD110" s="4" t="s">
        <v>2893</v>
      </c>
      <c r="BE110" s="4" t="s">
        <v>514</v>
      </c>
      <c r="BF110" s="4" t="s">
        <v>515</v>
      </c>
      <c r="BG110" s="4" t="s">
        <v>2894</v>
      </c>
      <c r="BH110" s="4" t="s">
        <v>2895</v>
      </c>
      <c r="BI110" s="7"/>
      <c r="BJ110" s="7"/>
      <c r="BK110" s="7"/>
      <c r="BL110" s="7"/>
      <c r="BM110" s="4"/>
      <c r="BN110" s="23" t="s">
        <v>2896</v>
      </c>
      <c r="BO110" s="7"/>
      <c r="BP110" s="7"/>
      <c r="BQ110" s="7"/>
      <c r="BR110" s="7"/>
      <c r="BS110" s="7"/>
      <c r="BT110" s="7"/>
      <c r="BU110" s="7"/>
      <c r="BV110" s="20" t="s">
        <v>23</v>
      </c>
      <c r="BW110" s="20" t="s">
        <v>28</v>
      </c>
      <c r="BX110" s="20" t="s">
        <v>34</v>
      </c>
      <c r="BY110" s="7"/>
      <c r="BZ110" s="20" t="s">
        <v>484</v>
      </c>
      <c r="CA110" s="20" t="s">
        <v>664</v>
      </c>
      <c r="CB110" s="20" t="s">
        <v>2897</v>
      </c>
      <c r="CC110" s="20" t="s">
        <v>1208</v>
      </c>
      <c r="CD110" s="7"/>
      <c r="CE110" s="20" t="s">
        <v>2898</v>
      </c>
      <c r="CF110" s="7"/>
      <c r="CG110" s="7"/>
      <c r="CH110" s="22" t="str">
        <f aca="false">IF(AND(ISNUMBER(BP110),ISNUMBER(AG110),AG110&gt;0),BP110*1000000/AG110,"")</f>
        <v/>
      </c>
      <c r="CI110" s="7"/>
      <c r="CJ110" s="7"/>
      <c r="CK110" s="7"/>
      <c r="CL110" s="7"/>
      <c r="CM110" s="21" t="n">
        <v>0</v>
      </c>
      <c r="CN110" s="21" t="n">
        <v>1</v>
      </c>
      <c r="CO110" s="21" t="n">
        <v>0</v>
      </c>
      <c r="CP110" s="20" t="s">
        <v>2899</v>
      </c>
      <c r="CQ110" s="7"/>
      <c r="CR110" s="20" t="s">
        <v>2900</v>
      </c>
      <c r="CS110" s="20" t="s">
        <v>2901</v>
      </c>
    </row>
    <row r="111" customFormat="false" ht="458.2" hidden="false" customHeight="false" outlineLevel="0" collapsed="false">
      <c r="A111" s="4" t="n">
        <v>110</v>
      </c>
      <c r="B111" s="4" t="s">
        <v>2010</v>
      </c>
      <c r="C111" s="4" t="s">
        <v>63</v>
      </c>
      <c r="D111" s="4" t="s">
        <v>547</v>
      </c>
      <c r="E111" s="4" t="s">
        <v>2902</v>
      </c>
      <c r="F111" s="4" t="s">
        <v>2903</v>
      </c>
      <c r="G111" s="4" t="s">
        <v>2904</v>
      </c>
      <c r="H111" s="4" t="s">
        <v>2905</v>
      </c>
      <c r="I111" s="4" t="s">
        <v>2906</v>
      </c>
      <c r="J111" s="4" t="s">
        <v>2907</v>
      </c>
      <c r="K111" s="25" t="n">
        <v>33.15313</v>
      </c>
      <c r="L111" s="23" t="n">
        <v>2026</v>
      </c>
      <c r="M111" s="23" t="s">
        <v>6</v>
      </c>
      <c r="N111" s="23" t="s">
        <v>2018</v>
      </c>
      <c r="O111" s="23" t="s">
        <v>494</v>
      </c>
      <c r="P111" s="20" t="n">
        <v>33.15313</v>
      </c>
      <c r="Q111" s="7"/>
      <c r="R111" s="23" t="s">
        <v>2908</v>
      </c>
      <c r="S111" s="23" t="s">
        <v>2370</v>
      </c>
      <c r="T111" s="23" t="s">
        <v>2909</v>
      </c>
      <c r="U111" s="4" t="s">
        <v>2568</v>
      </c>
      <c r="V111" s="4" t="s">
        <v>2863</v>
      </c>
      <c r="W111" s="4" t="s">
        <v>2910</v>
      </c>
      <c r="X111" s="4" t="s">
        <v>2865</v>
      </c>
      <c r="Y111" s="4" t="s">
        <v>2866</v>
      </c>
      <c r="Z111" s="23" t="s">
        <v>2911</v>
      </c>
      <c r="AA111" s="7"/>
      <c r="AB111" s="4"/>
      <c r="AC111" s="4"/>
      <c r="AD111" s="4"/>
      <c r="AE111" s="18" t="s">
        <v>470</v>
      </c>
      <c r="AF111" s="4" t="s">
        <v>471</v>
      </c>
      <c r="AG111" s="4"/>
      <c r="AH111" s="4"/>
      <c r="AI111" s="4" t="s">
        <v>2598</v>
      </c>
      <c r="AJ111" s="4" t="s">
        <v>2599</v>
      </c>
      <c r="AK111" s="4"/>
      <c r="AL111" s="20" t="n">
        <v>7.38839</v>
      </c>
      <c r="AM111" s="23" t="n">
        <v>2026</v>
      </c>
      <c r="AN111" s="23" t="s">
        <v>2912</v>
      </c>
      <c r="AO111" s="23" t="s">
        <v>506</v>
      </c>
      <c r="AP111" s="23" t="s">
        <v>2913</v>
      </c>
      <c r="AQ111" s="7"/>
      <c r="AR111" s="4"/>
      <c r="AS111" s="4"/>
      <c r="AT111" s="4"/>
      <c r="AU111" s="4"/>
      <c r="AV111" s="4" t="s">
        <v>2574</v>
      </c>
      <c r="AW111" s="23" t="s">
        <v>2350</v>
      </c>
      <c r="AX111" s="24" t="n">
        <v>89</v>
      </c>
      <c r="AY111" s="24" t="s">
        <v>964</v>
      </c>
      <c r="AZ111" s="24" t="s">
        <v>2914</v>
      </c>
      <c r="BA111" s="24" t="s">
        <v>2915</v>
      </c>
      <c r="BB111" s="24" t="s">
        <v>2916</v>
      </c>
      <c r="BC111" s="4" t="s">
        <v>2917</v>
      </c>
      <c r="BD111" s="4" t="s">
        <v>2918</v>
      </c>
      <c r="BE111" s="4" t="s">
        <v>2919</v>
      </c>
      <c r="BF111" s="4" t="s">
        <v>515</v>
      </c>
      <c r="BG111" s="4" t="s">
        <v>2920</v>
      </c>
      <c r="BH111" s="4" t="s">
        <v>2921</v>
      </c>
      <c r="BI111" s="7"/>
      <c r="BJ111" s="7"/>
      <c r="BK111" s="7"/>
      <c r="BL111" s="7"/>
      <c r="BM111" s="4"/>
      <c r="BN111" s="23" t="s">
        <v>2922</v>
      </c>
      <c r="BO111" s="7"/>
      <c r="BP111" s="7"/>
      <c r="BQ111" s="7"/>
      <c r="BR111" s="7"/>
      <c r="BS111" s="7"/>
      <c r="BT111" s="7"/>
      <c r="BU111" s="7"/>
      <c r="BV111" s="20" t="s">
        <v>24</v>
      </c>
      <c r="BW111" s="20" t="s">
        <v>30</v>
      </c>
      <c r="BX111" s="20" t="s">
        <v>34</v>
      </c>
      <c r="BY111" s="20" t="s">
        <v>2876</v>
      </c>
      <c r="BZ111" s="20" t="s">
        <v>484</v>
      </c>
      <c r="CA111" s="20" t="s">
        <v>664</v>
      </c>
      <c r="CB111" s="20" t="s">
        <v>2877</v>
      </c>
      <c r="CC111" s="20" t="s">
        <v>2187</v>
      </c>
      <c r="CD111" s="20" t="s">
        <v>2878</v>
      </c>
      <c r="CE111" s="20" t="s">
        <v>189</v>
      </c>
      <c r="CF111" s="21" t="n">
        <v>9</v>
      </c>
      <c r="CG111" s="7"/>
      <c r="CH111" s="22" t="str">
        <f aca="false">IF(AND(ISNUMBER(BP111),ISNUMBER(AG111),AG111&gt;0),BP111*1000000/AG111,"")</f>
        <v/>
      </c>
      <c r="CI111" s="21" t="n">
        <v>87</v>
      </c>
      <c r="CJ111" s="21" t="n">
        <v>1</v>
      </c>
      <c r="CK111" s="21" t="n">
        <v>1</v>
      </c>
      <c r="CL111" s="21" t="n">
        <v>89</v>
      </c>
      <c r="CM111" s="7"/>
      <c r="CN111" s="7"/>
      <c r="CO111" s="7"/>
      <c r="CP111" s="20" t="s">
        <v>2923</v>
      </c>
      <c r="CQ111" s="20" t="s">
        <v>2924</v>
      </c>
      <c r="CR111" s="20" t="s">
        <v>2915</v>
      </c>
      <c r="CS111" s="20" t="s">
        <v>2925</v>
      </c>
    </row>
    <row r="112" customFormat="false" ht="686.55" hidden="false" customHeight="false" outlineLevel="0" collapsed="false">
      <c r="A112" s="4" t="n">
        <v>111</v>
      </c>
      <c r="B112" s="4" t="s">
        <v>2010</v>
      </c>
      <c r="C112" s="4" t="s">
        <v>58</v>
      </c>
      <c r="D112" s="4" t="s">
        <v>453</v>
      </c>
      <c r="E112" s="4" t="s">
        <v>2926</v>
      </c>
      <c r="F112" s="4" t="s">
        <v>2927</v>
      </c>
      <c r="G112" s="4" t="s">
        <v>2928</v>
      </c>
      <c r="H112" s="4" t="s">
        <v>2929</v>
      </c>
      <c r="I112" s="4" t="s">
        <v>2930</v>
      </c>
      <c r="J112" s="4" t="s">
        <v>2931</v>
      </c>
      <c r="K112" s="17" t="n">
        <v>15.506867</v>
      </c>
      <c r="L112" s="4" t="n">
        <v>2026</v>
      </c>
      <c r="M112" s="4" t="s">
        <v>6</v>
      </c>
      <c r="N112" s="23" t="s">
        <v>2216</v>
      </c>
      <c r="O112" s="4" t="s">
        <v>494</v>
      </c>
      <c r="P112" s="7" t="n">
        <v>15.506867</v>
      </c>
      <c r="Q112" s="7"/>
      <c r="R112" s="23" t="s">
        <v>2932</v>
      </c>
      <c r="S112" s="23" t="s">
        <v>2933</v>
      </c>
      <c r="T112" s="4" t="s">
        <v>2934</v>
      </c>
      <c r="U112" s="4" t="s">
        <v>2568</v>
      </c>
      <c r="V112" s="4" t="s">
        <v>498</v>
      </c>
      <c r="W112" s="4"/>
      <c r="X112" s="4" t="s">
        <v>2569</v>
      </c>
      <c r="Y112" s="4"/>
      <c r="Z112" s="23" t="s">
        <v>2935</v>
      </c>
      <c r="AA112" s="7"/>
      <c r="AB112" s="4"/>
      <c r="AC112" s="4"/>
      <c r="AD112" s="4"/>
      <c r="AE112" s="18" t="s">
        <v>2936</v>
      </c>
      <c r="AF112" s="4" t="s">
        <v>471</v>
      </c>
      <c r="AG112" s="4"/>
      <c r="AH112" s="4"/>
      <c r="AI112" s="4" t="s">
        <v>2598</v>
      </c>
      <c r="AJ112" s="4" t="s">
        <v>2599</v>
      </c>
      <c r="AK112" s="4"/>
      <c r="AL112" s="7"/>
      <c r="AM112" s="4"/>
      <c r="AN112" s="4"/>
      <c r="AO112" s="4" t="s">
        <v>2749</v>
      </c>
      <c r="AP112" s="4"/>
      <c r="AQ112" s="7"/>
      <c r="AR112" s="4"/>
      <c r="AS112" s="4"/>
      <c r="AT112" s="4"/>
      <c r="AU112" s="4"/>
      <c r="AV112" s="4" t="s">
        <v>2574</v>
      </c>
      <c r="AW112" s="23" t="s">
        <v>2937</v>
      </c>
      <c r="AX112" s="19"/>
      <c r="AY112" s="19"/>
      <c r="AZ112" s="19"/>
      <c r="BA112" s="19"/>
      <c r="BB112" s="24" t="s">
        <v>2938</v>
      </c>
      <c r="BC112" s="4" t="s">
        <v>2939</v>
      </c>
      <c r="BD112" s="4" t="s">
        <v>2940</v>
      </c>
      <c r="BE112" s="4" t="s">
        <v>2040</v>
      </c>
      <c r="BF112" s="4" t="s">
        <v>2041</v>
      </c>
      <c r="BG112" s="4" t="s">
        <v>2941</v>
      </c>
      <c r="BH112" s="4" t="s">
        <v>2942</v>
      </c>
      <c r="BI112" s="7"/>
      <c r="BJ112" s="7"/>
      <c r="BK112" s="7"/>
      <c r="BL112" s="7"/>
      <c r="BM112" s="4"/>
      <c r="BN112" s="4"/>
      <c r="BO112" s="7"/>
      <c r="BP112" s="7"/>
      <c r="BQ112" s="7"/>
      <c r="BR112" s="7"/>
      <c r="BS112" s="7"/>
      <c r="BT112" s="7"/>
      <c r="BU112" s="7"/>
      <c r="BV112" s="20" t="s">
        <v>24</v>
      </c>
      <c r="BW112" s="20" t="s">
        <v>30</v>
      </c>
      <c r="BX112" s="20" t="s">
        <v>34</v>
      </c>
      <c r="BY112" s="20" t="s">
        <v>2705</v>
      </c>
      <c r="BZ112" s="20" t="s">
        <v>484</v>
      </c>
      <c r="CA112" s="20" t="s">
        <v>713</v>
      </c>
      <c r="CB112" s="20" t="s">
        <v>2943</v>
      </c>
      <c r="CC112" s="20" t="s">
        <v>2293</v>
      </c>
      <c r="CD112" s="20" t="s">
        <v>2707</v>
      </c>
      <c r="CE112" s="20" t="s">
        <v>248</v>
      </c>
      <c r="CF112" s="21" t="n">
        <v>5</v>
      </c>
      <c r="CG112" s="7"/>
      <c r="CH112" s="22" t="str">
        <f aca="false">IF(AND(ISNUMBER(BP112),ISNUMBER(AG112),AG112&gt;0),BP112*1000000/AG112,"")</f>
        <v/>
      </c>
      <c r="CI112" s="7"/>
      <c r="CJ112" s="7"/>
      <c r="CK112" s="7"/>
      <c r="CL112" s="7"/>
      <c r="CM112" s="7"/>
      <c r="CN112" s="7"/>
      <c r="CO112" s="7"/>
      <c r="CP112" s="7"/>
      <c r="CQ112" s="7"/>
      <c r="CR112" s="7"/>
      <c r="CS112" s="7"/>
    </row>
    <row r="113" customFormat="false" ht="752.95" hidden="false" customHeight="false" outlineLevel="0" collapsed="false">
      <c r="A113" s="4" t="n">
        <v>112</v>
      </c>
      <c r="B113" s="4" t="s">
        <v>2010</v>
      </c>
      <c r="C113" s="4" t="s">
        <v>57</v>
      </c>
      <c r="D113" s="4" t="s">
        <v>1333</v>
      </c>
      <c r="E113" s="4" t="s">
        <v>2944</v>
      </c>
      <c r="F113" s="4" t="s">
        <v>2945</v>
      </c>
      <c r="G113" s="4" t="s">
        <v>2946</v>
      </c>
      <c r="H113" s="4" t="s">
        <v>2947</v>
      </c>
      <c r="I113" s="4" t="s">
        <v>2948</v>
      </c>
      <c r="J113" s="4" t="s">
        <v>2949</v>
      </c>
      <c r="K113" s="25" t="n">
        <v>66.273676</v>
      </c>
      <c r="L113" s="23" t="n">
        <v>2026</v>
      </c>
      <c r="M113" s="23" t="s">
        <v>6</v>
      </c>
      <c r="N113" s="23" t="s">
        <v>2950</v>
      </c>
      <c r="O113" s="23" t="s">
        <v>494</v>
      </c>
      <c r="P113" s="20" t="n">
        <v>66.273676</v>
      </c>
      <c r="Q113" s="7"/>
      <c r="R113" s="23" t="s">
        <v>2951</v>
      </c>
      <c r="S113" s="23" t="s">
        <v>2952</v>
      </c>
      <c r="T113" s="23" t="s">
        <v>2953</v>
      </c>
      <c r="U113" s="4" t="s">
        <v>2568</v>
      </c>
      <c r="V113" s="4" t="s">
        <v>2954</v>
      </c>
      <c r="W113" s="4" t="s">
        <v>2955</v>
      </c>
      <c r="X113" s="4" t="s">
        <v>2956</v>
      </c>
      <c r="Y113" s="4" t="s">
        <v>560</v>
      </c>
      <c r="Z113" s="23" t="s">
        <v>2957</v>
      </c>
      <c r="AA113" s="7"/>
      <c r="AB113" s="4"/>
      <c r="AC113" s="4"/>
      <c r="AD113" s="4"/>
      <c r="AE113" s="18" t="s">
        <v>470</v>
      </c>
      <c r="AF113" s="4" t="s">
        <v>471</v>
      </c>
      <c r="AG113" s="4"/>
      <c r="AH113" s="4"/>
      <c r="AI113" s="4" t="s">
        <v>2598</v>
      </c>
      <c r="AJ113" s="4" t="s">
        <v>2599</v>
      </c>
      <c r="AK113" s="4"/>
      <c r="AL113" s="7"/>
      <c r="AM113" s="4"/>
      <c r="AN113" s="4"/>
      <c r="AO113" s="4" t="s">
        <v>2749</v>
      </c>
      <c r="AP113" s="4"/>
      <c r="AQ113" s="7"/>
      <c r="AR113" s="4"/>
      <c r="AS113" s="4"/>
      <c r="AT113" s="4"/>
      <c r="AU113" s="4"/>
      <c r="AV113" s="4" t="s">
        <v>2574</v>
      </c>
      <c r="AW113" s="23" t="s">
        <v>2958</v>
      </c>
      <c r="AX113" s="19"/>
      <c r="AY113" s="19"/>
      <c r="AZ113" s="19"/>
      <c r="BA113" s="19"/>
      <c r="BB113" s="24" t="s">
        <v>2959</v>
      </c>
      <c r="BC113" s="4" t="s">
        <v>2960</v>
      </c>
      <c r="BD113" s="4" t="s">
        <v>2961</v>
      </c>
      <c r="BE113" s="4" t="s">
        <v>514</v>
      </c>
      <c r="BF113" s="4" t="s">
        <v>515</v>
      </c>
      <c r="BG113" s="4" t="s">
        <v>2962</v>
      </c>
      <c r="BH113" s="4" t="s">
        <v>2963</v>
      </c>
      <c r="BI113" s="7"/>
      <c r="BJ113" s="7"/>
      <c r="BK113" s="7"/>
      <c r="BL113" s="7"/>
      <c r="BM113" s="4"/>
      <c r="BN113" s="4"/>
      <c r="BO113" s="7"/>
      <c r="BP113" s="7"/>
      <c r="BQ113" s="7"/>
      <c r="BR113" s="7"/>
      <c r="BS113" s="7"/>
      <c r="BT113" s="7"/>
      <c r="BU113" s="7"/>
      <c r="BV113" s="20" t="s">
        <v>24</v>
      </c>
      <c r="BW113" s="20" t="s">
        <v>30</v>
      </c>
      <c r="BX113" s="20" t="s">
        <v>36</v>
      </c>
      <c r="BY113" s="20" t="s">
        <v>2415</v>
      </c>
      <c r="BZ113" s="20" t="s">
        <v>484</v>
      </c>
      <c r="CA113" s="20" t="s">
        <v>664</v>
      </c>
      <c r="CB113" s="20" t="s">
        <v>2416</v>
      </c>
      <c r="CC113" s="20" t="s">
        <v>2187</v>
      </c>
      <c r="CD113" s="20" t="s">
        <v>2417</v>
      </c>
      <c r="CE113" s="20" t="s">
        <v>214</v>
      </c>
      <c r="CF113" s="21" t="n">
        <v>10</v>
      </c>
      <c r="CG113" s="7"/>
      <c r="CH113" s="22" t="str">
        <f aca="false">IF(AND(ISNUMBER(BP113),ISNUMBER(AG113),AG113&gt;0),BP113*1000000/AG113,"")</f>
        <v/>
      </c>
      <c r="CI113" s="7"/>
      <c r="CJ113" s="7"/>
      <c r="CK113" s="7"/>
      <c r="CL113" s="7"/>
      <c r="CM113" s="7"/>
      <c r="CN113" s="7"/>
      <c r="CO113" s="7"/>
      <c r="CP113" s="7"/>
      <c r="CQ113" s="7"/>
      <c r="CR113" s="7"/>
      <c r="CS113" s="7"/>
    </row>
    <row r="114" customFormat="false" ht="498.5" hidden="false" customHeight="false" outlineLevel="0" collapsed="false">
      <c r="A114" s="4" t="n">
        <v>113</v>
      </c>
      <c r="B114" s="4" t="s">
        <v>2010</v>
      </c>
      <c r="C114" s="4" t="s">
        <v>57</v>
      </c>
      <c r="D114" s="4" t="s">
        <v>1333</v>
      </c>
      <c r="E114" s="4" t="s">
        <v>2964</v>
      </c>
      <c r="F114" s="4" t="s">
        <v>2965</v>
      </c>
      <c r="G114" s="4" t="s">
        <v>2966</v>
      </c>
      <c r="H114" s="4" t="s">
        <v>2967</v>
      </c>
      <c r="I114" s="4" t="s">
        <v>2968</v>
      </c>
      <c r="J114" s="4" t="s">
        <v>2969</v>
      </c>
      <c r="K114" s="25" t="n">
        <v>0.18</v>
      </c>
      <c r="L114" s="23" t="n">
        <v>2026</v>
      </c>
      <c r="M114" s="23" t="s">
        <v>5</v>
      </c>
      <c r="N114" s="23" t="s">
        <v>2018</v>
      </c>
      <c r="O114" s="23" t="s">
        <v>494</v>
      </c>
      <c r="P114" s="20" t="n">
        <v>0.18</v>
      </c>
      <c r="Q114" s="7"/>
      <c r="R114" s="23" t="s">
        <v>2970</v>
      </c>
      <c r="S114" s="23" t="s">
        <v>2199</v>
      </c>
      <c r="T114" s="23" t="s">
        <v>2971</v>
      </c>
      <c r="U114" s="4" t="s">
        <v>2568</v>
      </c>
      <c r="V114" s="4" t="s">
        <v>498</v>
      </c>
      <c r="W114" s="4"/>
      <c r="X114" s="4" t="s">
        <v>2569</v>
      </c>
      <c r="Y114" s="4"/>
      <c r="Z114" s="23" t="s">
        <v>2972</v>
      </c>
      <c r="AA114" s="7"/>
      <c r="AB114" s="4"/>
      <c r="AC114" s="4"/>
      <c r="AD114" s="4"/>
      <c r="AE114" s="18" t="s">
        <v>470</v>
      </c>
      <c r="AF114" s="4" t="s">
        <v>471</v>
      </c>
      <c r="AG114" s="4"/>
      <c r="AH114" s="4"/>
      <c r="AI114" s="4" t="s">
        <v>2598</v>
      </c>
      <c r="AJ114" s="4" t="s">
        <v>2599</v>
      </c>
      <c r="AK114" s="4"/>
      <c r="AL114" s="7"/>
      <c r="AM114" s="4"/>
      <c r="AN114" s="4"/>
      <c r="AO114" s="4" t="s">
        <v>2749</v>
      </c>
      <c r="AP114" s="4"/>
      <c r="AQ114" s="7"/>
      <c r="AR114" s="4"/>
      <c r="AS114" s="4"/>
      <c r="AT114" s="4"/>
      <c r="AU114" s="4"/>
      <c r="AV114" s="4" t="s">
        <v>2574</v>
      </c>
      <c r="AW114" s="23" t="s">
        <v>2973</v>
      </c>
      <c r="AX114" s="19"/>
      <c r="AY114" s="19"/>
      <c r="AZ114" s="19"/>
      <c r="BA114" s="19"/>
      <c r="BB114" s="19"/>
      <c r="BC114" s="4" t="s">
        <v>2974</v>
      </c>
      <c r="BD114" s="4" t="s">
        <v>2975</v>
      </c>
      <c r="BE114" s="4" t="s">
        <v>2976</v>
      </c>
      <c r="BF114" s="4" t="s">
        <v>2977</v>
      </c>
      <c r="BG114" s="4" t="s">
        <v>2978</v>
      </c>
      <c r="BH114" s="4" t="s">
        <v>2979</v>
      </c>
      <c r="BI114" s="7"/>
      <c r="BJ114" s="7"/>
      <c r="BK114" s="7"/>
      <c r="BL114" s="7"/>
      <c r="BM114" s="4"/>
      <c r="BN114" s="4"/>
      <c r="BO114" s="7"/>
      <c r="BP114" s="7"/>
      <c r="BQ114" s="7"/>
      <c r="BR114" s="7"/>
      <c r="BS114" s="7"/>
      <c r="BT114" s="7"/>
      <c r="BU114" s="7"/>
      <c r="BV114" s="20" t="s">
        <v>24</v>
      </c>
      <c r="BW114" s="20" t="s">
        <v>30</v>
      </c>
      <c r="BX114" s="20" t="s">
        <v>37</v>
      </c>
      <c r="BY114" s="20" t="s">
        <v>2141</v>
      </c>
      <c r="BZ114" s="20" t="s">
        <v>484</v>
      </c>
      <c r="CA114" s="20" t="s">
        <v>664</v>
      </c>
      <c r="CB114" s="20" t="s">
        <v>2980</v>
      </c>
      <c r="CC114" s="20" t="s">
        <v>2187</v>
      </c>
      <c r="CD114" s="20" t="s">
        <v>96</v>
      </c>
      <c r="CE114" s="20" t="s">
        <v>95</v>
      </c>
      <c r="CF114" s="21" t="n">
        <v>13</v>
      </c>
      <c r="CG114" s="7"/>
      <c r="CH114" s="22" t="str">
        <f aca="false">IF(AND(ISNUMBER(BP114),ISNUMBER(AG114),AG114&gt;0),BP114*1000000/AG114,"")</f>
        <v/>
      </c>
      <c r="CI114" s="7"/>
      <c r="CJ114" s="7"/>
      <c r="CK114" s="7"/>
      <c r="CL114" s="7"/>
      <c r="CM114" s="7"/>
      <c r="CN114" s="7"/>
      <c r="CO114" s="7"/>
      <c r="CP114" s="7"/>
      <c r="CQ114" s="7"/>
      <c r="CR114" s="7"/>
      <c r="CS114" s="7"/>
    </row>
    <row r="115" customFormat="false" ht="417.9" hidden="false" customHeight="false" outlineLevel="0" collapsed="false">
      <c r="A115" s="4" t="n">
        <v>114</v>
      </c>
      <c r="B115" s="4" t="s">
        <v>2010</v>
      </c>
      <c r="C115" s="4" t="s">
        <v>60</v>
      </c>
      <c r="D115" s="4" t="s">
        <v>1333</v>
      </c>
      <c r="E115" s="4" t="s">
        <v>2981</v>
      </c>
      <c r="F115" s="4" t="s">
        <v>2982</v>
      </c>
      <c r="G115" s="4" t="s">
        <v>2983</v>
      </c>
      <c r="H115" s="4" t="s">
        <v>2984</v>
      </c>
      <c r="I115" s="4" t="s">
        <v>2985</v>
      </c>
      <c r="J115" s="4" t="s">
        <v>2986</v>
      </c>
      <c r="K115" s="25" t="n">
        <v>18.273639</v>
      </c>
      <c r="L115" s="23" t="n">
        <v>2026</v>
      </c>
      <c r="M115" s="23" t="s">
        <v>5</v>
      </c>
      <c r="N115" s="23" t="s">
        <v>2018</v>
      </c>
      <c r="O115" s="23" t="s">
        <v>494</v>
      </c>
      <c r="P115" s="20" t="n">
        <v>18.273639</v>
      </c>
      <c r="Q115" s="7"/>
      <c r="R115" s="23" t="s">
        <v>2987</v>
      </c>
      <c r="S115" s="23" t="s">
        <v>2283</v>
      </c>
      <c r="T115" s="23" t="s">
        <v>2988</v>
      </c>
      <c r="U115" s="4" t="s">
        <v>2568</v>
      </c>
      <c r="V115" s="4" t="s">
        <v>498</v>
      </c>
      <c r="W115" s="4"/>
      <c r="X115" s="4" t="s">
        <v>2569</v>
      </c>
      <c r="Y115" s="4"/>
      <c r="Z115" s="23" t="s">
        <v>2989</v>
      </c>
      <c r="AA115" s="7"/>
      <c r="AB115" s="4"/>
      <c r="AC115" s="4"/>
      <c r="AD115" s="4"/>
      <c r="AE115" s="18" t="s">
        <v>470</v>
      </c>
      <c r="AF115" s="4" t="s">
        <v>471</v>
      </c>
      <c r="AG115" s="4"/>
      <c r="AH115" s="4"/>
      <c r="AI115" s="4" t="s">
        <v>2598</v>
      </c>
      <c r="AJ115" s="4" t="s">
        <v>2599</v>
      </c>
      <c r="AK115" s="4"/>
      <c r="AL115" s="7"/>
      <c r="AM115" s="4"/>
      <c r="AN115" s="4"/>
      <c r="AO115" s="4" t="s">
        <v>2749</v>
      </c>
      <c r="AP115" s="4"/>
      <c r="AQ115" s="7"/>
      <c r="AR115" s="4"/>
      <c r="AS115" s="4"/>
      <c r="AT115" s="4"/>
      <c r="AU115" s="4"/>
      <c r="AV115" s="4" t="s">
        <v>2574</v>
      </c>
      <c r="AW115" s="23" t="s">
        <v>2990</v>
      </c>
      <c r="AX115" s="19"/>
      <c r="AY115" s="19"/>
      <c r="AZ115" s="19"/>
      <c r="BA115" s="19"/>
      <c r="BB115" s="19"/>
      <c r="BC115" s="4" t="s">
        <v>2991</v>
      </c>
      <c r="BD115" s="4" t="s">
        <v>2992</v>
      </c>
      <c r="BE115" s="4" t="s">
        <v>514</v>
      </c>
      <c r="BF115" s="4" t="s">
        <v>515</v>
      </c>
      <c r="BG115" s="4" t="s">
        <v>2993</v>
      </c>
      <c r="BH115" s="4" t="s">
        <v>2994</v>
      </c>
      <c r="BI115" s="7"/>
      <c r="BJ115" s="7"/>
      <c r="BK115" s="7"/>
      <c r="BL115" s="7"/>
      <c r="BM115" s="4"/>
      <c r="BN115" s="4"/>
      <c r="BO115" s="7"/>
      <c r="BP115" s="7"/>
      <c r="BQ115" s="7"/>
      <c r="BR115" s="7"/>
      <c r="BS115" s="7"/>
      <c r="BT115" s="7"/>
      <c r="BU115" s="7"/>
      <c r="BV115" s="20" t="s">
        <v>23</v>
      </c>
      <c r="BW115" s="20" t="s">
        <v>28</v>
      </c>
      <c r="BX115" s="20" t="s">
        <v>34</v>
      </c>
      <c r="BY115" s="20" t="s">
        <v>2207</v>
      </c>
      <c r="BZ115" s="20" t="s">
        <v>484</v>
      </c>
      <c r="CA115" s="20" t="s">
        <v>664</v>
      </c>
      <c r="CB115" s="20" t="s">
        <v>2208</v>
      </c>
      <c r="CC115" s="20" t="s">
        <v>2209</v>
      </c>
      <c r="CD115" s="7"/>
      <c r="CE115" s="20" t="s">
        <v>283</v>
      </c>
      <c r="CF115" s="21" t="n">
        <v>9</v>
      </c>
      <c r="CG115" s="7"/>
      <c r="CH115" s="22" t="str">
        <f aca="false">IF(AND(ISNUMBER(BP115),ISNUMBER(AG115),AG115&gt;0),BP115*1000000/AG115,"")</f>
        <v/>
      </c>
      <c r="CI115" s="7"/>
      <c r="CJ115" s="7"/>
      <c r="CK115" s="7"/>
      <c r="CL115" s="7"/>
      <c r="CM115" s="7"/>
      <c r="CN115" s="7"/>
      <c r="CO115" s="7"/>
      <c r="CP115" s="7"/>
      <c r="CQ115" s="7"/>
      <c r="CR115" s="7"/>
      <c r="CS115" s="7"/>
    </row>
    <row r="116" customFormat="false" ht="525.35" hidden="false" customHeight="false" outlineLevel="0" collapsed="false">
      <c r="A116" s="4" t="n">
        <v>115</v>
      </c>
      <c r="B116" s="4" t="s">
        <v>2010</v>
      </c>
      <c r="C116" s="4" t="s">
        <v>60</v>
      </c>
      <c r="D116" s="4" t="s">
        <v>1333</v>
      </c>
      <c r="E116" s="4" t="s">
        <v>2995</v>
      </c>
      <c r="F116" s="4" t="s">
        <v>2996</v>
      </c>
      <c r="G116" s="4" t="s">
        <v>2997</v>
      </c>
      <c r="H116" s="4" t="s">
        <v>2998</v>
      </c>
      <c r="I116" s="4" t="s">
        <v>2999</v>
      </c>
      <c r="J116" s="4" t="s">
        <v>3000</v>
      </c>
      <c r="K116" s="17"/>
      <c r="L116" s="4"/>
      <c r="M116" s="4"/>
      <c r="N116" s="4"/>
      <c r="O116" s="4" t="s">
        <v>780</v>
      </c>
      <c r="P116" s="7"/>
      <c r="Q116" s="7"/>
      <c r="R116" s="23" t="s">
        <v>3001</v>
      </c>
      <c r="S116" s="23" t="s">
        <v>3002</v>
      </c>
      <c r="T116" s="4" t="s">
        <v>2934</v>
      </c>
      <c r="U116" s="4" t="s">
        <v>2568</v>
      </c>
      <c r="V116" s="4" t="s">
        <v>498</v>
      </c>
      <c r="W116" s="4"/>
      <c r="X116" s="4" t="s">
        <v>2569</v>
      </c>
      <c r="Y116" s="4"/>
      <c r="Z116" s="23" t="s">
        <v>3003</v>
      </c>
      <c r="AA116" s="7"/>
      <c r="AB116" s="4"/>
      <c r="AC116" s="4"/>
      <c r="AD116" s="4"/>
      <c r="AE116" s="18" t="s">
        <v>470</v>
      </c>
      <c r="AF116" s="4" t="s">
        <v>471</v>
      </c>
      <c r="AG116" s="4"/>
      <c r="AH116" s="4"/>
      <c r="AI116" s="4" t="s">
        <v>2598</v>
      </c>
      <c r="AJ116" s="4" t="s">
        <v>2599</v>
      </c>
      <c r="AK116" s="4"/>
      <c r="AL116" s="7"/>
      <c r="AM116" s="4"/>
      <c r="AN116" s="4"/>
      <c r="AO116" s="4" t="s">
        <v>2749</v>
      </c>
      <c r="AP116" s="4"/>
      <c r="AQ116" s="7"/>
      <c r="AR116" s="4"/>
      <c r="AS116" s="4"/>
      <c r="AT116" s="4"/>
      <c r="AU116" s="4"/>
      <c r="AV116" s="4" t="s">
        <v>2574</v>
      </c>
      <c r="AW116" s="4" t="s">
        <v>3004</v>
      </c>
      <c r="AX116" s="19"/>
      <c r="AY116" s="19"/>
      <c r="AZ116" s="19"/>
      <c r="BA116" s="19"/>
      <c r="BB116" s="19"/>
      <c r="BC116" s="4" t="s">
        <v>3005</v>
      </c>
      <c r="BD116" s="4" t="s">
        <v>658</v>
      </c>
      <c r="BE116" s="4" t="s">
        <v>659</v>
      </c>
      <c r="BF116" s="4" t="s">
        <v>660</v>
      </c>
      <c r="BG116" s="4" t="s">
        <v>3006</v>
      </c>
      <c r="BH116" s="4" t="s">
        <v>3007</v>
      </c>
      <c r="BI116" s="7"/>
      <c r="BJ116" s="7"/>
      <c r="BK116" s="7"/>
      <c r="BL116" s="7"/>
      <c r="BM116" s="4"/>
      <c r="BN116" s="4"/>
      <c r="BO116" s="7"/>
      <c r="BP116" s="7"/>
      <c r="BQ116" s="7"/>
      <c r="BR116" s="7"/>
      <c r="BS116" s="7"/>
      <c r="BT116" s="7"/>
      <c r="BU116" s="7"/>
      <c r="BV116" s="20" t="s">
        <v>24</v>
      </c>
      <c r="BW116" s="20" t="s">
        <v>31</v>
      </c>
      <c r="BX116" s="20" t="s">
        <v>38</v>
      </c>
      <c r="BY116" s="20" t="s">
        <v>3008</v>
      </c>
      <c r="BZ116" s="20" t="s">
        <v>484</v>
      </c>
      <c r="CA116" s="20" t="s">
        <v>713</v>
      </c>
      <c r="CB116" s="20" t="s">
        <v>3009</v>
      </c>
      <c r="CC116" s="20" t="s">
        <v>3010</v>
      </c>
      <c r="CD116" s="7"/>
      <c r="CE116" s="20" t="s">
        <v>316</v>
      </c>
      <c r="CF116" s="21" t="n">
        <v>12</v>
      </c>
      <c r="CG116" s="20" t="s">
        <v>3011</v>
      </c>
      <c r="CH116" s="22" t="str">
        <f aca="false">IF(AND(ISNUMBER(BP116),ISNUMBER(AG116),AG116&gt;0),BP116*1000000/AG116,"")</f>
        <v/>
      </c>
      <c r="CI116" s="7"/>
      <c r="CJ116" s="7"/>
      <c r="CK116" s="7"/>
      <c r="CL116" s="7"/>
      <c r="CM116" s="7"/>
      <c r="CN116" s="7"/>
      <c r="CO116" s="7"/>
      <c r="CP116" s="7"/>
      <c r="CQ116" s="7"/>
      <c r="CR116" s="7"/>
      <c r="CS116" s="7"/>
    </row>
    <row r="117" customFormat="false" ht="458.2" hidden="false" customHeight="false" outlineLevel="0" collapsed="false">
      <c r="A117" s="4" t="n">
        <v>116</v>
      </c>
      <c r="B117" s="4" t="s">
        <v>2010</v>
      </c>
      <c r="C117" s="4" t="s">
        <v>60</v>
      </c>
      <c r="D117" s="4" t="s">
        <v>1333</v>
      </c>
      <c r="E117" s="4" t="s">
        <v>3012</v>
      </c>
      <c r="F117" s="4" t="s">
        <v>3013</v>
      </c>
      <c r="G117" s="4" t="s">
        <v>3014</v>
      </c>
      <c r="H117" s="4" t="s">
        <v>3015</v>
      </c>
      <c r="I117" s="4" t="s">
        <v>3016</v>
      </c>
      <c r="J117" s="4" t="s">
        <v>3017</v>
      </c>
      <c r="K117" s="25" t="n">
        <v>2.415537</v>
      </c>
      <c r="L117" s="23" t="n">
        <v>2026</v>
      </c>
      <c r="M117" s="23" t="s">
        <v>5</v>
      </c>
      <c r="N117" s="23" t="s">
        <v>2018</v>
      </c>
      <c r="O117" s="23" t="s">
        <v>494</v>
      </c>
      <c r="P117" s="20" t="n">
        <v>2.415537</v>
      </c>
      <c r="Q117" s="7"/>
      <c r="R117" s="23" t="s">
        <v>3018</v>
      </c>
      <c r="S117" s="23" t="s">
        <v>2283</v>
      </c>
      <c r="T117" s="23" t="s">
        <v>3019</v>
      </c>
      <c r="U117" s="4" t="s">
        <v>2568</v>
      </c>
      <c r="V117" s="4" t="s">
        <v>498</v>
      </c>
      <c r="W117" s="4"/>
      <c r="X117" s="4" t="s">
        <v>2569</v>
      </c>
      <c r="Y117" s="4"/>
      <c r="Z117" s="23" t="s">
        <v>3020</v>
      </c>
      <c r="AA117" s="7"/>
      <c r="AB117" s="4"/>
      <c r="AC117" s="4"/>
      <c r="AD117" s="4"/>
      <c r="AE117" s="18" t="s">
        <v>470</v>
      </c>
      <c r="AF117" s="4" t="s">
        <v>471</v>
      </c>
      <c r="AG117" s="4"/>
      <c r="AH117" s="4"/>
      <c r="AI117" s="4" t="s">
        <v>2598</v>
      </c>
      <c r="AJ117" s="4" t="s">
        <v>2599</v>
      </c>
      <c r="AK117" s="4"/>
      <c r="AL117" s="7"/>
      <c r="AM117" s="4"/>
      <c r="AN117" s="4"/>
      <c r="AO117" s="4" t="s">
        <v>2749</v>
      </c>
      <c r="AP117" s="4"/>
      <c r="AQ117" s="7"/>
      <c r="AR117" s="4"/>
      <c r="AS117" s="4"/>
      <c r="AT117" s="4"/>
      <c r="AU117" s="4"/>
      <c r="AV117" s="4" t="s">
        <v>2574</v>
      </c>
      <c r="AW117" s="23" t="s">
        <v>3021</v>
      </c>
      <c r="AX117" s="19"/>
      <c r="AY117" s="19"/>
      <c r="AZ117" s="19"/>
      <c r="BA117" s="19"/>
      <c r="BB117" s="19"/>
      <c r="BC117" s="4" t="s">
        <v>3022</v>
      </c>
      <c r="BD117" s="4" t="s">
        <v>3023</v>
      </c>
      <c r="BE117" s="4" t="s">
        <v>514</v>
      </c>
      <c r="BF117" s="4" t="s">
        <v>515</v>
      </c>
      <c r="BG117" s="4" t="s">
        <v>3024</v>
      </c>
      <c r="BH117" s="4" t="s">
        <v>3025</v>
      </c>
      <c r="BI117" s="7"/>
      <c r="BJ117" s="7"/>
      <c r="BK117" s="7"/>
      <c r="BL117" s="7"/>
      <c r="BM117" s="4"/>
      <c r="BN117" s="23" t="s">
        <v>3026</v>
      </c>
      <c r="BO117" s="7"/>
      <c r="BP117" s="7"/>
      <c r="BQ117" s="7"/>
      <c r="BR117" s="7"/>
      <c r="BS117" s="7"/>
      <c r="BT117" s="7"/>
      <c r="BU117" s="7"/>
      <c r="BV117" s="20" t="s">
        <v>24</v>
      </c>
      <c r="BW117" s="20" t="s">
        <v>30</v>
      </c>
      <c r="BX117" s="20" t="s">
        <v>34</v>
      </c>
      <c r="BY117" s="20" t="s">
        <v>3027</v>
      </c>
      <c r="BZ117" s="20" t="s">
        <v>484</v>
      </c>
      <c r="CA117" s="20" t="s">
        <v>664</v>
      </c>
      <c r="CB117" s="20" t="s">
        <v>3028</v>
      </c>
      <c r="CC117" s="20" t="s">
        <v>2293</v>
      </c>
      <c r="CD117" s="20" t="s">
        <v>2165</v>
      </c>
      <c r="CE117" s="20" t="s">
        <v>172</v>
      </c>
      <c r="CF117" s="21" t="n">
        <v>13</v>
      </c>
      <c r="CG117" s="7"/>
      <c r="CH117" s="22" t="str">
        <f aca="false">IF(AND(ISNUMBER(BP117),ISNUMBER(AG117),AG117&gt;0),BP117*1000000/AG117,"")</f>
        <v/>
      </c>
      <c r="CI117" s="7"/>
      <c r="CJ117" s="7"/>
      <c r="CK117" s="7"/>
      <c r="CL117" s="7"/>
      <c r="CM117" s="7"/>
      <c r="CN117" s="7"/>
      <c r="CO117" s="7"/>
      <c r="CP117" s="7"/>
      <c r="CQ117" s="7"/>
      <c r="CR117" s="7"/>
      <c r="CS117" s="7"/>
    </row>
    <row r="118" customFormat="false" ht="739.55" hidden="false" customHeight="false" outlineLevel="0" collapsed="false">
      <c r="A118" s="4" t="n">
        <v>117</v>
      </c>
      <c r="B118" s="4" t="s">
        <v>2010</v>
      </c>
      <c r="C118" s="4" t="s">
        <v>61</v>
      </c>
      <c r="D118" s="4" t="s">
        <v>1333</v>
      </c>
      <c r="E118" s="4" t="s">
        <v>3029</v>
      </c>
      <c r="F118" s="4" t="s">
        <v>3030</v>
      </c>
      <c r="G118" s="4" t="s">
        <v>3031</v>
      </c>
      <c r="H118" s="4" t="s">
        <v>3032</v>
      </c>
      <c r="I118" s="4" t="s">
        <v>3033</v>
      </c>
      <c r="J118" s="4" t="s">
        <v>3034</v>
      </c>
      <c r="K118" s="17"/>
      <c r="L118" s="4"/>
      <c r="M118" s="4"/>
      <c r="N118" s="4"/>
      <c r="O118" s="4" t="s">
        <v>780</v>
      </c>
      <c r="P118" s="7"/>
      <c r="Q118" s="7"/>
      <c r="R118" s="23" t="s">
        <v>3035</v>
      </c>
      <c r="S118" s="4" t="s">
        <v>2595</v>
      </c>
      <c r="T118" s="23" t="s">
        <v>3036</v>
      </c>
      <c r="U118" s="4" t="s">
        <v>2568</v>
      </c>
      <c r="V118" s="4" t="s">
        <v>2954</v>
      </c>
      <c r="W118" s="4" t="s">
        <v>3037</v>
      </c>
      <c r="X118" s="4" t="s">
        <v>2956</v>
      </c>
      <c r="Y118" s="4" t="s">
        <v>560</v>
      </c>
      <c r="Z118" s="23" t="s">
        <v>3038</v>
      </c>
      <c r="AA118" s="7"/>
      <c r="AB118" s="4"/>
      <c r="AC118" s="4"/>
      <c r="AD118" s="4"/>
      <c r="AE118" s="18" t="s">
        <v>470</v>
      </c>
      <c r="AF118" s="4" t="s">
        <v>471</v>
      </c>
      <c r="AG118" s="4"/>
      <c r="AH118" s="4"/>
      <c r="AI118" s="4" t="s">
        <v>2598</v>
      </c>
      <c r="AJ118" s="4" t="s">
        <v>2599</v>
      </c>
      <c r="AK118" s="4"/>
      <c r="AL118" s="7"/>
      <c r="AM118" s="4"/>
      <c r="AN118" s="4"/>
      <c r="AO118" s="4" t="s">
        <v>2749</v>
      </c>
      <c r="AP118" s="4"/>
      <c r="AQ118" s="7"/>
      <c r="AR118" s="4"/>
      <c r="AS118" s="4"/>
      <c r="AT118" s="4"/>
      <c r="AU118" s="4"/>
      <c r="AV118" s="4" t="s">
        <v>2574</v>
      </c>
      <c r="AW118" s="4" t="s">
        <v>3004</v>
      </c>
      <c r="AX118" s="19"/>
      <c r="AY118" s="19"/>
      <c r="AZ118" s="19"/>
      <c r="BA118" s="19"/>
      <c r="BB118" s="19"/>
      <c r="BC118" s="4" t="s">
        <v>3039</v>
      </c>
      <c r="BD118" s="4" t="s">
        <v>3040</v>
      </c>
      <c r="BE118" s="4" t="s">
        <v>514</v>
      </c>
      <c r="BF118" s="4" t="s">
        <v>515</v>
      </c>
      <c r="BG118" s="4" t="s">
        <v>3041</v>
      </c>
      <c r="BH118" s="4" t="s">
        <v>3042</v>
      </c>
      <c r="BI118" s="7"/>
      <c r="BJ118" s="7"/>
      <c r="BK118" s="7"/>
      <c r="BL118" s="7"/>
      <c r="BM118" s="4"/>
      <c r="BN118" s="23" t="s">
        <v>3043</v>
      </c>
      <c r="BO118" s="7"/>
      <c r="BP118" s="7"/>
      <c r="BQ118" s="7"/>
      <c r="BR118" s="7"/>
      <c r="BS118" s="7"/>
      <c r="BT118" s="7"/>
      <c r="BU118" s="7"/>
      <c r="BV118" s="20" t="s">
        <v>24</v>
      </c>
      <c r="BW118" s="20" t="s">
        <v>30</v>
      </c>
      <c r="BX118" s="20" t="s">
        <v>36</v>
      </c>
      <c r="BY118" s="20" t="s">
        <v>2415</v>
      </c>
      <c r="BZ118" s="20" t="s">
        <v>484</v>
      </c>
      <c r="CA118" s="20" t="s">
        <v>664</v>
      </c>
      <c r="CB118" s="20" t="s">
        <v>2416</v>
      </c>
      <c r="CC118" s="20" t="s">
        <v>2187</v>
      </c>
      <c r="CD118" s="20" t="s">
        <v>2417</v>
      </c>
      <c r="CE118" s="20" t="s">
        <v>214</v>
      </c>
      <c r="CF118" s="21" t="n">
        <v>10</v>
      </c>
      <c r="CG118" s="7"/>
      <c r="CH118" s="22" t="str">
        <f aca="false">IF(AND(ISNUMBER(BP118),ISNUMBER(AG118),AG118&gt;0),BP118*1000000/AG118,"")</f>
        <v/>
      </c>
      <c r="CI118" s="7"/>
      <c r="CJ118" s="7"/>
      <c r="CK118" s="7"/>
      <c r="CL118" s="7"/>
      <c r="CM118" s="7"/>
      <c r="CN118" s="7"/>
      <c r="CO118" s="7"/>
      <c r="CP118" s="7"/>
      <c r="CQ118" s="7"/>
      <c r="CR118" s="7"/>
      <c r="CS118" s="7"/>
    </row>
    <row r="119" customFormat="false" ht="833.55" hidden="false" customHeight="false" outlineLevel="0" collapsed="false">
      <c r="A119" s="4" t="n">
        <v>118</v>
      </c>
      <c r="B119" s="4" t="s">
        <v>2010</v>
      </c>
      <c r="C119" s="4" t="s">
        <v>61</v>
      </c>
      <c r="D119" s="4" t="s">
        <v>1333</v>
      </c>
      <c r="E119" s="4" t="s">
        <v>3044</v>
      </c>
      <c r="F119" s="4" t="s">
        <v>2759</v>
      </c>
      <c r="G119" s="4" t="s">
        <v>3045</v>
      </c>
      <c r="H119" s="4" t="s">
        <v>3046</v>
      </c>
      <c r="I119" s="4" t="s">
        <v>3047</v>
      </c>
      <c r="J119" s="4" t="s">
        <v>3048</v>
      </c>
      <c r="K119" s="17"/>
      <c r="L119" s="4"/>
      <c r="M119" s="4"/>
      <c r="N119" s="4"/>
      <c r="O119" s="4" t="s">
        <v>780</v>
      </c>
      <c r="P119" s="7"/>
      <c r="Q119" s="7"/>
      <c r="R119" s="23" t="s">
        <v>3049</v>
      </c>
      <c r="S119" s="4" t="s">
        <v>2595</v>
      </c>
      <c r="T119" s="23" t="s">
        <v>3050</v>
      </c>
      <c r="U119" s="4" t="s">
        <v>2568</v>
      </c>
      <c r="V119" s="4" t="s">
        <v>498</v>
      </c>
      <c r="W119" s="4"/>
      <c r="X119" s="4" t="s">
        <v>2569</v>
      </c>
      <c r="Y119" s="4"/>
      <c r="Z119" s="23" t="s">
        <v>3051</v>
      </c>
      <c r="AA119" s="7"/>
      <c r="AB119" s="4"/>
      <c r="AC119" s="4"/>
      <c r="AD119" s="4"/>
      <c r="AE119" s="18" t="s">
        <v>470</v>
      </c>
      <c r="AF119" s="4" t="s">
        <v>471</v>
      </c>
      <c r="AG119" s="4"/>
      <c r="AH119" s="4"/>
      <c r="AI119" s="4" t="s">
        <v>2598</v>
      </c>
      <c r="AJ119" s="4" t="s">
        <v>2599</v>
      </c>
      <c r="AK119" s="4"/>
      <c r="AL119" s="7"/>
      <c r="AM119" s="4"/>
      <c r="AN119" s="4"/>
      <c r="AO119" s="4" t="s">
        <v>2749</v>
      </c>
      <c r="AP119" s="4"/>
      <c r="AQ119" s="7"/>
      <c r="AR119" s="4"/>
      <c r="AS119" s="4"/>
      <c r="AT119" s="4"/>
      <c r="AU119" s="4"/>
      <c r="AV119" s="4" t="s">
        <v>2574</v>
      </c>
      <c r="AW119" s="4" t="s">
        <v>3004</v>
      </c>
      <c r="AX119" s="19"/>
      <c r="AY119" s="19"/>
      <c r="AZ119" s="19"/>
      <c r="BA119" s="19"/>
      <c r="BB119" s="19"/>
      <c r="BC119" s="4" t="s">
        <v>3052</v>
      </c>
      <c r="BD119" s="4" t="s">
        <v>3053</v>
      </c>
      <c r="BE119" s="4" t="s">
        <v>514</v>
      </c>
      <c r="BF119" s="4" t="s">
        <v>515</v>
      </c>
      <c r="BG119" s="4" t="s">
        <v>3054</v>
      </c>
      <c r="BH119" s="4" t="s">
        <v>3055</v>
      </c>
      <c r="BI119" s="7"/>
      <c r="BJ119" s="7"/>
      <c r="BK119" s="7"/>
      <c r="BL119" s="7"/>
      <c r="BM119" s="4"/>
      <c r="BN119" s="23" t="s">
        <v>3056</v>
      </c>
      <c r="BO119" s="7"/>
      <c r="BP119" s="7"/>
      <c r="BQ119" s="7"/>
      <c r="BR119" s="7"/>
      <c r="BS119" s="7"/>
      <c r="BT119" s="7"/>
      <c r="BU119" s="7"/>
      <c r="BV119" s="20" t="s">
        <v>24</v>
      </c>
      <c r="BW119" s="20" t="s">
        <v>30</v>
      </c>
      <c r="BX119" s="20" t="s">
        <v>34</v>
      </c>
      <c r="BY119" s="20" t="s">
        <v>2616</v>
      </c>
      <c r="BZ119" s="20" t="s">
        <v>484</v>
      </c>
      <c r="CA119" s="20" t="s">
        <v>664</v>
      </c>
      <c r="CB119" s="20" t="s">
        <v>2617</v>
      </c>
      <c r="CC119" s="20" t="s">
        <v>2618</v>
      </c>
      <c r="CD119" s="20" t="s">
        <v>2619</v>
      </c>
      <c r="CE119" s="20" t="s">
        <v>201</v>
      </c>
      <c r="CF119" s="21" t="n">
        <v>10</v>
      </c>
      <c r="CG119" s="7"/>
      <c r="CH119" s="22" t="str">
        <f aca="false">IF(AND(ISNUMBER(BP119),ISNUMBER(AG119),AG119&gt;0),BP119*1000000/AG119,"")</f>
        <v/>
      </c>
      <c r="CI119" s="7"/>
      <c r="CJ119" s="7"/>
      <c r="CK119" s="7"/>
      <c r="CL119" s="7"/>
      <c r="CM119" s="7"/>
      <c r="CN119" s="7"/>
      <c r="CO119" s="7"/>
      <c r="CP119" s="7"/>
      <c r="CQ119" s="7"/>
      <c r="CR119" s="7"/>
      <c r="CS119" s="7"/>
    </row>
    <row r="120" customFormat="false" ht="471.6" hidden="false" customHeight="false" outlineLevel="0" collapsed="false">
      <c r="A120" s="4" t="n">
        <v>119</v>
      </c>
      <c r="B120" s="4" t="s">
        <v>2010</v>
      </c>
      <c r="C120" s="4" t="s">
        <v>71</v>
      </c>
      <c r="D120" s="4" t="s">
        <v>1333</v>
      </c>
      <c r="E120" s="4" t="s">
        <v>3057</v>
      </c>
      <c r="F120" s="4" t="s">
        <v>2759</v>
      </c>
      <c r="G120" s="4" t="s">
        <v>3058</v>
      </c>
      <c r="H120" s="4" t="s">
        <v>3059</v>
      </c>
      <c r="I120" s="4" t="s">
        <v>3060</v>
      </c>
      <c r="J120" s="4" t="s">
        <v>3061</v>
      </c>
      <c r="K120" s="17"/>
      <c r="L120" s="4"/>
      <c r="M120" s="4"/>
      <c r="N120" s="4"/>
      <c r="O120" s="23" t="s">
        <v>460</v>
      </c>
      <c r="P120" s="7"/>
      <c r="Q120" s="7"/>
      <c r="R120" s="23" t="s">
        <v>3062</v>
      </c>
      <c r="S120" s="4" t="s">
        <v>2595</v>
      </c>
      <c r="T120" s="4" t="s">
        <v>3063</v>
      </c>
      <c r="U120" s="4" t="s">
        <v>3064</v>
      </c>
      <c r="V120" s="4" t="s">
        <v>498</v>
      </c>
      <c r="W120" s="4"/>
      <c r="X120" s="4" t="s">
        <v>2569</v>
      </c>
      <c r="Y120" s="4"/>
      <c r="Z120" s="23" t="s">
        <v>3065</v>
      </c>
      <c r="AA120" s="7"/>
      <c r="AB120" s="4"/>
      <c r="AC120" s="4"/>
      <c r="AD120" s="4"/>
      <c r="AE120" s="18" t="s">
        <v>470</v>
      </c>
      <c r="AF120" s="4" t="s">
        <v>471</v>
      </c>
      <c r="AG120" s="4"/>
      <c r="AH120" s="4"/>
      <c r="AI120" s="4" t="s">
        <v>2598</v>
      </c>
      <c r="AJ120" s="4" t="s">
        <v>2599</v>
      </c>
      <c r="AK120" s="4"/>
      <c r="AL120" s="7"/>
      <c r="AM120" s="4"/>
      <c r="AN120" s="4"/>
      <c r="AO120" s="4" t="s">
        <v>2749</v>
      </c>
      <c r="AP120" s="4"/>
      <c r="AQ120" s="7"/>
      <c r="AR120" s="4"/>
      <c r="AS120" s="4"/>
      <c r="AT120" s="4"/>
      <c r="AU120" s="4"/>
      <c r="AV120" s="4" t="s">
        <v>2574</v>
      </c>
      <c r="AW120" s="23" t="s">
        <v>3066</v>
      </c>
      <c r="AX120" s="19"/>
      <c r="AY120" s="19"/>
      <c r="AZ120" s="19"/>
      <c r="BA120" s="19"/>
      <c r="BB120" s="19"/>
      <c r="BC120" s="4" t="s">
        <v>3067</v>
      </c>
      <c r="BD120" s="4" t="s">
        <v>3068</v>
      </c>
      <c r="BE120" s="4" t="s">
        <v>514</v>
      </c>
      <c r="BF120" s="4" t="s">
        <v>515</v>
      </c>
      <c r="BG120" s="4" t="s">
        <v>3069</v>
      </c>
      <c r="BH120" s="4" t="s">
        <v>3070</v>
      </c>
      <c r="BI120" s="7"/>
      <c r="BJ120" s="7"/>
      <c r="BK120" s="7"/>
      <c r="BL120" s="7"/>
      <c r="BM120" s="4"/>
      <c r="BN120" s="4"/>
      <c r="BO120" s="7"/>
      <c r="BP120" s="7"/>
      <c r="BQ120" s="7"/>
      <c r="BR120" s="7"/>
      <c r="BS120" s="7"/>
      <c r="BT120" s="7"/>
      <c r="BU120" s="7"/>
      <c r="BV120" s="20" t="s">
        <v>26</v>
      </c>
      <c r="BW120" s="20" t="s">
        <v>26</v>
      </c>
      <c r="BX120" s="20" t="s">
        <v>39</v>
      </c>
      <c r="BY120" s="20" t="s">
        <v>3071</v>
      </c>
      <c r="BZ120" s="20" t="s">
        <v>484</v>
      </c>
      <c r="CA120" s="20" t="s">
        <v>485</v>
      </c>
      <c r="CB120" s="20" t="s">
        <v>3072</v>
      </c>
      <c r="CC120" s="7"/>
      <c r="CD120" s="7"/>
      <c r="CE120" s="20" t="s">
        <v>227</v>
      </c>
      <c r="CF120" s="21" t="n">
        <v>11</v>
      </c>
      <c r="CG120" s="7"/>
      <c r="CH120" s="22" t="str">
        <f aca="false">IF(AND(ISNUMBER(BP120),ISNUMBER(AG120),AG120&gt;0),BP120*1000000/AG120,"")</f>
        <v/>
      </c>
      <c r="CI120" s="7"/>
      <c r="CJ120" s="7"/>
      <c r="CK120" s="7"/>
      <c r="CL120" s="7"/>
      <c r="CM120" s="7"/>
      <c r="CN120" s="7"/>
      <c r="CO120" s="7"/>
      <c r="CP120" s="7"/>
      <c r="CQ120" s="7"/>
      <c r="CR120" s="7"/>
      <c r="CS120" s="7"/>
    </row>
    <row r="121" customFormat="false" ht="552.2" hidden="false" customHeight="false" outlineLevel="0" collapsed="false">
      <c r="A121" s="4" t="n">
        <v>120</v>
      </c>
      <c r="B121" s="4" t="s">
        <v>2010</v>
      </c>
      <c r="C121" s="4" t="s">
        <v>68</v>
      </c>
      <c r="D121" s="4" t="s">
        <v>1333</v>
      </c>
      <c r="E121" s="4" t="s">
        <v>3073</v>
      </c>
      <c r="F121" s="4" t="s">
        <v>3074</v>
      </c>
      <c r="G121" s="4" t="s">
        <v>3075</v>
      </c>
      <c r="H121" s="4" t="s">
        <v>3076</v>
      </c>
      <c r="I121" s="4" t="s">
        <v>3077</v>
      </c>
      <c r="J121" s="4" t="s">
        <v>3078</v>
      </c>
      <c r="K121" s="17"/>
      <c r="L121" s="4"/>
      <c r="M121" s="4"/>
      <c r="N121" s="4"/>
      <c r="O121" s="4" t="s">
        <v>780</v>
      </c>
      <c r="P121" s="7"/>
      <c r="Q121" s="7"/>
      <c r="R121" s="23" t="s">
        <v>3079</v>
      </c>
      <c r="S121" s="4" t="s">
        <v>2595</v>
      </c>
      <c r="T121" s="23" t="s">
        <v>3080</v>
      </c>
      <c r="U121" s="23" t="s">
        <v>3081</v>
      </c>
      <c r="V121" s="4" t="s">
        <v>498</v>
      </c>
      <c r="W121" s="4"/>
      <c r="X121" s="4" t="s">
        <v>2569</v>
      </c>
      <c r="Y121" s="4"/>
      <c r="Z121" s="23" t="s">
        <v>3082</v>
      </c>
      <c r="AA121" s="7"/>
      <c r="AB121" s="4"/>
      <c r="AC121" s="4"/>
      <c r="AD121" s="4"/>
      <c r="AE121" s="18" t="s">
        <v>470</v>
      </c>
      <c r="AF121" s="4" t="s">
        <v>471</v>
      </c>
      <c r="AG121" s="4"/>
      <c r="AH121" s="4"/>
      <c r="AI121" s="4" t="s">
        <v>2598</v>
      </c>
      <c r="AJ121" s="4" t="s">
        <v>2599</v>
      </c>
      <c r="AK121" s="4"/>
      <c r="AL121" s="7"/>
      <c r="AM121" s="4"/>
      <c r="AN121" s="4"/>
      <c r="AO121" s="4" t="s">
        <v>2749</v>
      </c>
      <c r="AP121" s="4"/>
      <c r="AQ121" s="7"/>
      <c r="AR121" s="4"/>
      <c r="AS121" s="4"/>
      <c r="AT121" s="4"/>
      <c r="AU121" s="4"/>
      <c r="AV121" s="4" t="s">
        <v>2574</v>
      </c>
      <c r="AW121" s="23" t="s">
        <v>3083</v>
      </c>
      <c r="AX121" s="19"/>
      <c r="AY121" s="19"/>
      <c r="AZ121" s="19"/>
      <c r="BA121" s="19"/>
      <c r="BB121" s="19"/>
      <c r="BC121" s="4" t="s">
        <v>3084</v>
      </c>
      <c r="BD121" s="4" t="s">
        <v>3085</v>
      </c>
      <c r="BE121" s="4" t="s">
        <v>2040</v>
      </c>
      <c r="BF121" s="4" t="s">
        <v>2041</v>
      </c>
      <c r="BG121" s="4" t="s">
        <v>3086</v>
      </c>
      <c r="BH121" s="4" t="s">
        <v>3087</v>
      </c>
      <c r="BI121" s="7"/>
      <c r="BJ121" s="7"/>
      <c r="BK121" s="7"/>
      <c r="BL121" s="7"/>
      <c r="BM121" s="4"/>
      <c r="BN121" s="4"/>
      <c r="BO121" s="7"/>
      <c r="BP121" s="7"/>
      <c r="BQ121" s="7"/>
      <c r="BR121" s="7"/>
      <c r="BS121" s="7"/>
      <c r="BT121" s="7"/>
      <c r="BU121" s="7"/>
      <c r="BV121" s="20" t="s">
        <v>24</v>
      </c>
      <c r="BW121" s="20" t="s">
        <v>30</v>
      </c>
      <c r="BX121" s="20" t="s">
        <v>34</v>
      </c>
      <c r="BY121" s="20" t="s">
        <v>2616</v>
      </c>
      <c r="BZ121" s="20" t="s">
        <v>484</v>
      </c>
      <c r="CA121" s="20" t="s">
        <v>713</v>
      </c>
      <c r="CB121" s="20" t="s">
        <v>2617</v>
      </c>
      <c r="CC121" s="20" t="s">
        <v>2618</v>
      </c>
      <c r="CD121" s="20" t="s">
        <v>2619</v>
      </c>
      <c r="CE121" s="20" t="s">
        <v>201</v>
      </c>
      <c r="CF121" s="21" t="n">
        <v>10</v>
      </c>
      <c r="CG121" s="7"/>
      <c r="CH121" s="22" t="str">
        <f aca="false">IF(AND(ISNUMBER(BP121),ISNUMBER(AG121),AG121&gt;0),BP121*1000000/AG121,"")</f>
        <v/>
      </c>
      <c r="CI121" s="7"/>
      <c r="CJ121" s="7"/>
      <c r="CK121" s="7"/>
      <c r="CL121" s="7"/>
      <c r="CM121" s="7"/>
      <c r="CN121" s="7"/>
      <c r="CO121" s="7"/>
      <c r="CP121" s="7"/>
      <c r="CQ121" s="7"/>
      <c r="CR121" s="7"/>
      <c r="CS121" s="7"/>
    </row>
    <row r="122" customFormat="false" ht="417.9" hidden="false" customHeight="false" outlineLevel="0" collapsed="false">
      <c r="A122" s="4" t="n">
        <v>121</v>
      </c>
      <c r="B122" s="4" t="s">
        <v>2010</v>
      </c>
      <c r="C122" s="4" t="s">
        <v>66</v>
      </c>
      <c r="D122" s="4" t="s">
        <v>547</v>
      </c>
      <c r="E122" s="4" t="s">
        <v>3088</v>
      </c>
      <c r="F122" s="4" t="s">
        <v>3089</v>
      </c>
      <c r="G122" s="4" t="s">
        <v>3090</v>
      </c>
      <c r="H122" s="4" t="s">
        <v>3091</v>
      </c>
      <c r="I122" s="4" t="s">
        <v>3092</v>
      </c>
      <c r="J122" s="4" t="s">
        <v>3093</v>
      </c>
      <c r="K122" s="25" t="n">
        <v>40.736947</v>
      </c>
      <c r="L122" s="23" t="n">
        <v>2026</v>
      </c>
      <c r="M122" s="23" t="s">
        <v>6</v>
      </c>
      <c r="N122" s="23" t="s">
        <v>2018</v>
      </c>
      <c r="O122" s="23" t="s">
        <v>494</v>
      </c>
      <c r="P122" s="20" t="n">
        <v>40.736947</v>
      </c>
      <c r="Q122" s="7"/>
      <c r="R122" s="23" t="s">
        <v>3094</v>
      </c>
      <c r="S122" s="23" t="s">
        <v>3095</v>
      </c>
      <c r="T122" s="23" t="s">
        <v>3096</v>
      </c>
      <c r="U122" s="4" t="s">
        <v>2568</v>
      </c>
      <c r="V122" s="4" t="s">
        <v>498</v>
      </c>
      <c r="W122" s="4"/>
      <c r="X122" s="4" t="s">
        <v>2569</v>
      </c>
      <c r="Y122" s="4"/>
      <c r="Z122" s="23" t="s">
        <v>3097</v>
      </c>
      <c r="AA122" s="7"/>
      <c r="AB122" s="4"/>
      <c r="AC122" s="4"/>
      <c r="AD122" s="4"/>
      <c r="AE122" s="18" t="s">
        <v>470</v>
      </c>
      <c r="AF122" s="4" t="s">
        <v>471</v>
      </c>
      <c r="AG122" s="4"/>
      <c r="AH122" s="4"/>
      <c r="AI122" s="4" t="s">
        <v>2598</v>
      </c>
      <c r="AJ122" s="4" t="s">
        <v>2599</v>
      </c>
      <c r="AK122" s="4"/>
      <c r="AL122" s="20" t="n">
        <v>15.596939</v>
      </c>
      <c r="AM122" s="23" t="n">
        <v>2026</v>
      </c>
      <c r="AN122" s="23" t="s">
        <v>3098</v>
      </c>
      <c r="AO122" s="23" t="s">
        <v>506</v>
      </c>
      <c r="AP122" s="23" t="s">
        <v>2409</v>
      </c>
      <c r="AQ122" s="7"/>
      <c r="AR122" s="4"/>
      <c r="AS122" s="4"/>
      <c r="AT122" s="4"/>
      <c r="AU122" s="4"/>
      <c r="AV122" s="4" t="s">
        <v>2574</v>
      </c>
      <c r="AW122" s="23" t="s">
        <v>2375</v>
      </c>
      <c r="AX122" s="19"/>
      <c r="AY122" s="19"/>
      <c r="AZ122" s="19"/>
      <c r="BA122" s="19"/>
      <c r="BB122" s="24" t="s">
        <v>3099</v>
      </c>
      <c r="BC122" s="4" t="s">
        <v>3100</v>
      </c>
      <c r="BD122" s="4" t="s">
        <v>3101</v>
      </c>
      <c r="BE122" s="4" t="s">
        <v>514</v>
      </c>
      <c r="BF122" s="4" t="s">
        <v>515</v>
      </c>
      <c r="BG122" s="4" t="s">
        <v>3102</v>
      </c>
      <c r="BH122" s="4" t="s">
        <v>3103</v>
      </c>
      <c r="BI122" s="7"/>
      <c r="BJ122" s="7"/>
      <c r="BK122" s="7"/>
      <c r="BL122" s="7"/>
      <c r="BM122" s="4"/>
      <c r="BN122" s="4"/>
      <c r="BO122" s="7"/>
      <c r="BP122" s="7"/>
      <c r="BQ122" s="7"/>
      <c r="BR122" s="7"/>
      <c r="BS122" s="7"/>
      <c r="BT122" s="7"/>
      <c r="BU122" s="7"/>
      <c r="BV122" s="20" t="s">
        <v>23</v>
      </c>
      <c r="BW122" s="20" t="s">
        <v>28</v>
      </c>
      <c r="BX122" s="20" t="s">
        <v>35</v>
      </c>
      <c r="BY122" s="7"/>
      <c r="BZ122" s="20" t="s">
        <v>484</v>
      </c>
      <c r="CA122" s="20" t="s">
        <v>664</v>
      </c>
      <c r="CB122" s="20" t="s">
        <v>3104</v>
      </c>
      <c r="CC122" s="20" t="s">
        <v>3105</v>
      </c>
      <c r="CD122" s="7"/>
      <c r="CE122" s="20" t="s">
        <v>3106</v>
      </c>
      <c r="CF122" s="7"/>
      <c r="CG122" s="7"/>
      <c r="CH122" s="22" t="str">
        <f aca="false">IF(AND(ISNUMBER(BP122),ISNUMBER(AG122),AG122&gt;0),BP122*1000000/AG122,"")</f>
        <v/>
      </c>
      <c r="CI122" s="7"/>
      <c r="CJ122" s="7"/>
      <c r="CK122" s="7"/>
      <c r="CL122" s="7"/>
      <c r="CM122" s="7"/>
      <c r="CN122" s="7"/>
      <c r="CO122" s="7"/>
      <c r="CP122" s="7"/>
      <c r="CQ122" s="7"/>
      <c r="CR122" s="7"/>
      <c r="CS122" s="7"/>
    </row>
    <row r="123" customFormat="false" ht="914.15" hidden="false" customHeight="false" outlineLevel="0" collapsed="false">
      <c r="A123" s="4" t="n">
        <v>122</v>
      </c>
      <c r="B123" s="4" t="s">
        <v>2010</v>
      </c>
      <c r="C123" s="4" t="s">
        <v>65</v>
      </c>
      <c r="D123" s="4" t="s">
        <v>1333</v>
      </c>
      <c r="E123" s="4" t="s">
        <v>3107</v>
      </c>
      <c r="F123" s="4" t="s">
        <v>3108</v>
      </c>
      <c r="G123" s="4" t="s">
        <v>3109</v>
      </c>
      <c r="H123" s="4" t="s">
        <v>3110</v>
      </c>
      <c r="I123" s="4" t="s">
        <v>3111</v>
      </c>
      <c r="J123" s="4" t="s">
        <v>3112</v>
      </c>
      <c r="K123" s="17"/>
      <c r="L123" s="4"/>
      <c r="M123" s="4"/>
      <c r="N123" s="4"/>
      <c r="O123" s="4" t="s">
        <v>780</v>
      </c>
      <c r="P123" s="7"/>
      <c r="Q123" s="7"/>
      <c r="R123" s="23" t="s">
        <v>3113</v>
      </c>
      <c r="S123" s="4" t="s">
        <v>3114</v>
      </c>
      <c r="T123" s="23" t="s">
        <v>3115</v>
      </c>
      <c r="U123" s="4" t="s">
        <v>3116</v>
      </c>
      <c r="V123" s="4" t="s">
        <v>498</v>
      </c>
      <c r="W123" s="4"/>
      <c r="X123" s="4" t="s">
        <v>2569</v>
      </c>
      <c r="Y123" s="4"/>
      <c r="Z123" s="23" t="s">
        <v>3117</v>
      </c>
      <c r="AA123" s="7"/>
      <c r="AB123" s="4"/>
      <c r="AC123" s="4"/>
      <c r="AD123" s="4"/>
      <c r="AE123" s="18" t="s">
        <v>470</v>
      </c>
      <c r="AF123" s="4" t="s">
        <v>471</v>
      </c>
      <c r="AG123" s="4"/>
      <c r="AH123" s="4"/>
      <c r="AI123" s="4" t="s">
        <v>2598</v>
      </c>
      <c r="AJ123" s="4" t="s">
        <v>2599</v>
      </c>
      <c r="AK123" s="4"/>
      <c r="AL123" s="7"/>
      <c r="AM123" s="4"/>
      <c r="AN123" s="4"/>
      <c r="AO123" s="4" t="s">
        <v>2749</v>
      </c>
      <c r="AP123" s="4"/>
      <c r="AQ123" s="7"/>
      <c r="AR123" s="4"/>
      <c r="AS123" s="4"/>
      <c r="AT123" s="4"/>
      <c r="AU123" s="4"/>
      <c r="AV123" s="4" t="s">
        <v>2574</v>
      </c>
      <c r="AW123" s="23" t="s">
        <v>3118</v>
      </c>
      <c r="AX123" s="19"/>
      <c r="AY123" s="19"/>
      <c r="AZ123" s="19"/>
      <c r="BA123" s="19"/>
      <c r="BB123" s="24" t="s">
        <v>3119</v>
      </c>
      <c r="BC123" s="4" t="s">
        <v>3120</v>
      </c>
      <c r="BD123" s="4" t="s">
        <v>3121</v>
      </c>
      <c r="BE123" s="4" t="s">
        <v>514</v>
      </c>
      <c r="BF123" s="4" t="s">
        <v>515</v>
      </c>
      <c r="BG123" s="4" t="s">
        <v>3122</v>
      </c>
      <c r="BH123" s="4" t="s">
        <v>3123</v>
      </c>
      <c r="BI123" s="7"/>
      <c r="BJ123" s="7"/>
      <c r="BK123" s="7"/>
      <c r="BL123" s="7"/>
      <c r="BM123" s="4"/>
      <c r="BN123" s="4"/>
      <c r="BO123" s="7"/>
      <c r="BP123" s="7"/>
      <c r="BQ123" s="7"/>
      <c r="BR123" s="7"/>
      <c r="BS123" s="7"/>
      <c r="BT123" s="7"/>
      <c r="BU123" s="7"/>
      <c r="BV123" s="20" t="s">
        <v>24</v>
      </c>
      <c r="BW123" s="20" t="s">
        <v>30</v>
      </c>
      <c r="BX123" s="20" t="s">
        <v>36</v>
      </c>
      <c r="BY123" s="20" t="s">
        <v>3124</v>
      </c>
      <c r="BZ123" s="20" t="s">
        <v>484</v>
      </c>
      <c r="CA123" s="20" t="s">
        <v>664</v>
      </c>
      <c r="CB123" s="20" t="s">
        <v>3125</v>
      </c>
      <c r="CC123" s="20" t="s">
        <v>2187</v>
      </c>
      <c r="CD123" s="20" t="s">
        <v>3126</v>
      </c>
      <c r="CE123" s="20" t="s">
        <v>227</v>
      </c>
      <c r="CF123" s="21" t="n">
        <v>11</v>
      </c>
      <c r="CG123" s="7"/>
      <c r="CH123" s="22" t="str">
        <f aca="false">IF(AND(ISNUMBER(BP123),ISNUMBER(AG123),AG123&gt;0),BP123*1000000/AG123,"")</f>
        <v/>
      </c>
      <c r="CI123" s="7"/>
      <c r="CJ123" s="7"/>
      <c r="CK123" s="7"/>
      <c r="CL123" s="7"/>
      <c r="CM123" s="7"/>
      <c r="CN123" s="7"/>
      <c r="CO123" s="7"/>
      <c r="CP123" s="7"/>
      <c r="CQ123" s="7"/>
      <c r="CR123" s="7"/>
      <c r="CS123" s="7"/>
    </row>
    <row r="124" customFormat="false" ht="646.25" hidden="false" customHeight="false" outlineLevel="0" collapsed="false">
      <c r="A124" s="4" t="n">
        <v>123</v>
      </c>
      <c r="B124" s="4" t="s">
        <v>2010</v>
      </c>
      <c r="C124" s="4" t="s">
        <v>60</v>
      </c>
      <c r="D124" s="4" t="s">
        <v>1333</v>
      </c>
      <c r="E124" s="4" t="s">
        <v>3127</v>
      </c>
      <c r="F124" s="4" t="s">
        <v>3128</v>
      </c>
      <c r="G124" s="4" t="s">
        <v>3129</v>
      </c>
      <c r="H124" s="4" t="s">
        <v>3130</v>
      </c>
      <c r="I124" s="4" t="s">
        <v>3131</v>
      </c>
      <c r="J124" s="4" t="s">
        <v>3132</v>
      </c>
      <c r="K124" s="17"/>
      <c r="L124" s="4"/>
      <c r="M124" s="4"/>
      <c r="N124" s="4"/>
      <c r="O124" s="23" t="s">
        <v>643</v>
      </c>
      <c r="P124" s="7"/>
      <c r="Q124" s="7"/>
      <c r="R124" s="23" t="s">
        <v>3133</v>
      </c>
      <c r="S124" s="4" t="s">
        <v>3114</v>
      </c>
      <c r="T124" s="4" t="s">
        <v>3134</v>
      </c>
      <c r="U124" s="4" t="s">
        <v>3116</v>
      </c>
      <c r="V124" s="4" t="s">
        <v>3135</v>
      </c>
      <c r="W124" s="4" t="s">
        <v>3136</v>
      </c>
      <c r="X124" s="4" t="s">
        <v>3137</v>
      </c>
      <c r="Y124" s="4" t="s">
        <v>763</v>
      </c>
      <c r="Z124" s="23" t="s">
        <v>3138</v>
      </c>
      <c r="AA124" s="7"/>
      <c r="AB124" s="4"/>
      <c r="AC124" s="4"/>
      <c r="AD124" s="4"/>
      <c r="AE124" s="18" t="s">
        <v>470</v>
      </c>
      <c r="AF124" s="4" t="s">
        <v>471</v>
      </c>
      <c r="AG124" s="4"/>
      <c r="AH124" s="4"/>
      <c r="AI124" s="4" t="s">
        <v>2598</v>
      </c>
      <c r="AJ124" s="23" t="s">
        <v>3139</v>
      </c>
      <c r="AK124" s="4"/>
      <c r="AL124" s="7"/>
      <c r="AM124" s="4"/>
      <c r="AN124" s="4"/>
      <c r="AO124" s="23" t="s">
        <v>3140</v>
      </c>
      <c r="AP124" s="4"/>
      <c r="AQ124" s="7"/>
      <c r="AR124" s="4"/>
      <c r="AS124" s="4"/>
      <c r="AT124" s="4"/>
      <c r="AU124" s="4"/>
      <c r="AV124" s="23" t="s">
        <v>3141</v>
      </c>
      <c r="AW124" s="23" t="s">
        <v>3142</v>
      </c>
      <c r="AX124" s="19"/>
      <c r="AY124" s="19"/>
      <c r="AZ124" s="19"/>
      <c r="BA124" s="19"/>
      <c r="BB124" s="24" t="s">
        <v>3143</v>
      </c>
      <c r="BC124" s="4" t="s">
        <v>3144</v>
      </c>
      <c r="BD124" s="4" t="s">
        <v>658</v>
      </c>
      <c r="BE124" s="4" t="s">
        <v>659</v>
      </c>
      <c r="BF124" s="4" t="s">
        <v>660</v>
      </c>
      <c r="BG124" s="4" t="s">
        <v>3145</v>
      </c>
      <c r="BH124" s="4" t="s">
        <v>3146</v>
      </c>
      <c r="BI124" s="7"/>
      <c r="BJ124" s="7"/>
      <c r="BK124" s="7"/>
      <c r="BL124" s="7"/>
      <c r="BM124" s="4"/>
      <c r="BN124" s="4"/>
      <c r="BO124" s="7"/>
      <c r="BP124" s="7"/>
      <c r="BQ124" s="7"/>
      <c r="BR124" s="7"/>
      <c r="BS124" s="7"/>
      <c r="BT124" s="7"/>
      <c r="BU124" s="7"/>
      <c r="BV124" s="20" t="s">
        <v>24</v>
      </c>
      <c r="BW124" s="20" t="s">
        <v>31</v>
      </c>
      <c r="BX124" s="20" t="s">
        <v>38</v>
      </c>
      <c r="BY124" s="20" t="s">
        <v>3147</v>
      </c>
      <c r="BZ124" s="20" t="s">
        <v>484</v>
      </c>
      <c r="CA124" s="20" t="s">
        <v>713</v>
      </c>
      <c r="CB124" s="20" t="s">
        <v>2163</v>
      </c>
      <c r="CC124" s="20" t="s">
        <v>2164</v>
      </c>
      <c r="CD124" s="20" t="s">
        <v>2165</v>
      </c>
      <c r="CE124" s="20" t="s">
        <v>332</v>
      </c>
      <c r="CF124" s="21" t="n">
        <v>11</v>
      </c>
      <c r="CG124" s="20" t="s">
        <v>3148</v>
      </c>
      <c r="CH124" s="22" t="str">
        <f aca="false">IF(AND(ISNUMBER(BP124),ISNUMBER(AG124),AG124&gt;0),BP124*1000000/AG124,"")</f>
        <v/>
      </c>
      <c r="CI124" s="7"/>
      <c r="CJ124" s="7"/>
      <c r="CK124" s="7"/>
      <c r="CL124" s="7"/>
      <c r="CM124" s="7"/>
      <c r="CN124" s="7"/>
      <c r="CO124" s="7"/>
      <c r="CP124" s="7"/>
      <c r="CQ124" s="7"/>
      <c r="CR124" s="7"/>
      <c r="CS124" s="7"/>
    </row>
    <row r="125" customFormat="false" ht="619.4" hidden="false" customHeight="false" outlineLevel="0" collapsed="false">
      <c r="A125" s="4" t="n">
        <v>124</v>
      </c>
      <c r="B125" s="4" t="s">
        <v>2010</v>
      </c>
      <c r="C125" s="4" t="s">
        <v>58</v>
      </c>
      <c r="D125" s="4" t="s">
        <v>1333</v>
      </c>
      <c r="E125" s="4" t="s">
        <v>3149</v>
      </c>
      <c r="F125" s="4" t="s">
        <v>3150</v>
      </c>
      <c r="G125" s="4" t="s">
        <v>3151</v>
      </c>
      <c r="H125" s="4" t="s">
        <v>3152</v>
      </c>
      <c r="I125" s="4" t="s">
        <v>3153</v>
      </c>
      <c r="J125" s="4" t="s">
        <v>3154</v>
      </c>
      <c r="K125" s="17" t="n">
        <v>50.694693</v>
      </c>
      <c r="L125" s="4" t="n">
        <v>2026</v>
      </c>
      <c r="M125" s="4" t="s">
        <v>6</v>
      </c>
      <c r="N125" s="23" t="s">
        <v>3155</v>
      </c>
      <c r="O125" s="4" t="s">
        <v>494</v>
      </c>
      <c r="P125" s="7" t="n">
        <v>50.694693</v>
      </c>
      <c r="Q125" s="7"/>
      <c r="R125" s="23" t="s">
        <v>3156</v>
      </c>
      <c r="S125" s="23" t="s">
        <v>3157</v>
      </c>
      <c r="T125" s="4" t="s">
        <v>3158</v>
      </c>
      <c r="U125" s="4" t="s">
        <v>3159</v>
      </c>
      <c r="V125" s="4" t="s">
        <v>3160</v>
      </c>
      <c r="W125" s="4"/>
      <c r="X125" s="4" t="s">
        <v>3161</v>
      </c>
      <c r="Y125" s="4" t="s">
        <v>3162</v>
      </c>
      <c r="Z125" s="23" t="s">
        <v>3163</v>
      </c>
      <c r="AA125" s="7"/>
      <c r="AB125" s="4"/>
      <c r="AC125" s="4"/>
      <c r="AD125" s="4"/>
      <c r="AE125" s="4" t="s">
        <v>2936</v>
      </c>
      <c r="AF125" s="4" t="s">
        <v>471</v>
      </c>
      <c r="AG125" s="4"/>
      <c r="AH125" s="4"/>
      <c r="AI125" s="4"/>
      <c r="AJ125" s="4"/>
      <c r="AK125" s="4"/>
      <c r="AL125" s="7" t="n">
        <v>22.553642</v>
      </c>
      <c r="AM125" s="4" t="n">
        <v>2026</v>
      </c>
      <c r="AN125" s="23" t="s">
        <v>3164</v>
      </c>
      <c r="AO125" s="4" t="s">
        <v>3165</v>
      </c>
      <c r="AP125" s="4" t="s">
        <v>2936</v>
      </c>
      <c r="AQ125" s="7"/>
      <c r="AR125" s="4"/>
      <c r="AS125" s="4"/>
      <c r="AT125" s="4"/>
      <c r="AU125" s="4"/>
      <c r="AV125" s="4"/>
      <c r="AW125" s="23" t="s">
        <v>3166</v>
      </c>
      <c r="AX125" s="19"/>
      <c r="AY125" s="19"/>
      <c r="AZ125" s="19"/>
      <c r="BA125" s="19"/>
      <c r="BB125" s="19" t="s">
        <v>3167</v>
      </c>
      <c r="BC125" s="4" t="s">
        <v>3168</v>
      </c>
      <c r="BD125" s="4" t="s">
        <v>3169</v>
      </c>
      <c r="BE125" s="4" t="s">
        <v>3170</v>
      </c>
      <c r="BF125" s="4" t="s">
        <v>3171</v>
      </c>
      <c r="BG125" s="4" t="s">
        <v>3172</v>
      </c>
      <c r="BH125" s="4" t="s">
        <v>3162</v>
      </c>
      <c r="BI125" s="7"/>
      <c r="BJ125" s="7"/>
      <c r="BK125" s="7"/>
      <c r="BL125" s="7"/>
      <c r="BM125" s="4"/>
      <c r="BN125" s="4"/>
      <c r="BO125" s="7"/>
      <c r="BP125" s="7"/>
      <c r="BQ125" s="7"/>
      <c r="BR125" s="7"/>
      <c r="BS125" s="7"/>
      <c r="BT125" s="7"/>
      <c r="BU125" s="7"/>
      <c r="BV125" s="20" t="s">
        <v>24</v>
      </c>
      <c r="BW125" s="20" t="s">
        <v>30</v>
      </c>
      <c r="BX125" s="20" t="s">
        <v>34</v>
      </c>
      <c r="BY125" s="20" t="s">
        <v>2616</v>
      </c>
      <c r="BZ125" s="20" t="s">
        <v>484</v>
      </c>
      <c r="CA125" s="20" t="s">
        <v>664</v>
      </c>
      <c r="CB125" s="20" t="s">
        <v>2617</v>
      </c>
      <c r="CC125" s="20" t="s">
        <v>2618</v>
      </c>
      <c r="CD125" s="20" t="s">
        <v>2619</v>
      </c>
      <c r="CE125" s="20" t="s">
        <v>201</v>
      </c>
      <c r="CF125" s="21" t="n">
        <v>10</v>
      </c>
      <c r="CG125" s="7"/>
      <c r="CH125" s="22" t="str">
        <f aca="false">IF(AND(ISNUMBER(BP125),ISNUMBER(AG125),AG125&gt;0),BP125*1000000/AG125,"")</f>
        <v/>
      </c>
      <c r="CI125" s="7"/>
      <c r="CJ125" s="7"/>
      <c r="CK125" s="7"/>
      <c r="CL125" s="7"/>
      <c r="CM125" s="7"/>
      <c r="CN125" s="7"/>
      <c r="CO125" s="7"/>
      <c r="CP125" s="7"/>
      <c r="CQ125" s="7"/>
      <c r="CR125" s="7"/>
      <c r="CS125" s="7"/>
    </row>
    <row r="126" customFormat="false" ht="820.1" hidden="false" customHeight="false" outlineLevel="0" collapsed="false">
      <c r="A126" s="4" t="n">
        <v>125</v>
      </c>
      <c r="B126" s="4" t="s">
        <v>2010</v>
      </c>
      <c r="C126" s="4" t="s">
        <v>58</v>
      </c>
      <c r="D126" s="4" t="s">
        <v>1333</v>
      </c>
      <c r="E126" s="4" t="s">
        <v>3173</v>
      </c>
      <c r="F126" s="4" t="s">
        <v>3174</v>
      </c>
      <c r="G126" s="4" t="s">
        <v>1759</v>
      </c>
      <c r="H126" s="4" t="s">
        <v>3175</v>
      </c>
      <c r="I126" s="4" t="s">
        <v>3176</v>
      </c>
      <c r="J126" s="4" t="s">
        <v>3177</v>
      </c>
      <c r="K126" s="25" t="n">
        <v>28.341617</v>
      </c>
      <c r="L126" s="23" t="n">
        <v>2026</v>
      </c>
      <c r="M126" s="4" t="s">
        <v>6</v>
      </c>
      <c r="N126" s="23" t="s">
        <v>3178</v>
      </c>
      <c r="O126" s="23" t="s">
        <v>494</v>
      </c>
      <c r="P126" s="20" t="n">
        <v>28.341617</v>
      </c>
      <c r="Q126" s="7"/>
      <c r="R126" s="23" t="s">
        <v>3179</v>
      </c>
      <c r="S126" s="23" t="s">
        <v>3180</v>
      </c>
      <c r="T126" s="23" t="s">
        <v>3181</v>
      </c>
      <c r="U126" s="23" t="s">
        <v>3182</v>
      </c>
      <c r="V126" s="4" t="s">
        <v>3183</v>
      </c>
      <c r="W126" s="4" t="s">
        <v>3184</v>
      </c>
      <c r="X126" s="4" t="s">
        <v>3185</v>
      </c>
      <c r="Y126" s="4" t="s">
        <v>3186</v>
      </c>
      <c r="Z126" s="23" t="s">
        <v>3187</v>
      </c>
      <c r="AA126" s="7"/>
      <c r="AB126" s="4"/>
      <c r="AC126" s="4"/>
      <c r="AD126" s="4"/>
      <c r="AE126" s="4" t="s">
        <v>3188</v>
      </c>
      <c r="AF126" s="4" t="s">
        <v>471</v>
      </c>
      <c r="AG126" s="4"/>
      <c r="AH126" s="4"/>
      <c r="AI126" s="4"/>
      <c r="AJ126" s="4"/>
      <c r="AK126" s="4"/>
      <c r="AL126" s="20" t="n">
        <v>1.221805</v>
      </c>
      <c r="AM126" s="23" t="n">
        <v>2026</v>
      </c>
      <c r="AN126" s="23" t="s">
        <v>3189</v>
      </c>
      <c r="AO126" s="23" t="s">
        <v>3190</v>
      </c>
      <c r="AP126" s="23" t="s">
        <v>3191</v>
      </c>
      <c r="AQ126" s="7"/>
      <c r="AR126" s="4"/>
      <c r="AS126" s="4"/>
      <c r="AT126" s="4"/>
      <c r="AU126" s="4"/>
      <c r="AV126" s="4"/>
      <c r="AW126" s="23" t="s">
        <v>3192</v>
      </c>
      <c r="AX126" s="19"/>
      <c r="AY126" s="19"/>
      <c r="AZ126" s="19"/>
      <c r="BA126" s="19"/>
      <c r="BB126" s="19"/>
      <c r="BC126" s="4" t="s">
        <v>3193</v>
      </c>
      <c r="BD126" s="4" t="s">
        <v>3194</v>
      </c>
      <c r="BE126" s="4" t="s">
        <v>3195</v>
      </c>
      <c r="BF126" s="4" t="s">
        <v>3196</v>
      </c>
      <c r="BG126" s="4" t="s">
        <v>3197</v>
      </c>
      <c r="BH126" s="4" t="s">
        <v>3198</v>
      </c>
      <c r="BI126" s="7"/>
      <c r="BJ126" s="7"/>
      <c r="BK126" s="7"/>
      <c r="BL126" s="7"/>
      <c r="BM126" s="4"/>
      <c r="BN126" s="23" t="s">
        <v>3199</v>
      </c>
      <c r="BO126" s="7"/>
      <c r="BP126" s="7"/>
      <c r="BQ126" s="7"/>
      <c r="BR126" s="7"/>
      <c r="BS126" s="7"/>
      <c r="BT126" s="7"/>
      <c r="BU126" s="7"/>
      <c r="BV126" s="20" t="s">
        <v>24</v>
      </c>
      <c r="BW126" s="20" t="s">
        <v>30</v>
      </c>
      <c r="BX126" s="20" t="s">
        <v>36</v>
      </c>
      <c r="BY126" s="20" t="s">
        <v>3124</v>
      </c>
      <c r="BZ126" s="20" t="s">
        <v>484</v>
      </c>
      <c r="CA126" s="20" t="s">
        <v>664</v>
      </c>
      <c r="CB126" s="20" t="s">
        <v>3125</v>
      </c>
      <c r="CC126" s="20" t="s">
        <v>2187</v>
      </c>
      <c r="CD126" s="20" t="s">
        <v>3126</v>
      </c>
      <c r="CE126" s="20" t="s">
        <v>227</v>
      </c>
      <c r="CF126" s="21" t="n">
        <v>11</v>
      </c>
      <c r="CG126" s="7"/>
      <c r="CH126" s="22" t="str">
        <f aca="false">IF(AND(ISNUMBER(BP126),ISNUMBER(AG126),AG126&gt;0),BP126*1000000/AG126,"")</f>
        <v/>
      </c>
      <c r="CI126" s="7"/>
      <c r="CJ126" s="7"/>
      <c r="CK126" s="7"/>
      <c r="CL126" s="7"/>
      <c r="CM126" s="7"/>
      <c r="CN126" s="7"/>
      <c r="CO126" s="7"/>
      <c r="CP126" s="7"/>
      <c r="CQ126" s="7"/>
      <c r="CR126" s="7"/>
      <c r="CS126" s="7"/>
    </row>
    <row r="127" customFormat="false" ht="712.65" hidden="false" customHeight="false" outlineLevel="0" collapsed="false">
      <c r="A127" s="14" t="n">
        <v>126</v>
      </c>
      <c r="B127" s="14" t="s">
        <v>451</v>
      </c>
      <c r="C127" s="14" t="s">
        <v>452</v>
      </c>
      <c r="D127" s="14" t="s">
        <v>453</v>
      </c>
      <c r="E127" s="14" t="s">
        <v>3200</v>
      </c>
      <c r="F127" s="14" t="s">
        <v>3201</v>
      </c>
      <c r="G127" s="14" t="s">
        <v>3202</v>
      </c>
      <c r="H127" s="14" t="s">
        <v>3203</v>
      </c>
      <c r="I127" s="14" t="s">
        <v>3204</v>
      </c>
      <c r="J127" s="14" t="s">
        <v>3205</v>
      </c>
      <c r="K127" s="17"/>
      <c r="L127" s="4"/>
      <c r="M127" s="4"/>
      <c r="N127" s="4"/>
      <c r="O127" s="14" t="s">
        <v>643</v>
      </c>
      <c r="P127" s="7"/>
      <c r="Q127" s="7"/>
      <c r="R127" s="14" t="s">
        <v>3206</v>
      </c>
      <c r="S127" s="14" t="s">
        <v>3207</v>
      </c>
      <c r="T127" s="14" t="s">
        <v>3208</v>
      </c>
      <c r="U127" s="14" t="s">
        <v>3209</v>
      </c>
      <c r="V127" s="14" t="s">
        <v>498</v>
      </c>
      <c r="W127" s="4"/>
      <c r="X127" s="14" t="s">
        <v>3210</v>
      </c>
      <c r="Y127" s="4"/>
      <c r="Z127" s="14" t="s">
        <v>3211</v>
      </c>
      <c r="AA127" s="7"/>
      <c r="AB127" s="4"/>
      <c r="AC127" s="4"/>
      <c r="AD127" s="4"/>
      <c r="AE127" s="26" t="s">
        <v>470</v>
      </c>
      <c r="AF127" s="14" t="s">
        <v>3212</v>
      </c>
      <c r="AG127" s="4"/>
      <c r="AH127" s="4"/>
      <c r="AI127" s="14" t="s">
        <v>472</v>
      </c>
      <c r="AJ127" s="14" t="s">
        <v>3213</v>
      </c>
      <c r="AK127" s="4"/>
      <c r="AL127" s="7"/>
      <c r="AM127" s="4"/>
      <c r="AN127" s="4"/>
      <c r="AO127" s="14" t="s">
        <v>3214</v>
      </c>
      <c r="AP127" s="4"/>
      <c r="AQ127" s="7"/>
      <c r="AR127" s="4"/>
      <c r="AS127" s="4"/>
      <c r="AT127" s="4"/>
      <c r="AU127" s="4"/>
      <c r="AV127" s="14" t="s">
        <v>3215</v>
      </c>
      <c r="AW127" s="14" t="s">
        <v>3216</v>
      </c>
      <c r="AX127" s="19"/>
      <c r="AY127" s="19"/>
      <c r="AZ127" s="19"/>
      <c r="BA127" s="19"/>
      <c r="BB127" s="27" t="s">
        <v>3217</v>
      </c>
      <c r="BC127" s="14" t="s">
        <v>3218</v>
      </c>
      <c r="BD127" s="14" t="s">
        <v>3219</v>
      </c>
      <c r="BE127" s="14" t="s">
        <v>686</v>
      </c>
      <c r="BF127" s="14" t="s">
        <v>3220</v>
      </c>
      <c r="BG127" s="14" t="s">
        <v>3221</v>
      </c>
      <c r="BH127" s="14" t="s">
        <v>3222</v>
      </c>
      <c r="BI127" s="7"/>
      <c r="BJ127" s="7"/>
      <c r="BK127" s="7"/>
      <c r="BL127" s="7"/>
      <c r="BM127" s="4"/>
      <c r="BN127" s="4"/>
      <c r="BO127" s="7"/>
      <c r="BP127" s="7"/>
      <c r="BQ127" s="7"/>
      <c r="BR127" s="7"/>
      <c r="BS127" s="7"/>
      <c r="BT127" s="7"/>
      <c r="BU127" s="7"/>
      <c r="BV127" s="28" t="s">
        <v>23</v>
      </c>
      <c r="BW127" s="28" t="s">
        <v>28</v>
      </c>
      <c r="BX127" s="28" t="s">
        <v>34</v>
      </c>
      <c r="BY127" s="7"/>
      <c r="BZ127" s="28" t="s">
        <v>484</v>
      </c>
      <c r="CA127" s="28" t="s">
        <v>664</v>
      </c>
      <c r="CB127" s="28" t="s">
        <v>3223</v>
      </c>
      <c r="CC127" s="28" t="s">
        <v>3224</v>
      </c>
      <c r="CD127" s="7"/>
      <c r="CE127" s="28" t="s">
        <v>3225</v>
      </c>
      <c r="CF127" s="7"/>
      <c r="CG127" s="28" t="s">
        <v>3226</v>
      </c>
      <c r="CH127" s="22" t="str">
        <f aca="false">IF(AND(ISNUMBER(BP127),ISNUMBER(AG127),AG127&gt;0),BP127*1000000/AG127,"")</f>
        <v/>
      </c>
      <c r="CI127" s="7"/>
      <c r="CJ127" s="7"/>
      <c r="CK127" s="7"/>
      <c r="CL127" s="7"/>
      <c r="CM127" s="7"/>
      <c r="CN127" s="7"/>
      <c r="CO127" s="7"/>
      <c r="CP127" s="7"/>
      <c r="CQ127" s="7"/>
      <c r="CR127" s="7"/>
      <c r="CS127" s="7"/>
    </row>
    <row r="128" customFormat="false" ht="994.75" hidden="false" customHeight="false" outlineLevel="0" collapsed="false">
      <c r="A128" s="14" t="n">
        <v>127</v>
      </c>
      <c r="B128" s="14" t="s">
        <v>451</v>
      </c>
      <c r="C128" s="14" t="s">
        <v>452</v>
      </c>
      <c r="D128" s="14" t="s">
        <v>453</v>
      </c>
      <c r="E128" s="14" t="s">
        <v>3227</v>
      </c>
      <c r="F128" s="14" t="s">
        <v>3228</v>
      </c>
      <c r="G128" s="14" t="s">
        <v>3229</v>
      </c>
      <c r="H128" s="14" t="s">
        <v>3230</v>
      </c>
      <c r="I128" s="14" t="s">
        <v>3231</v>
      </c>
      <c r="J128" s="14" t="s">
        <v>3232</v>
      </c>
      <c r="K128" s="17"/>
      <c r="L128" s="4"/>
      <c r="M128" s="4"/>
      <c r="N128" s="4"/>
      <c r="O128" s="14" t="s">
        <v>643</v>
      </c>
      <c r="P128" s="7"/>
      <c r="Q128" s="7"/>
      <c r="R128" s="14" t="s">
        <v>3233</v>
      </c>
      <c r="S128" s="14" t="s">
        <v>3234</v>
      </c>
      <c r="T128" s="14" t="s">
        <v>3235</v>
      </c>
      <c r="U128" s="14" t="s">
        <v>3236</v>
      </c>
      <c r="V128" s="14" t="s">
        <v>3237</v>
      </c>
      <c r="W128" s="14" t="s">
        <v>3238</v>
      </c>
      <c r="X128" s="14" t="s">
        <v>3239</v>
      </c>
      <c r="Y128" s="14" t="s">
        <v>3240</v>
      </c>
      <c r="Z128" s="14" t="s">
        <v>3241</v>
      </c>
      <c r="AA128" s="7"/>
      <c r="AB128" s="4"/>
      <c r="AC128" s="4"/>
      <c r="AD128" s="4"/>
      <c r="AE128" s="26" t="s">
        <v>470</v>
      </c>
      <c r="AF128" s="14" t="s">
        <v>3212</v>
      </c>
      <c r="AG128" s="4"/>
      <c r="AH128" s="4"/>
      <c r="AI128" s="14" t="s">
        <v>472</v>
      </c>
      <c r="AJ128" s="14" t="s">
        <v>3242</v>
      </c>
      <c r="AK128" s="4"/>
      <c r="AL128" s="7"/>
      <c r="AM128" s="4"/>
      <c r="AN128" s="4"/>
      <c r="AO128" s="14" t="s">
        <v>3243</v>
      </c>
      <c r="AP128" s="4"/>
      <c r="AQ128" s="7"/>
      <c r="AR128" s="4"/>
      <c r="AS128" s="4"/>
      <c r="AT128" s="4"/>
      <c r="AU128" s="4"/>
      <c r="AV128" s="14" t="s">
        <v>681</v>
      </c>
      <c r="AW128" s="14" t="s">
        <v>3244</v>
      </c>
      <c r="AX128" s="19"/>
      <c r="AY128" s="19"/>
      <c r="AZ128" s="19"/>
      <c r="BA128" s="19"/>
      <c r="BB128" s="27" t="s">
        <v>3245</v>
      </c>
      <c r="BC128" s="14" t="s">
        <v>3246</v>
      </c>
      <c r="BD128" s="14" t="s">
        <v>3247</v>
      </c>
      <c r="BE128" s="14" t="s">
        <v>686</v>
      </c>
      <c r="BF128" s="14" t="s">
        <v>3248</v>
      </c>
      <c r="BG128" s="14" t="s">
        <v>3249</v>
      </c>
      <c r="BH128" s="14" t="s">
        <v>3250</v>
      </c>
      <c r="BI128" s="7"/>
      <c r="BJ128" s="7"/>
      <c r="BK128" s="7"/>
      <c r="BL128" s="7"/>
      <c r="BM128" s="4"/>
      <c r="BN128" s="4"/>
      <c r="BO128" s="7"/>
      <c r="BP128" s="7"/>
      <c r="BQ128" s="7"/>
      <c r="BR128" s="7"/>
      <c r="BS128" s="7"/>
      <c r="BT128" s="7"/>
      <c r="BU128" s="7"/>
      <c r="BV128" s="28" t="s">
        <v>24</v>
      </c>
      <c r="BW128" s="28" t="s">
        <v>31</v>
      </c>
      <c r="BX128" s="28" t="s">
        <v>38</v>
      </c>
      <c r="BY128" s="7"/>
      <c r="BZ128" s="28" t="s">
        <v>484</v>
      </c>
      <c r="CA128" s="28" t="s">
        <v>664</v>
      </c>
      <c r="CB128" s="28" t="s">
        <v>3251</v>
      </c>
      <c r="CC128" s="28" t="s">
        <v>666</v>
      </c>
      <c r="CD128" s="28" t="s">
        <v>667</v>
      </c>
      <c r="CE128" s="28" t="s">
        <v>1525</v>
      </c>
      <c r="CF128" s="7"/>
      <c r="CG128" s="28" t="s">
        <v>3252</v>
      </c>
      <c r="CH128" s="22" t="str">
        <f aca="false">IF(AND(ISNUMBER(BP128),ISNUMBER(AG128),AG128&gt;0),BP128*1000000/AG128,"")</f>
        <v/>
      </c>
      <c r="CI128" s="7"/>
      <c r="CJ128" s="7"/>
      <c r="CK128" s="7"/>
      <c r="CL128" s="7"/>
      <c r="CM128" s="7"/>
      <c r="CN128" s="7"/>
      <c r="CO128" s="7"/>
      <c r="CP128" s="7"/>
      <c r="CQ128" s="7"/>
      <c r="CR128" s="7"/>
      <c r="CS128" s="7"/>
    </row>
    <row r="129" customFormat="false" ht="1250" hidden="false" customHeight="false" outlineLevel="0" collapsed="false">
      <c r="A129" s="14" t="n">
        <v>128</v>
      </c>
      <c r="B129" s="14" t="s">
        <v>451</v>
      </c>
      <c r="C129" s="14" t="s">
        <v>452</v>
      </c>
      <c r="D129" s="14" t="s">
        <v>547</v>
      </c>
      <c r="E129" s="14" t="s">
        <v>3253</v>
      </c>
      <c r="F129" s="14" t="s">
        <v>3254</v>
      </c>
      <c r="G129" s="14" t="s">
        <v>3255</v>
      </c>
      <c r="H129" s="14" t="s">
        <v>3256</v>
      </c>
      <c r="I129" s="14" t="s">
        <v>3257</v>
      </c>
      <c r="J129" s="14" t="s">
        <v>3258</v>
      </c>
      <c r="K129" s="17"/>
      <c r="L129" s="4"/>
      <c r="M129" s="4"/>
      <c r="N129" s="4"/>
      <c r="O129" s="14" t="s">
        <v>3259</v>
      </c>
      <c r="P129" s="7"/>
      <c r="Q129" s="7"/>
      <c r="R129" s="14" t="s">
        <v>3260</v>
      </c>
      <c r="S129" s="14" t="s">
        <v>3261</v>
      </c>
      <c r="T129" s="14" t="s">
        <v>3262</v>
      </c>
      <c r="U129" s="14" t="s">
        <v>3263</v>
      </c>
      <c r="V129" s="14" t="s">
        <v>498</v>
      </c>
      <c r="W129" s="4"/>
      <c r="X129" s="14" t="s">
        <v>3264</v>
      </c>
      <c r="Y129" s="4"/>
      <c r="Z129" s="14" t="s">
        <v>3265</v>
      </c>
      <c r="AA129" s="7"/>
      <c r="AB129" s="4"/>
      <c r="AC129" s="4"/>
      <c r="AD129" s="4"/>
      <c r="AE129" s="26" t="s">
        <v>470</v>
      </c>
      <c r="AF129" s="14" t="s">
        <v>3212</v>
      </c>
      <c r="AG129" s="4"/>
      <c r="AH129" s="4"/>
      <c r="AI129" s="14" t="s">
        <v>472</v>
      </c>
      <c r="AJ129" s="14" t="s">
        <v>3266</v>
      </c>
      <c r="AK129" s="4"/>
      <c r="AL129" s="7"/>
      <c r="AM129" s="4"/>
      <c r="AN129" s="4"/>
      <c r="AO129" s="14" t="s">
        <v>3267</v>
      </c>
      <c r="AP129" s="4"/>
      <c r="AQ129" s="7"/>
      <c r="AR129" s="4"/>
      <c r="AS129" s="4"/>
      <c r="AT129" s="4"/>
      <c r="AU129" s="4"/>
      <c r="AV129" s="14" t="s">
        <v>3268</v>
      </c>
      <c r="AW129" s="14" t="s">
        <v>3269</v>
      </c>
      <c r="AX129" s="19"/>
      <c r="AY129" s="19"/>
      <c r="AZ129" s="19"/>
      <c r="BA129" s="19"/>
      <c r="BB129" s="27" t="s">
        <v>3270</v>
      </c>
      <c r="BC129" s="14" t="s">
        <v>3271</v>
      </c>
      <c r="BD129" s="14" t="s">
        <v>685</v>
      </c>
      <c r="BE129" s="14" t="s">
        <v>686</v>
      </c>
      <c r="BF129" s="14" t="s">
        <v>3272</v>
      </c>
      <c r="BG129" s="14" t="s">
        <v>3273</v>
      </c>
      <c r="BH129" s="14" t="s">
        <v>3274</v>
      </c>
      <c r="BI129" s="7"/>
      <c r="BJ129" s="7"/>
      <c r="BK129" s="7"/>
      <c r="BL129" s="7"/>
      <c r="BM129" s="4"/>
      <c r="BN129" s="4"/>
      <c r="BO129" s="7"/>
      <c r="BP129" s="7"/>
      <c r="BQ129" s="7"/>
      <c r="BR129" s="7"/>
      <c r="BS129" s="7"/>
      <c r="BT129" s="7"/>
      <c r="BU129" s="7"/>
      <c r="BV129" s="28" t="s">
        <v>24</v>
      </c>
      <c r="BW129" s="28" t="s">
        <v>31</v>
      </c>
      <c r="BX129" s="28" t="s">
        <v>38</v>
      </c>
      <c r="BY129" s="7"/>
      <c r="BZ129" s="28" t="s">
        <v>484</v>
      </c>
      <c r="CA129" s="28" t="s">
        <v>664</v>
      </c>
      <c r="CB129" s="28" t="s">
        <v>3275</v>
      </c>
      <c r="CC129" s="28" t="s">
        <v>3276</v>
      </c>
      <c r="CD129" s="28" t="s">
        <v>3277</v>
      </c>
      <c r="CE129" s="28" t="s">
        <v>3278</v>
      </c>
      <c r="CF129" s="7"/>
      <c r="CG129" s="28" t="s">
        <v>3279</v>
      </c>
      <c r="CH129" s="22" t="str">
        <f aca="false">IF(AND(ISNUMBER(BP129),ISNUMBER(AG129),AG129&gt;0),BP129*1000000/AG129,"")</f>
        <v/>
      </c>
      <c r="CI129" s="7"/>
      <c r="CJ129" s="7"/>
      <c r="CK129" s="7"/>
      <c r="CL129" s="7"/>
      <c r="CM129" s="7"/>
      <c r="CN129" s="7"/>
      <c r="CO129" s="7"/>
      <c r="CP129" s="7"/>
      <c r="CQ129" s="7"/>
      <c r="CR129" s="7"/>
      <c r="CS129" s="7"/>
    </row>
    <row r="130" customFormat="false" ht="619.4" hidden="false" customHeight="false" outlineLevel="0" collapsed="false">
      <c r="A130" s="14" t="n">
        <v>129</v>
      </c>
      <c r="B130" s="14" t="s">
        <v>451</v>
      </c>
      <c r="C130" s="14" t="s">
        <v>452</v>
      </c>
      <c r="D130" s="14" t="s">
        <v>547</v>
      </c>
      <c r="E130" s="14" t="s">
        <v>3280</v>
      </c>
      <c r="F130" s="14" t="s">
        <v>3281</v>
      </c>
      <c r="G130" s="14" t="s">
        <v>3282</v>
      </c>
      <c r="H130" s="14" t="s">
        <v>3283</v>
      </c>
      <c r="I130" s="14" t="s">
        <v>3284</v>
      </c>
      <c r="J130" s="14" t="s">
        <v>3285</v>
      </c>
      <c r="K130" s="17"/>
      <c r="L130" s="4"/>
      <c r="M130" s="4"/>
      <c r="N130" s="4"/>
      <c r="O130" s="14" t="s">
        <v>3286</v>
      </c>
      <c r="P130" s="7"/>
      <c r="Q130" s="7"/>
      <c r="R130" s="14" t="s">
        <v>3287</v>
      </c>
      <c r="S130" s="14" t="s">
        <v>3288</v>
      </c>
      <c r="T130" s="14" t="s">
        <v>3289</v>
      </c>
      <c r="U130" s="14" t="s">
        <v>3290</v>
      </c>
      <c r="V130" s="14" t="s">
        <v>498</v>
      </c>
      <c r="W130" s="4"/>
      <c r="X130" s="14" t="s">
        <v>3291</v>
      </c>
      <c r="Y130" s="4"/>
      <c r="Z130" s="14" t="s">
        <v>3292</v>
      </c>
      <c r="AA130" s="7"/>
      <c r="AB130" s="4"/>
      <c r="AC130" s="4"/>
      <c r="AD130" s="4"/>
      <c r="AE130" s="26" t="s">
        <v>470</v>
      </c>
      <c r="AF130" s="14" t="s">
        <v>3212</v>
      </c>
      <c r="AG130" s="4"/>
      <c r="AH130" s="4"/>
      <c r="AI130" s="14" t="s">
        <v>472</v>
      </c>
      <c r="AJ130" s="14" t="s">
        <v>3293</v>
      </c>
      <c r="AK130" s="4"/>
      <c r="AL130" s="7"/>
      <c r="AM130" s="4"/>
      <c r="AN130" s="4"/>
      <c r="AO130" s="14" t="s">
        <v>3294</v>
      </c>
      <c r="AP130" s="4"/>
      <c r="AQ130" s="7"/>
      <c r="AR130" s="4"/>
      <c r="AS130" s="4"/>
      <c r="AT130" s="4"/>
      <c r="AU130" s="4"/>
      <c r="AV130" s="14" t="s">
        <v>3295</v>
      </c>
      <c r="AW130" s="14" t="s">
        <v>3296</v>
      </c>
      <c r="AX130" s="19"/>
      <c r="AY130" s="19"/>
      <c r="AZ130" s="19"/>
      <c r="BA130" s="19"/>
      <c r="BB130" s="27" t="s">
        <v>3297</v>
      </c>
      <c r="BC130" s="14" t="s">
        <v>3298</v>
      </c>
      <c r="BD130" s="14" t="s">
        <v>3299</v>
      </c>
      <c r="BE130" s="14" t="s">
        <v>3300</v>
      </c>
      <c r="BF130" s="14" t="s">
        <v>3301</v>
      </c>
      <c r="BG130" s="14" t="s">
        <v>3302</v>
      </c>
      <c r="BH130" s="14" t="s">
        <v>3303</v>
      </c>
      <c r="BI130" s="7"/>
      <c r="BJ130" s="7"/>
      <c r="BK130" s="7"/>
      <c r="BL130" s="7"/>
      <c r="BM130" s="4"/>
      <c r="BN130" s="4"/>
      <c r="BO130" s="7"/>
      <c r="BP130" s="7"/>
      <c r="BQ130" s="7"/>
      <c r="BR130" s="7"/>
      <c r="BS130" s="7"/>
      <c r="BT130" s="7"/>
      <c r="BU130" s="7"/>
      <c r="BV130" s="28" t="s">
        <v>24</v>
      </c>
      <c r="BW130" s="28" t="s">
        <v>31</v>
      </c>
      <c r="BX130" s="28" t="s">
        <v>38</v>
      </c>
      <c r="BY130" s="7"/>
      <c r="BZ130" s="28" t="s">
        <v>484</v>
      </c>
      <c r="CA130" s="28" t="s">
        <v>664</v>
      </c>
      <c r="CB130" s="28" t="s">
        <v>3304</v>
      </c>
      <c r="CC130" s="28" t="s">
        <v>3305</v>
      </c>
      <c r="CD130" s="28" t="s">
        <v>3306</v>
      </c>
      <c r="CE130" s="28" t="s">
        <v>1525</v>
      </c>
      <c r="CF130" s="7"/>
      <c r="CG130" s="28" t="s">
        <v>3307</v>
      </c>
      <c r="CH130" s="22" t="str">
        <f aca="false">IF(AND(ISNUMBER(BP130),ISNUMBER(AG130),AG130&gt;0),BP130*1000000/AG130,"")</f>
        <v/>
      </c>
      <c r="CI130" s="7"/>
      <c r="CJ130" s="7"/>
      <c r="CK130" s="7"/>
      <c r="CL130" s="7"/>
      <c r="CM130" s="7"/>
      <c r="CN130" s="7"/>
      <c r="CO130" s="7"/>
      <c r="CP130" s="7"/>
      <c r="CQ130" s="7"/>
      <c r="CR130" s="7"/>
      <c r="CS130" s="7"/>
    </row>
    <row r="131" customFormat="false" ht="860.4" hidden="false" customHeight="false" outlineLevel="0" collapsed="false">
      <c r="A131" s="14" t="n">
        <v>130</v>
      </c>
      <c r="B131" s="14" t="s">
        <v>451</v>
      </c>
      <c r="C131" s="14" t="s">
        <v>452</v>
      </c>
      <c r="D131" s="14" t="s">
        <v>1333</v>
      </c>
      <c r="E131" s="14" t="s">
        <v>3308</v>
      </c>
      <c r="F131" s="14" t="s">
        <v>3309</v>
      </c>
      <c r="G131" s="14" t="s">
        <v>3310</v>
      </c>
      <c r="H131" s="14" t="s">
        <v>3311</v>
      </c>
      <c r="I131" s="14" t="s">
        <v>3312</v>
      </c>
      <c r="J131" s="14" t="s">
        <v>3313</v>
      </c>
      <c r="K131" s="17"/>
      <c r="L131" s="4"/>
      <c r="M131" s="4"/>
      <c r="N131" s="4"/>
      <c r="O131" s="14" t="s">
        <v>643</v>
      </c>
      <c r="P131" s="7"/>
      <c r="Q131" s="7"/>
      <c r="R131" s="14" t="s">
        <v>3314</v>
      </c>
      <c r="S131" s="14" t="s">
        <v>3234</v>
      </c>
      <c r="T131" s="14" t="s">
        <v>3315</v>
      </c>
      <c r="U131" s="14" t="s">
        <v>3316</v>
      </c>
      <c r="V131" s="14" t="s">
        <v>498</v>
      </c>
      <c r="W131" s="4"/>
      <c r="X131" s="14" t="s">
        <v>3317</v>
      </c>
      <c r="Y131" s="4"/>
      <c r="Z131" s="14" t="s">
        <v>3318</v>
      </c>
      <c r="AA131" s="7"/>
      <c r="AB131" s="4"/>
      <c r="AC131" s="4"/>
      <c r="AD131" s="4"/>
      <c r="AE131" s="26" t="s">
        <v>470</v>
      </c>
      <c r="AF131" s="14" t="s">
        <v>3212</v>
      </c>
      <c r="AG131" s="4"/>
      <c r="AH131" s="4"/>
      <c r="AI131" s="14" t="s">
        <v>472</v>
      </c>
      <c r="AJ131" s="14" t="s">
        <v>3319</v>
      </c>
      <c r="AK131" s="4"/>
      <c r="AL131" s="7"/>
      <c r="AM131" s="4"/>
      <c r="AN131" s="4"/>
      <c r="AO131" s="14" t="s">
        <v>3320</v>
      </c>
      <c r="AP131" s="4"/>
      <c r="AQ131" s="7"/>
      <c r="AR131" s="4"/>
      <c r="AS131" s="4"/>
      <c r="AT131" s="4"/>
      <c r="AU131" s="4"/>
      <c r="AV131" s="14" t="s">
        <v>3321</v>
      </c>
      <c r="AW131" s="14" t="s">
        <v>3322</v>
      </c>
      <c r="AX131" s="19"/>
      <c r="AY131" s="19"/>
      <c r="AZ131" s="19"/>
      <c r="BA131" s="19"/>
      <c r="BB131" s="27" t="s">
        <v>3323</v>
      </c>
      <c r="BC131" s="14" t="s">
        <v>3324</v>
      </c>
      <c r="BD131" s="14" t="s">
        <v>3325</v>
      </c>
      <c r="BE131" s="14" t="s">
        <v>686</v>
      </c>
      <c r="BF131" s="14" t="s">
        <v>3326</v>
      </c>
      <c r="BG131" s="14" t="s">
        <v>3327</v>
      </c>
      <c r="BH131" s="14" t="s">
        <v>3328</v>
      </c>
      <c r="BI131" s="7"/>
      <c r="BJ131" s="7"/>
      <c r="BK131" s="7"/>
      <c r="BL131" s="7"/>
      <c r="BM131" s="4"/>
      <c r="BN131" s="4"/>
      <c r="BO131" s="7"/>
      <c r="BP131" s="7"/>
      <c r="BQ131" s="7"/>
      <c r="BR131" s="7"/>
      <c r="BS131" s="7"/>
      <c r="BT131" s="7"/>
      <c r="BU131" s="7"/>
      <c r="BV131" s="28" t="s">
        <v>24</v>
      </c>
      <c r="BW131" s="28" t="s">
        <v>31</v>
      </c>
      <c r="BX131" s="28" t="s">
        <v>38</v>
      </c>
      <c r="BY131" s="7"/>
      <c r="BZ131" s="28" t="s">
        <v>484</v>
      </c>
      <c r="CA131" s="28" t="s">
        <v>713</v>
      </c>
      <c r="CB131" s="28" t="s">
        <v>3251</v>
      </c>
      <c r="CC131" s="28" t="s">
        <v>666</v>
      </c>
      <c r="CD131" s="28" t="s">
        <v>667</v>
      </c>
      <c r="CE131" s="28" t="s">
        <v>1525</v>
      </c>
      <c r="CF131" s="7"/>
      <c r="CG131" s="28" t="s">
        <v>3329</v>
      </c>
      <c r="CH131" s="22" t="str">
        <f aca="false">IF(AND(ISNUMBER(BP131),ISNUMBER(AG131),AG131&gt;0),BP131*1000000/AG131,"")</f>
        <v/>
      </c>
      <c r="CI131" s="7"/>
      <c r="CJ131" s="7"/>
      <c r="CK131" s="7"/>
      <c r="CL131" s="7"/>
      <c r="CM131" s="7"/>
      <c r="CN131" s="7"/>
      <c r="CO131" s="7"/>
      <c r="CP131" s="7"/>
      <c r="CQ131" s="7"/>
      <c r="CR131" s="7"/>
      <c r="CS131" s="7"/>
    </row>
    <row r="132" customFormat="false" ht="1061.9" hidden="false" customHeight="false" outlineLevel="0" collapsed="false">
      <c r="A132" s="14" t="n">
        <v>131</v>
      </c>
      <c r="B132" s="14" t="s">
        <v>451</v>
      </c>
      <c r="C132" s="14" t="s">
        <v>452</v>
      </c>
      <c r="D132" s="14" t="s">
        <v>1333</v>
      </c>
      <c r="E132" s="14" t="s">
        <v>3330</v>
      </c>
      <c r="F132" s="14" t="s">
        <v>3331</v>
      </c>
      <c r="G132" s="14" t="s">
        <v>1625</v>
      </c>
      <c r="H132" s="14" t="s">
        <v>3332</v>
      </c>
      <c r="I132" s="14" t="s">
        <v>3333</v>
      </c>
      <c r="J132" s="14" t="s">
        <v>3334</v>
      </c>
      <c r="K132" s="17"/>
      <c r="L132" s="4"/>
      <c r="M132" s="4"/>
      <c r="N132" s="4"/>
      <c r="O132" s="14" t="s">
        <v>3335</v>
      </c>
      <c r="P132" s="7"/>
      <c r="Q132" s="7"/>
      <c r="R132" s="14" t="s">
        <v>3336</v>
      </c>
      <c r="S132" s="14" t="s">
        <v>3207</v>
      </c>
      <c r="T132" s="14" t="s">
        <v>3337</v>
      </c>
      <c r="U132" s="14" t="s">
        <v>3338</v>
      </c>
      <c r="V132" s="14" t="s">
        <v>498</v>
      </c>
      <c r="W132" s="4"/>
      <c r="X132" s="14" t="s">
        <v>3339</v>
      </c>
      <c r="Y132" s="4"/>
      <c r="Z132" s="14" t="s">
        <v>3340</v>
      </c>
      <c r="AA132" s="7"/>
      <c r="AB132" s="4"/>
      <c r="AC132" s="4"/>
      <c r="AD132" s="4"/>
      <c r="AE132" s="26" t="s">
        <v>470</v>
      </c>
      <c r="AF132" s="14" t="s">
        <v>3212</v>
      </c>
      <c r="AG132" s="4"/>
      <c r="AH132" s="4"/>
      <c r="AI132" s="14" t="s">
        <v>472</v>
      </c>
      <c r="AJ132" s="14" t="s">
        <v>3341</v>
      </c>
      <c r="AK132" s="4"/>
      <c r="AL132" s="7"/>
      <c r="AM132" s="4"/>
      <c r="AN132" s="4"/>
      <c r="AO132" s="14" t="s">
        <v>3342</v>
      </c>
      <c r="AP132" s="4"/>
      <c r="AQ132" s="7"/>
      <c r="AR132" s="4"/>
      <c r="AS132" s="4"/>
      <c r="AT132" s="4"/>
      <c r="AU132" s="4"/>
      <c r="AV132" s="14" t="s">
        <v>3343</v>
      </c>
      <c r="AW132" s="14" t="s">
        <v>3344</v>
      </c>
      <c r="AX132" s="19"/>
      <c r="AY132" s="19"/>
      <c r="AZ132" s="19"/>
      <c r="BA132" s="19"/>
      <c r="BB132" s="27" t="s">
        <v>3345</v>
      </c>
      <c r="BC132" s="14" t="s">
        <v>3346</v>
      </c>
      <c r="BD132" s="14" t="s">
        <v>685</v>
      </c>
      <c r="BE132" s="14" t="s">
        <v>686</v>
      </c>
      <c r="BF132" s="14" t="s">
        <v>3347</v>
      </c>
      <c r="BG132" s="14" t="s">
        <v>3348</v>
      </c>
      <c r="BH132" s="14" t="s">
        <v>3349</v>
      </c>
      <c r="BI132" s="7"/>
      <c r="BJ132" s="7"/>
      <c r="BK132" s="7"/>
      <c r="BL132" s="7"/>
      <c r="BM132" s="4"/>
      <c r="BN132" s="4"/>
      <c r="BO132" s="7"/>
      <c r="BP132" s="7"/>
      <c r="BQ132" s="7"/>
      <c r="BR132" s="7"/>
      <c r="BS132" s="7"/>
      <c r="BT132" s="7"/>
      <c r="BU132" s="7"/>
      <c r="BV132" s="28" t="s">
        <v>24</v>
      </c>
      <c r="BW132" s="28" t="s">
        <v>31</v>
      </c>
      <c r="BX132" s="28" t="s">
        <v>38</v>
      </c>
      <c r="BY132" s="7"/>
      <c r="BZ132" s="28" t="s">
        <v>484</v>
      </c>
      <c r="CA132" s="28" t="s">
        <v>713</v>
      </c>
      <c r="CB132" s="28" t="s">
        <v>3350</v>
      </c>
      <c r="CC132" s="28" t="s">
        <v>3276</v>
      </c>
      <c r="CD132" s="28" t="s">
        <v>3351</v>
      </c>
      <c r="CE132" s="28" t="s">
        <v>3352</v>
      </c>
      <c r="CF132" s="7"/>
      <c r="CG132" s="28" t="s">
        <v>3353</v>
      </c>
      <c r="CH132" s="22" t="str">
        <f aca="false">IF(AND(ISNUMBER(BP132),ISNUMBER(AG132),AG132&gt;0),BP132*1000000/AG132,"")</f>
        <v/>
      </c>
      <c r="CI132" s="7"/>
      <c r="CJ132" s="7"/>
      <c r="CK132" s="7"/>
      <c r="CL132" s="7"/>
      <c r="CM132" s="7"/>
      <c r="CN132" s="7"/>
      <c r="CO132" s="7"/>
      <c r="CP132" s="7"/>
      <c r="CQ132" s="7"/>
      <c r="CR132" s="7"/>
      <c r="CS132" s="7"/>
    </row>
    <row r="133" customFormat="false" ht="1061.9" hidden="false" customHeight="false" outlineLevel="0" collapsed="false">
      <c r="A133" s="14" t="n">
        <v>132</v>
      </c>
      <c r="B133" s="14" t="s">
        <v>451</v>
      </c>
      <c r="C133" s="14" t="s">
        <v>452</v>
      </c>
      <c r="D133" s="14" t="s">
        <v>1333</v>
      </c>
      <c r="E133" s="14" t="s">
        <v>3354</v>
      </c>
      <c r="F133" s="14" t="s">
        <v>3355</v>
      </c>
      <c r="G133" s="14" t="s">
        <v>1838</v>
      </c>
      <c r="H133" s="14" t="s">
        <v>3356</v>
      </c>
      <c r="I133" s="14" t="s">
        <v>3357</v>
      </c>
      <c r="J133" s="14" t="s">
        <v>3358</v>
      </c>
      <c r="K133" s="17"/>
      <c r="L133" s="4"/>
      <c r="M133" s="4"/>
      <c r="N133" s="4"/>
      <c r="O133" s="14" t="s">
        <v>643</v>
      </c>
      <c r="P133" s="7"/>
      <c r="Q133" s="7"/>
      <c r="R133" s="14" t="s">
        <v>3359</v>
      </c>
      <c r="S133" s="14" t="s">
        <v>3360</v>
      </c>
      <c r="T133" s="14" t="s">
        <v>3361</v>
      </c>
      <c r="U133" s="14" t="s">
        <v>3362</v>
      </c>
      <c r="V133" s="14" t="s">
        <v>498</v>
      </c>
      <c r="W133" s="4"/>
      <c r="X133" s="14" t="s">
        <v>3363</v>
      </c>
      <c r="Y133" s="4"/>
      <c r="Z133" s="14" t="s">
        <v>3364</v>
      </c>
      <c r="AA133" s="7"/>
      <c r="AB133" s="4"/>
      <c r="AC133" s="4"/>
      <c r="AD133" s="4"/>
      <c r="AE133" s="26" t="s">
        <v>470</v>
      </c>
      <c r="AF133" s="14" t="s">
        <v>3212</v>
      </c>
      <c r="AG133" s="4"/>
      <c r="AH133" s="4"/>
      <c r="AI133" s="14" t="s">
        <v>472</v>
      </c>
      <c r="AJ133" s="14" t="s">
        <v>3365</v>
      </c>
      <c r="AK133" s="4"/>
      <c r="AL133" s="7"/>
      <c r="AM133" s="4"/>
      <c r="AN133" s="4"/>
      <c r="AO133" s="14" t="s">
        <v>3366</v>
      </c>
      <c r="AP133" s="4"/>
      <c r="AQ133" s="7"/>
      <c r="AR133" s="4"/>
      <c r="AS133" s="4"/>
      <c r="AT133" s="4"/>
      <c r="AU133" s="4"/>
      <c r="AV133" s="14" t="s">
        <v>3367</v>
      </c>
      <c r="AW133" s="14" t="s">
        <v>3368</v>
      </c>
      <c r="AX133" s="19"/>
      <c r="AY133" s="19"/>
      <c r="AZ133" s="19"/>
      <c r="BA133" s="19"/>
      <c r="BB133" s="27" t="s">
        <v>3369</v>
      </c>
      <c r="BC133" s="14" t="s">
        <v>3370</v>
      </c>
      <c r="BD133" s="14" t="s">
        <v>3371</v>
      </c>
      <c r="BE133" s="14" t="s">
        <v>686</v>
      </c>
      <c r="BF133" s="14" t="s">
        <v>3372</v>
      </c>
      <c r="BG133" s="14" t="s">
        <v>3373</v>
      </c>
      <c r="BH133" s="14" t="s">
        <v>3374</v>
      </c>
      <c r="BI133" s="7"/>
      <c r="BJ133" s="7"/>
      <c r="BK133" s="7"/>
      <c r="BL133" s="7"/>
      <c r="BM133" s="4"/>
      <c r="BN133" s="4"/>
      <c r="BO133" s="7"/>
      <c r="BP133" s="7"/>
      <c r="BQ133" s="7"/>
      <c r="BR133" s="7"/>
      <c r="BS133" s="7"/>
      <c r="BT133" s="7"/>
      <c r="BU133" s="7"/>
      <c r="BV133" s="28" t="s">
        <v>24</v>
      </c>
      <c r="BW133" s="28" t="s">
        <v>31</v>
      </c>
      <c r="BX133" s="28" t="s">
        <v>38</v>
      </c>
      <c r="BY133" s="7"/>
      <c r="BZ133" s="28" t="s">
        <v>484</v>
      </c>
      <c r="CA133" s="28" t="s">
        <v>664</v>
      </c>
      <c r="CB133" s="28" t="s">
        <v>3251</v>
      </c>
      <c r="CC133" s="28" t="s">
        <v>666</v>
      </c>
      <c r="CD133" s="28" t="s">
        <v>667</v>
      </c>
      <c r="CE133" s="28" t="s">
        <v>3375</v>
      </c>
      <c r="CF133" s="7"/>
      <c r="CG133" s="28" t="s">
        <v>3376</v>
      </c>
      <c r="CH133" s="22" t="str">
        <f aca="false">IF(AND(ISNUMBER(BP133),ISNUMBER(AG133),AG133&gt;0),BP133*1000000/AG133,"")</f>
        <v/>
      </c>
      <c r="CI133" s="7"/>
      <c r="CJ133" s="7"/>
      <c r="CK133" s="7"/>
      <c r="CL133" s="7"/>
      <c r="CM133" s="7"/>
      <c r="CN133" s="7"/>
      <c r="CO133" s="7"/>
      <c r="CP133" s="7"/>
      <c r="CQ133" s="7"/>
      <c r="CR133" s="7"/>
      <c r="CS133" s="7"/>
    </row>
    <row r="134" customFormat="false" ht="592.5" hidden="false" customHeight="false" outlineLevel="0" collapsed="false">
      <c r="A134" s="14" t="n">
        <v>133</v>
      </c>
      <c r="B134" s="14" t="s">
        <v>3377</v>
      </c>
      <c r="C134" s="14" t="s">
        <v>452</v>
      </c>
      <c r="D134" s="14" t="s">
        <v>1333</v>
      </c>
      <c r="E134" s="14" t="s">
        <v>3378</v>
      </c>
      <c r="F134" s="14" t="s">
        <v>3379</v>
      </c>
      <c r="G134" s="14" t="s">
        <v>3380</v>
      </c>
      <c r="H134" s="14" t="s">
        <v>3381</v>
      </c>
      <c r="I134" s="14" t="s">
        <v>3382</v>
      </c>
      <c r="J134" s="14" t="s">
        <v>3383</v>
      </c>
      <c r="K134" s="17"/>
      <c r="L134" s="4"/>
      <c r="M134" s="4"/>
      <c r="N134" s="4"/>
      <c r="O134" s="14" t="s">
        <v>3384</v>
      </c>
      <c r="P134" s="7"/>
      <c r="Q134" s="7"/>
      <c r="R134" s="14" t="s">
        <v>3385</v>
      </c>
      <c r="S134" s="14" t="s">
        <v>3207</v>
      </c>
      <c r="T134" s="14" t="s">
        <v>3386</v>
      </c>
      <c r="U134" s="14" t="s">
        <v>3387</v>
      </c>
      <c r="V134" s="14" t="s">
        <v>498</v>
      </c>
      <c r="W134" s="4"/>
      <c r="X134" s="14" t="s">
        <v>3388</v>
      </c>
      <c r="Y134" s="4"/>
      <c r="Z134" s="14" t="s">
        <v>3389</v>
      </c>
      <c r="AA134" s="7"/>
      <c r="AB134" s="4"/>
      <c r="AC134" s="4"/>
      <c r="AD134" s="4"/>
      <c r="AE134" s="26" t="s">
        <v>470</v>
      </c>
      <c r="AF134" s="14" t="s">
        <v>3212</v>
      </c>
      <c r="AG134" s="4"/>
      <c r="AH134" s="4"/>
      <c r="AI134" s="14" t="s">
        <v>472</v>
      </c>
      <c r="AJ134" s="14" t="s">
        <v>3390</v>
      </c>
      <c r="AK134" s="4"/>
      <c r="AL134" s="7"/>
      <c r="AM134" s="4"/>
      <c r="AN134" s="4"/>
      <c r="AO134" s="14" t="s">
        <v>3391</v>
      </c>
      <c r="AP134" s="4"/>
      <c r="AQ134" s="7"/>
      <c r="AR134" s="4"/>
      <c r="AS134" s="4"/>
      <c r="AT134" s="4"/>
      <c r="AU134" s="4"/>
      <c r="AV134" s="14" t="s">
        <v>3392</v>
      </c>
      <c r="AW134" s="14" t="s">
        <v>3393</v>
      </c>
      <c r="AX134" s="19"/>
      <c r="AY134" s="19"/>
      <c r="AZ134" s="19"/>
      <c r="BA134" s="19"/>
      <c r="BB134" s="27" t="s">
        <v>3394</v>
      </c>
      <c r="BC134" s="14" t="s">
        <v>3395</v>
      </c>
      <c r="BD134" s="14" t="s">
        <v>3396</v>
      </c>
      <c r="BE134" s="14" t="s">
        <v>3397</v>
      </c>
      <c r="BF134" s="14" t="s">
        <v>3398</v>
      </c>
      <c r="BG134" s="14" t="s">
        <v>3399</v>
      </c>
      <c r="BH134" s="14" t="s">
        <v>3400</v>
      </c>
      <c r="BI134" s="7"/>
      <c r="BJ134" s="7"/>
      <c r="BK134" s="7"/>
      <c r="BL134" s="7"/>
      <c r="BM134" s="4"/>
      <c r="BN134" s="4"/>
      <c r="BO134" s="7"/>
      <c r="BP134" s="7"/>
      <c r="BQ134" s="7"/>
      <c r="BR134" s="7"/>
      <c r="BS134" s="7"/>
      <c r="BT134" s="7"/>
      <c r="BU134" s="7"/>
      <c r="BV134" s="28" t="s">
        <v>24</v>
      </c>
      <c r="BW134" s="28" t="s">
        <v>31</v>
      </c>
      <c r="BX134" s="28" t="s">
        <v>39</v>
      </c>
      <c r="BY134" s="7"/>
      <c r="BZ134" s="28" t="s">
        <v>484</v>
      </c>
      <c r="CA134" s="28" t="s">
        <v>485</v>
      </c>
      <c r="CB134" s="28" t="s">
        <v>3401</v>
      </c>
      <c r="CC134" s="28" t="s">
        <v>666</v>
      </c>
      <c r="CD134" s="7"/>
      <c r="CE134" s="28" t="s">
        <v>3402</v>
      </c>
      <c r="CF134" s="7"/>
      <c r="CG134" s="28" t="s">
        <v>3403</v>
      </c>
      <c r="CH134" s="22" t="str">
        <f aca="false">IF(AND(ISNUMBER(BP134),ISNUMBER(AG134),AG134&gt;0),BP134*1000000/AG134,"")</f>
        <v/>
      </c>
      <c r="CI134" s="7"/>
      <c r="CJ134" s="7"/>
      <c r="CK134" s="7"/>
      <c r="CL134" s="7"/>
      <c r="CM134" s="7"/>
      <c r="CN134" s="7"/>
      <c r="CO134" s="7"/>
      <c r="CP134" s="7"/>
      <c r="CQ134" s="7"/>
      <c r="CR134" s="7"/>
      <c r="CS134" s="7"/>
    </row>
    <row r="135" customFormat="false" ht="700" hidden="false" customHeight="false" outlineLevel="0" collapsed="false">
      <c r="A135" s="14" t="n">
        <v>134</v>
      </c>
      <c r="B135" s="14" t="s">
        <v>3377</v>
      </c>
      <c r="C135" s="14" t="s">
        <v>452</v>
      </c>
      <c r="D135" s="14" t="s">
        <v>1333</v>
      </c>
      <c r="E135" s="14" t="s">
        <v>3404</v>
      </c>
      <c r="F135" s="14" t="s">
        <v>3405</v>
      </c>
      <c r="G135" s="14" t="s">
        <v>3406</v>
      </c>
      <c r="H135" s="14" t="s">
        <v>3407</v>
      </c>
      <c r="I135" s="14" t="s">
        <v>3408</v>
      </c>
      <c r="J135" s="14" t="s">
        <v>3409</v>
      </c>
      <c r="K135" s="17"/>
      <c r="L135" s="4"/>
      <c r="M135" s="4"/>
      <c r="N135" s="4"/>
      <c r="O135" s="14" t="s">
        <v>3410</v>
      </c>
      <c r="P135" s="7"/>
      <c r="Q135" s="7"/>
      <c r="R135" s="14" t="s">
        <v>3411</v>
      </c>
      <c r="S135" s="14" t="s">
        <v>3412</v>
      </c>
      <c r="T135" s="14" t="s">
        <v>3413</v>
      </c>
      <c r="U135" s="14" t="s">
        <v>3414</v>
      </c>
      <c r="V135" s="14" t="s">
        <v>498</v>
      </c>
      <c r="W135" s="4"/>
      <c r="X135" s="14" t="s">
        <v>3415</v>
      </c>
      <c r="Y135" s="4"/>
      <c r="Z135" s="14" t="s">
        <v>3416</v>
      </c>
      <c r="AA135" s="7"/>
      <c r="AB135" s="4"/>
      <c r="AC135" s="4"/>
      <c r="AD135" s="4"/>
      <c r="AE135" s="26" t="s">
        <v>470</v>
      </c>
      <c r="AF135" s="14" t="s">
        <v>3212</v>
      </c>
      <c r="AG135" s="4"/>
      <c r="AH135" s="4"/>
      <c r="AI135" s="14" t="s">
        <v>472</v>
      </c>
      <c r="AJ135" s="14" t="s">
        <v>3417</v>
      </c>
      <c r="AK135" s="4"/>
      <c r="AL135" s="7"/>
      <c r="AM135" s="4"/>
      <c r="AN135" s="4"/>
      <c r="AO135" s="14" t="s">
        <v>3418</v>
      </c>
      <c r="AP135" s="4"/>
      <c r="AQ135" s="7"/>
      <c r="AR135" s="4"/>
      <c r="AS135" s="4"/>
      <c r="AT135" s="4"/>
      <c r="AU135" s="4"/>
      <c r="AV135" s="14" t="s">
        <v>3419</v>
      </c>
      <c r="AW135" s="14" t="s">
        <v>3420</v>
      </c>
      <c r="AX135" s="19"/>
      <c r="AY135" s="19"/>
      <c r="AZ135" s="19"/>
      <c r="BA135" s="19"/>
      <c r="BB135" s="27" t="s">
        <v>3421</v>
      </c>
      <c r="BC135" s="14" t="s">
        <v>3422</v>
      </c>
      <c r="BD135" s="14" t="s">
        <v>3423</v>
      </c>
      <c r="BE135" s="14" t="s">
        <v>3424</v>
      </c>
      <c r="BF135" s="14" t="s">
        <v>3425</v>
      </c>
      <c r="BG135" s="14" t="s">
        <v>3426</v>
      </c>
      <c r="BH135" s="14" t="s">
        <v>3427</v>
      </c>
      <c r="BI135" s="7"/>
      <c r="BJ135" s="7"/>
      <c r="BK135" s="7"/>
      <c r="BL135" s="7"/>
      <c r="BM135" s="4"/>
      <c r="BN135" s="4"/>
      <c r="BO135" s="7"/>
      <c r="BP135" s="7"/>
      <c r="BQ135" s="7"/>
      <c r="BR135" s="7"/>
      <c r="BS135" s="7"/>
      <c r="BT135" s="7"/>
      <c r="BU135" s="7"/>
      <c r="BV135" s="28" t="s">
        <v>24</v>
      </c>
      <c r="BW135" s="28" t="s">
        <v>31</v>
      </c>
      <c r="BX135" s="28" t="s">
        <v>39</v>
      </c>
      <c r="BY135" s="7"/>
      <c r="BZ135" s="28" t="s">
        <v>484</v>
      </c>
      <c r="CA135" s="28" t="s">
        <v>485</v>
      </c>
      <c r="CB135" s="28" t="s">
        <v>3401</v>
      </c>
      <c r="CC135" s="28" t="s">
        <v>666</v>
      </c>
      <c r="CD135" s="7"/>
      <c r="CE135" s="28" t="s">
        <v>3428</v>
      </c>
      <c r="CF135" s="7"/>
      <c r="CG135" s="28" t="s">
        <v>3429</v>
      </c>
      <c r="CH135" s="22" t="str">
        <f aca="false">IF(AND(ISNUMBER(BP135),ISNUMBER(AG135),AG135&gt;0),BP135*1000000/AG135,"")</f>
        <v/>
      </c>
      <c r="CI135" s="7"/>
      <c r="CJ135" s="7"/>
      <c r="CK135" s="7"/>
      <c r="CL135" s="7"/>
      <c r="CM135" s="7"/>
      <c r="CN135" s="7"/>
      <c r="CO135" s="7"/>
      <c r="CP135" s="7"/>
      <c r="CQ135" s="7"/>
      <c r="CR135" s="7"/>
      <c r="CS135" s="7"/>
    </row>
    <row r="136" customFormat="false" ht="981.3" hidden="false" customHeight="false" outlineLevel="0" collapsed="false">
      <c r="A136" s="14" t="n">
        <v>135</v>
      </c>
      <c r="B136" s="14" t="s">
        <v>3377</v>
      </c>
      <c r="C136" s="14" t="s">
        <v>452</v>
      </c>
      <c r="D136" s="14" t="s">
        <v>1333</v>
      </c>
      <c r="E136" s="14" t="s">
        <v>3430</v>
      </c>
      <c r="F136" s="14" t="s">
        <v>3431</v>
      </c>
      <c r="G136" s="14" t="s">
        <v>3432</v>
      </c>
      <c r="H136" s="14" t="s">
        <v>3433</v>
      </c>
      <c r="I136" s="14" t="s">
        <v>3434</v>
      </c>
      <c r="J136" s="14" t="s">
        <v>3435</v>
      </c>
      <c r="K136" s="17"/>
      <c r="L136" s="4"/>
      <c r="M136" s="4"/>
      <c r="N136" s="4"/>
      <c r="O136" s="14" t="s">
        <v>3436</v>
      </c>
      <c r="P136" s="7"/>
      <c r="Q136" s="7"/>
      <c r="R136" s="14" t="s">
        <v>3437</v>
      </c>
      <c r="S136" s="14" t="s">
        <v>3438</v>
      </c>
      <c r="T136" s="14" t="s">
        <v>3439</v>
      </c>
      <c r="U136" s="14" t="s">
        <v>3440</v>
      </c>
      <c r="V136" s="14" t="s">
        <v>498</v>
      </c>
      <c r="W136" s="4"/>
      <c r="X136" s="14" t="s">
        <v>3441</v>
      </c>
      <c r="Y136" s="4"/>
      <c r="Z136" s="14" t="s">
        <v>3442</v>
      </c>
      <c r="AA136" s="7"/>
      <c r="AB136" s="4"/>
      <c r="AC136" s="4"/>
      <c r="AD136" s="4"/>
      <c r="AE136" s="26" t="s">
        <v>470</v>
      </c>
      <c r="AF136" s="14" t="s">
        <v>3212</v>
      </c>
      <c r="AG136" s="4"/>
      <c r="AH136" s="4"/>
      <c r="AI136" s="14" t="s">
        <v>472</v>
      </c>
      <c r="AJ136" s="14" t="s">
        <v>3443</v>
      </c>
      <c r="AK136" s="4"/>
      <c r="AL136" s="7"/>
      <c r="AM136" s="4"/>
      <c r="AN136" s="4"/>
      <c r="AO136" s="14" t="s">
        <v>3444</v>
      </c>
      <c r="AP136" s="4"/>
      <c r="AQ136" s="7"/>
      <c r="AR136" s="4"/>
      <c r="AS136" s="4"/>
      <c r="AT136" s="4"/>
      <c r="AU136" s="4"/>
      <c r="AV136" s="14" t="s">
        <v>3445</v>
      </c>
      <c r="AW136" s="14" t="s">
        <v>3446</v>
      </c>
      <c r="AX136" s="19"/>
      <c r="AY136" s="19"/>
      <c r="AZ136" s="19"/>
      <c r="BA136" s="19"/>
      <c r="BB136" s="27" t="s">
        <v>3447</v>
      </c>
      <c r="BC136" s="14" t="s">
        <v>3448</v>
      </c>
      <c r="BD136" s="14" t="s">
        <v>3449</v>
      </c>
      <c r="BE136" s="14" t="s">
        <v>3450</v>
      </c>
      <c r="BF136" s="14" t="s">
        <v>3451</v>
      </c>
      <c r="BG136" s="14" t="s">
        <v>3452</v>
      </c>
      <c r="BH136" s="14" t="s">
        <v>3453</v>
      </c>
      <c r="BI136" s="7"/>
      <c r="BJ136" s="7"/>
      <c r="BK136" s="7"/>
      <c r="BL136" s="7"/>
      <c r="BM136" s="4"/>
      <c r="BN136" s="4"/>
      <c r="BO136" s="7"/>
      <c r="BP136" s="7"/>
      <c r="BQ136" s="7"/>
      <c r="BR136" s="7"/>
      <c r="BS136" s="7"/>
      <c r="BT136" s="7"/>
      <c r="BU136" s="7"/>
      <c r="BV136" s="28" t="s">
        <v>24</v>
      </c>
      <c r="BW136" s="28" t="s">
        <v>31</v>
      </c>
      <c r="BX136" s="28" t="s">
        <v>39</v>
      </c>
      <c r="BY136" s="7"/>
      <c r="BZ136" s="28" t="s">
        <v>484</v>
      </c>
      <c r="CA136" s="28" t="s">
        <v>485</v>
      </c>
      <c r="CB136" s="28" t="s">
        <v>3454</v>
      </c>
      <c r="CC136" s="28" t="s">
        <v>3455</v>
      </c>
      <c r="CD136" s="7"/>
      <c r="CE136" s="28" t="s">
        <v>3456</v>
      </c>
      <c r="CF136" s="7"/>
      <c r="CG136" s="28" t="s">
        <v>3457</v>
      </c>
      <c r="CH136" s="22" t="str">
        <f aca="false">IF(AND(ISNUMBER(BP136),ISNUMBER(AG136),AG136&gt;0),BP136*1000000/AG136,"")</f>
        <v/>
      </c>
      <c r="CI136" s="7"/>
      <c r="CJ136" s="7"/>
      <c r="CK136" s="7"/>
      <c r="CL136" s="7"/>
      <c r="CM136" s="7"/>
      <c r="CN136" s="7"/>
      <c r="CO136" s="7"/>
      <c r="CP136" s="7"/>
      <c r="CQ136" s="7"/>
      <c r="CR136" s="7"/>
      <c r="CS136" s="7"/>
    </row>
  </sheetData>
  <autoFilter ref="A1:CS136"/>
  <hyperlinks>
    <hyperlink ref="AE2" r:id="rId2" display="https://files.instinct.com/q91pr53q4umo-entidades-publicas-poder-y-presupuesto"/>
    <hyperlink ref="AE3" r:id="rId3" display="https://files.instinct.com/q91pr53q4umo-entidades-publicas-poder-y-presupuesto"/>
    <hyperlink ref="AE4" r:id="rId4" display="https://files.instinct.com/q91pr53q4umo-entidades-publicas-poder-y-presupuesto"/>
    <hyperlink ref="AE5" r:id="rId5" display="https://files.instinct.com/q91pr53q4umo-entidades-publicas-poder-y-presupuesto"/>
    <hyperlink ref="AE6" r:id="rId6" display="https://files.instinct.com/q91pr53q4umo-entidades-publicas-poder-y-presupuesto"/>
    <hyperlink ref="AE7" r:id="rId7" display="https://files.instinct.com/q91pr53q4umo-entidades-publicas-poder-y-presupuesto"/>
    <hyperlink ref="AE8" r:id="rId8" display="https://files.instinct.com/q91pr53q4umo-entidades-publicas-poder-y-presupuesto"/>
    <hyperlink ref="AE9" r:id="rId9" display="https://files.instinct.com/q91pr53q4umo-entidades-publicas-poder-y-presupuesto"/>
    <hyperlink ref="AE10" r:id="rId10" display="https://files.instinct.com/q91pr53q4umo-entidades-publicas-poder-y-presupuesto"/>
    <hyperlink ref="AE11" r:id="rId11" display="https://files.instinct.com/q91pr53q4umo-entidades-publicas-poder-y-presupuesto"/>
    <hyperlink ref="AE12" r:id="rId12" display="https://files.instinct.com/q91pr53q4umo-entidades-publicas-poder-y-presupuesto"/>
    <hyperlink ref="AE13" r:id="rId13" display="https://files.instinct.com/q91pr53q4umo-entidades-publicas-poder-y-presupuesto"/>
    <hyperlink ref="AE14" r:id="rId14" display="https://files.instinct.com/q91pr53q4umo-entidades-publicas-poder-y-presupuesto"/>
    <hyperlink ref="AE15" r:id="rId15" display="https://files.instinct.com/q91pr53q4umo-entidades-publicas-poder-y-presupuesto"/>
    <hyperlink ref="AE16" r:id="rId16" display="https://files.instinct.com/q91pr53q4umo-entidades-publicas-poder-y-presupuesto"/>
    <hyperlink ref="AE17" r:id="rId17" display="https://files.instinct.com/q91pr53q4umo-entidades-publicas-poder-y-presupuesto"/>
    <hyperlink ref="AE18" r:id="rId18" display="https://files.instinct.com/q91pr53q4umo-entidades-publicas-poder-y-presupuesto"/>
    <hyperlink ref="AE19" r:id="rId19" display="https://files.instinct.com/q91pr53q4umo-entidades-publicas-poder-y-presupuesto"/>
    <hyperlink ref="AE20" r:id="rId20" display="https://files.instinct.com/q91pr53q4umo-entidades-publicas-poder-y-presupuesto"/>
    <hyperlink ref="AE21" r:id="rId21" display="https://files.instinct.com/q91pr53q4umo-entidades-publicas-poder-y-presupuesto"/>
    <hyperlink ref="AE22" r:id="rId22" display="https://files.instinct.com/q91pr53q4umo-entidades-publicas-poder-y-presupuesto"/>
    <hyperlink ref="AE23" r:id="rId23" display="https://files.instinct.com/q91pr53q4umo-entidades-publicas-poder-y-presupuesto"/>
    <hyperlink ref="AE24" r:id="rId24" display="https://files.instinct.com/q91pr53q4umo-entidades-publicas-poder-y-presupuesto"/>
    <hyperlink ref="AE25" r:id="rId25" display="https://files.instinct.com/q91pr53q4umo-entidades-publicas-poder-y-presupuesto"/>
    <hyperlink ref="AE26" r:id="rId26" display="https://files.instinct.com/q91pr53q4umo-entidades-publicas-poder-y-presupuesto"/>
    <hyperlink ref="AE27" r:id="rId27" display="https://files.instinct.com/q91pr53q4umo-entidades-publicas-poder-y-presupuesto"/>
    <hyperlink ref="AE28" r:id="rId28" display="https://files.instinct.com/q91pr53q4umo-entidades-publicas-poder-y-presupuesto"/>
    <hyperlink ref="AE29" r:id="rId29" display="https://files.instinct.com/q91pr53q4umo-entidades-publicas-poder-y-presupuesto"/>
    <hyperlink ref="AE30" r:id="rId30" display="https://files.instinct.com/q91pr53q4umo-entidades-publicas-poder-y-presupuesto"/>
    <hyperlink ref="AE31" r:id="rId31" display="https://files.instinct.com/q91pr53q4umo-entidades-publicas-poder-y-presupuesto"/>
    <hyperlink ref="AE32" r:id="rId32" display="https://files.instinct.com/q91pr53q4umo-entidades-publicas-poder-y-presupuesto"/>
    <hyperlink ref="AE33" r:id="rId33" display="https://files.instinct.com/q91pr53q4umo-entidades-publicas-poder-y-presupuesto"/>
    <hyperlink ref="AE34" r:id="rId34" display="https://files.instinct.com/q91pr53q4umo-entidades-publicas-poder-y-presupuesto"/>
    <hyperlink ref="AE35" r:id="rId35" display="https://files.instinct.com/q91pr53q4umo-entidades-publicas-poder-y-presupuesto"/>
    <hyperlink ref="AE36" r:id="rId36" display="https://files.instinct.com/q91pr53q4umo-entidades-publicas-poder-y-presupuesto"/>
    <hyperlink ref="AE37" r:id="rId37" display="https://files.instinct.com/q91pr53q4umo-entidades-publicas-poder-y-presupuesto"/>
    <hyperlink ref="AE38" r:id="rId38" display="https://files.instinct.com/q91pr53q4umo-entidades-publicas-poder-y-presupuesto"/>
    <hyperlink ref="AE39" r:id="rId39" display="https://files.instinct.com/q91pr53q4umo-entidades-publicas-poder-y-presupuesto"/>
    <hyperlink ref="AE40" r:id="rId40" display="https://files.instinct.com/q91pr53q4umo-entidades-publicas-poder-y-presupuesto"/>
    <hyperlink ref="AE41" r:id="rId41" display="https://files.instinct.com/q91pr53q4umo-entidades-publicas-poder-y-presupuesto"/>
    <hyperlink ref="AE42" r:id="rId42" display="https://files.instinct.com/q91pr53q4umo-entidades-publicas-poder-y-presupuesto"/>
    <hyperlink ref="AE43" r:id="rId43" display="https://files.instinct.com/q91pr53q4umo-entidades-publicas-poder-y-presupuesto"/>
    <hyperlink ref="AE44" r:id="rId44" display="https://files.instinct.com/q91pr53q4umo-entidades-publicas-poder-y-presupuesto"/>
    <hyperlink ref="AE45" r:id="rId45" display="https://files.instinct.com/q91pr53q4umo-entidades-publicas-poder-y-presupuesto"/>
    <hyperlink ref="AE46" r:id="rId46" display="https://files.instinct.com/q91pr53q4umo-entidades-publicas-poder-y-presupuesto"/>
    <hyperlink ref="AE47" r:id="rId47" display="https://files.instinct.com/q91pr53q4umo-entidades-publicas-poder-y-presupuesto"/>
    <hyperlink ref="AE48" r:id="rId48" display="https://files.instinct.com/q91pr53q4umo-entidades-publicas-poder-y-presupuesto"/>
    <hyperlink ref="AE49" r:id="rId49" display="https://files.instinct.com/q91pr53q4umo-entidades-publicas-poder-y-presupuesto"/>
    <hyperlink ref="AE50" r:id="rId50" display="https://files.instinct.com/q91pr53q4umo-entidades-publicas-poder-y-presupuesto"/>
    <hyperlink ref="AE51" r:id="rId51" display="https://files.instinct.com/q91pr53q4umo-entidades-publicas-poder-y-presupuesto"/>
    <hyperlink ref="AE52" r:id="rId52" display="https://files.instinct.com/q91pr53q4umo-entidades-publicas-poder-y-presupuesto"/>
    <hyperlink ref="AE53" r:id="rId53" display="https://files.instinct.com/q91pr53q4umo-entidades-publicas-poder-y-presupuesto"/>
    <hyperlink ref="AE54" r:id="rId54" display="https://files.instinct.com/q91pr53q4umo-entidades-publicas-poder-y-presupuesto"/>
    <hyperlink ref="AE55" r:id="rId55" display="https://files.instinct.com/q91pr53q4umo-entidades-publicas-poder-y-presupuesto"/>
    <hyperlink ref="AE56" r:id="rId56" display="https://files.instinct.com/q91pr53q4umo-entidades-publicas-poder-y-presupuesto"/>
    <hyperlink ref="AE57" r:id="rId57" display="https://files.instinct.com/q91pr53q4umo-entidades-publicas-poder-y-presupuesto"/>
    <hyperlink ref="AE58" r:id="rId58" display="https://files.instinct.com/q91pr53q4umo-entidades-publicas-poder-y-presupuesto"/>
    <hyperlink ref="AE59" r:id="rId59" display="https://files.instinct.com/q91pr53q4umo-entidades-publicas-poder-y-presupuesto"/>
    <hyperlink ref="AE60" r:id="rId60" display="https://files.instinct.com/q91pr53q4umo-entidades-publicas-poder-y-presupuesto"/>
    <hyperlink ref="AE61" r:id="rId61" display="https://files.instinct.com/q91pr53q4umo-entidades-publicas-poder-y-presupuesto"/>
    <hyperlink ref="AE62" r:id="rId62" display="https://files.instinct.com/q91pr53q4umo-entidades-publicas-poder-y-presupuesto"/>
    <hyperlink ref="AE63" r:id="rId63" display="https://files.instinct.com/q91pr53q4umo-entidades-publicas-poder-y-presupuesto"/>
    <hyperlink ref="AE64" r:id="rId64" display="https://files.instinct.com/q91pr53q4umo-entidades-publicas-poder-y-presupuesto"/>
    <hyperlink ref="AE65" r:id="rId65" display="https://files.instinct.com/q91pr53q4umo-entidades-publicas-poder-y-presupuesto"/>
    <hyperlink ref="AE66" r:id="rId66" display="https://files.instinct.com/q91pr53q4umo-entidades-publicas-poder-y-presupuesto"/>
    <hyperlink ref="AE67" r:id="rId67" display="https://files.instinct.com/q91pr53q4umo-entidades-publicas-poder-y-presupuesto"/>
    <hyperlink ref="AE68" r:id="rId68" display="https://files.instinct.com/q91pr53q4umo-entidades-publicas-poder-y-presupuesto"/>
    <hyperlink ref="AE69" r:id="rId69" display="https://files.instinct.com/q91pr53q4umo-entidades-publicas-poder-y-presupuesto"/>
    <hyperlink ref="AE70" r:id="rId70" display="https://files.instinct.com/q91pr53q4umo-entidades-publicas-poder-y-presupuesto"/>
    <hyperlink ref="AE71" r:id="rId71" display="https://files.instinct.com/q91pr53q4umo-entidades-publicas-poder-y-presupuesto"/>
    <hyperlink ref="AE72" r:id="rId72" display="https://files.instinct.com/q91pr53q4umo-entidades-publicas-poder-y-presupuesto"/>
    <hyperlink ref="AE73" r:id="rId73" display="https://files.instinct.com/q91pr53q4umo-entidades-publicas-poder-y-presupuesto"/>
    <hyperlink ref="AE74" r:id="rId74" display="https://files.instinct.com/q91pr53q4umo-entidades-publicas-poder-y-presupuesto"/>
    <hyperlink ref="AE75" r:id="rId75" display="https://files.instinct.com/q91pr53q4umo-entidades-publicas-poder-y-presupuesto"/>
    <hyperlink ref="AE76" r:id="rId76" display="https://files.instinct.com/q91pr53q4umo-entidades-publicas-poder-y-presupuesto"/>
    <hyperlink ref="AE77" r:id="rId77" display="https://files.instinct.com/q91pr53q4umo-entidades-publicas-poder-y-presupuesto"/>
    <hyperlink ref="AE78" r:id="rId78" display="https://files.instinct.com/q91pr53q4umo-entidades-publicas-poder-y-presupuesto"/>
    <hyperlink ref="AE79" r:id="rId79" display="https://files.instinct.com/q91pr53q4umo-entidades-publicas-poder-y-presupuesto"/>
    <hyperlink ref="AE80" r:id="rId80" display="https://files.instinct.com/q91pr53q4umo-entidades-publicas-poder-y-presupuesto"/>
    <hyperlink ref="AE81" r:id="rId81" display="https://files.instinct.com/q91pr53q4umo-entidades-publicas-poder-y-presupuesto"/>
    <hyperlink ref="AE82" r:id="rId82" display="https://files.instinct.com/q91pr53q4umo-entidades-publicas-poder-y-presupuesto"/>
    <hyperlink ref="AE83" r:id="rId83" display="https://files.instinct.com/q91pr53q4umo-entidades-publicas-poder-y-presupuesto"/>
    <hyperlink ref="AE84" r:id="rId84" display="https://files.instinct.com/q91pr53q4umo-entidades-publicas-poder-y-presupuesto"/>
    <hyperlink ref="AE85" r:id="rId85" display="https://files.instinct.com/q91pr53q4umo-entidades-publicas-poder-y-presupuesto"/>
    <hyperlink ref="AE86" r:id="rId86" display="https://files.instinct.com/q91pr53q4umo-entidades-publicas-poder-y-presupuesto"/>
    <hyperlink ref="AE87" r:id="rId87" display="https://files.instinct.com/q91pr53q4umo-entidades-publicas-poder-y-presupuesto"/>
    <hyperlink ref="AE88" r:id="rId88" display="https://files.instinct.com/q91pr53q4umo-entidades-publicas-poder-y-presupuesto"/>
    <hyperlink ref="AE89" r:id="rId89" display="https://files.instinct.com/q91pr53q4umo-entidades-publicas-poder-y-presupuesto"/>
    <hyperlink ref="AE90" r:id="rId90" display="https://files.instinct.com/q91pr53q4umo-entidades-publicas-poder-y-presupuesto"/>
    <hyperlink ref="AE91" r:id="rId91" display="https://files.instinct.com/q91pr53q4umo-entidades-publicas-poder-y-presupuesto"/>
    <hyperlink ref="AE92" r:id="rId92" display="https://files.instinct.com/q91pr53q4umo-entidades-publicas-poder-y-presupuesto"/>
    <hyperlink ref="AE93" r:id="rId93" display="https://files.instinct.com/q91pr53q4umo-entidades-publicas-poder-y-presupuesto"/>
    <hyperlink ref="AE94" r:id="rId94" display="https://files.instinct.com/q91pr53q4umo-entidades-publicas-poder-y-presupuesto"/>
    <hyperlink ref="AE95" r:id="rId95" display="https://files.instinct.com/q91pr53q4umo-entidades-publicas-poder-y-presupuesto"/>
    <hyperlink ref="AE96" r:id="rId96" display="https://files.instinct.com/q91pr53q4umo-entidades-publicas-poder-y-presupuesto"/>
    <hyperlink ref="AE97" r:id="rId97" display="https://files.instinct.com/q91pr53q4umo-entidades-publicas-poder-y-presupuesto"/>
    <hyperlink ref="AE98" r:id="rId98" display="https://files.instinct.com/q91pr53q4umo-entidades-publicas-poder-y-presupuesto"/>
    <hyperlink ref="AE99" r:id="rId99" display="https://files.instinct.com/q91pr53q4umo-entidades-publicas-poder-y-presupuesto"/>
    <hyperlink ref="AE100" r:id="rId100" display="https://files.instinct.com/q91pr53q4umo-entidades-publicas-poder-y-presupuesto"/>
    <hyperlink ref="AE101" r:id="rId101" display="https://files.instinct.com/q91pr53q4umo-entidades-publicas-poder-y-presupuesto"/>
    <hyperlink ref="AE102" r:id="rId102" display="https://files.instinct.com/q91pr53q4umo-entidades-publicas-poder-y-presupuesto"/>
    <hyperlink ref="AE103" r:id="rId103" display="https://files.instinct.com/q91pr53q4umo-entidades-publicas-poder-y-presupuesto"/>
    <hyperlink ref="AE104" r:id="rId104" display="https://files.instinct.com/q91pr53q4umo-entidades-publicas-poder-y-presupuesto"/>
    <hyperlink ref="AE105" r:id="rId105" display="https://files.instinct.com/q91pr53q4umo-entidades-publicas-poder-y-presupuesto"/>
    <hyperlink ref="AE106" r:id="rId106" display="https://files.instinct.com/q91pr53q4umo-entidades-publicas-poder-y-presupuesto"/>
    <hyperlink ref="AE107" r:id="rId107" display="https://files.instinct.com/q91pr53q4umo-entidades-publicas-poder-y-presupuesto"/>
    <hyperlink ref="AE108" r:id="rId108" display="https://files.instinct.com/q91pr53q4umo-entidades-publicas-poder-y-presupuesto"/>
    <hyperlink ref="AE109" r:id="rId109" display="https://files.instinct.com/q91pr53q4umo-entidades-publicas-poder-y-presupuesto"/>
    <hyperlink ref="AE110" r:id="rId110" display="https://files.instinct.com/q91pr53q4umo-entidades-publicas-poder-y-presupuesto"/>
    <hyperlink ref="AE111" r:id="rId111" display="https://files.instinct.com/q91pr53q4umo-entidades-publicas-poder-y-presupuesto"/>
    <hyperlink ref="AE112" r:id="rId112" display="https://www.caib.es/sites/pressuposts/f/540093"/>
    <hyperlink ref="AE113" r:id="rId113" display="https://files.instinct.com/q91pr53q4umo-entidades-publicas-poder-y-presupuesto"/>
    <hyperlink ref="AE114" r:id="rId114" display="https://files.instinct.com/q91pr53q4umo-entidades-publicas-poder-y-presupuesto"/>
    <hyperlink ref="AE115" r:id="rId115" display="https://files.instinct.com/q91pr53q4umo-entidades-publicas-poder-y-presupuesto"/>
    <hyperlink ref="AE116" r:id="rId116" display="https://files.instinct.com/q91pr53q4umo-entidades-publicas-poder-y-presupuesto"/>
    <hyperlink ref="AE117" r:id="rId117" display="https://files.instinct.com/q91pr53q4umo-entidades-publicas-poder-y-presupuesto"/>
    <hyperlink ref="AE118" r:id="rId118" display="https://files.instinct.com/q91pr53q4umo-entidades-publicas-poder-y-presupuesto"/>
    <hyperlink ref="AE119" r:id="rId119" display="https://files.instinct.com/q91pr53q4umo-entidades-publicas-poder-y-presupuesto"/>
    <hyperlink ref="AE120" r:id="rId120" display="https://files.instinct.com/q91pr53q4umo-entidades-publicas-poder-y-presupuesto"/>
    <hyperlink ref="AE121" r:id="rId121" display="https://files.instinct.com/q91pr53q4umo-entidades-publicas-poder-y-presupuesto"/>
    <hyperlink ref="AE122" r:id="rId122" display="https://files.instinct.com/q91pr53q4umo-entidades-publicas-poder-y-presupuesto"/>
    <hyperlink ref="AE123" r:id="rId123" display="https://files.instinct.com/q91pr53q4umo-entidades-publicas-poder-y-presupuesto"/>
    <hyperlink ref="AE124" r:id="rId124" display="https://files.instinct.com/q91pr53q4umo-entidades-publicas-poder-y-presupuest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5"/>
  <legacyDrawing r:id="rId126"/>
  <tableParts>
    <tablePart r:id="rId12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34"/>
    <col collapsed="false" customWidth="true" hidden="false" outlineLevel="0" max="4" min="4" style="0" width="7"/>
    <col collapsed="false" customWidth="true" hidden="false" outlineLevel="0" max="5" min="5" style="0" width="50"/>
    <col collapsed="false" customWidth="true" hidden="false" outlineLevel="0" max="6" min="6" style="0" width="60"/>
  </cols>
  <sheetData>
    <row r="1" customFormat="false" ht="15" hidden="false" customHeight="false" outlineLevel="0" collapsed="false">
      <c r="A1" s="29" t="s">
        <v>355</v>
      </c>
      <c r="B1" s="29" t="s">
        <v>359</v>
      </c>
      <c r="C1" s="29" t="s">
        <v>3458</v>
      </c>
      <c r="D1" s="29" t="s">
        <v>3459</v>
      </c>
      <c r="E1" s="29" t="s">
        <v>3460</v>
      </c>
      <c r="F1" s="29" t="s">
        <v>3461</v>
      </c>
    </row>
    <row r="2" customFormat="false" ht="28.35" hidden="false" customHeight="false" outlineLevel="0" collapsed="false">
      <c r="A2" s="4" t="n">
        <v>126</v>
      </c>
      <c r="B2" s="4" t="s">
        <v>3200</v>
      </c>
      <c r="C2" s="4" t="s">
        <v>3462</v>
      </c>
      <c r="D2" s="4"/>
      <c r="E2" s="4"/>
      <c r="F2" s="4" t="s">
        <v>3463</v>
      </c>
    </row>
    <row r="3" customFormat="false" ht="28.35" hidden="false" customHeight="false" outlineLevel="0" collapsed="false">
      <c r="A3" s="4" t="n">
        <v>127</v>
      </c>
      <c r="B3" s="4" t="s">
        <v>3227</v>
      </c>
      <c r="C3" s="4" t="s">
        <v>3462</v>
      </c>
      <c r="D3" s="4"/>
      <c r="E3" s="4"/>
      <c r="F3" s="4" t="s">
        <v>3463</v>
      </c>
    </row>
    <row r="4" customFormat="false" ht="28.35" hidden="false" customHeight="false" outlineLevel="0" collapsed="false">
      <c r="A4" s="4" t="n">
        <v>128</v>
      </c>
      <c r="B4" s="4" t="s">
        <v>3253</v>
      </c>
      <c r="C4" s="4" t="s">
        <v>3462</v>
      </c>
      <c r="D4" s="4"/>
      <c r="E4" s="4"/>
      <c r="F4" s="4" t="s">
        <v>3463</v>
      </c>
    </row>
    <row r="5" customFormat="false" ht="28.35" hidden="false" customHeight="false" outlineLevel="0" collapsed="false">
      <c r="A5" s="4" t="n">
        <v>129</v>
      </c>
      <c r="B5" s="4" t="s">
        <v>3280</v>
      </c>
      <c r="C5" s="4" t="s">
        <v>3462</v>
      </c>
      <c r="D5" s="4"/>
      <c r="E5" s="4"/>
      <c r="F5" s="4" t="s">
        <v>3463</v>
      </c>
    </row>
    <row r="6" customFormat="false" ht="28.35" hidden="false" customHeight="false" outlineLevel="0" collapsed="false">
      <c r="A6" s="4" t="n">
        <v>130</v>
      </c>
      <c r="B6" s="4" t="s">
        <v>3308</v>
      </c>
      <c r="C6" s="4" t="s">
        <v>3462</v>
      </c>
      <c r="D6" s="4"/>
      <c r="E6" s="4"/>
      <c r="F6" s="4" t="s">
        <v>3463</v>
      </c>
    </row>
    <row r="7" customFormat="false" ht="28.35" hidden="false" customHeight="false" outlineLevel="0" collapsed="false">
      <c r="A7" s="4" t="n">
        <v>131</v>
      </c>
      <c r="B7" s="4" t="s">
        <v>3330</v>
      </c>
      <c r="C7" s="4" t="s">
        <v>3462</v>
      </c>
      <c r="D7" s="4"/>
      <c r="E7" s="4"/>
      <c r="F7" s="4" t="s">
        <v>3463</v>
      </c>
    </row>
    <row r="8" customFormat="false" ht="28.35" hidden="false" customHeight="false" outlineLevel="0" collapsed="false">
      <c r="A8" s="4" t="n">
        <v>132</v>
      </c>
      <c r="B8" s="4" t="s">
        <v>3354</v>
      </c>
      <c r="C8" s="4" t="s">
        <v>3462</v>
      </c>
      <c r="D8" s="4"/>
      <c r="E8" s="4"/>
      <c r="F8" s="4" t="s">
        <v>3463</v>
      </c>
    </row>
    <row r="9" customFormat="false" ht="28.35" hidden="false" customHeight="false" outlineLevel="0" collapsed="false">
      <c r="A9" s="4" t="n">
        <v>133</v>
      </c>
      <c r="B9" s="4" t="s">
        <v>3378</v>
      </c>
      <c r="C9" s="4" t="s">
        <v>3462</v>
      </c>
      <c r="D9" s="4"/>
      <c r="E9" s="4"/>
      <c r="F9" s="4" t="s">
        <v>3463</v>
      </c>
    </row>
    <row r="10" customFormat="false" ht="28.35" hidden="false" customHeight="false" outlineLevel="0" collapsed="false">
      <c r="A10" s="4" t="n">
        <v>134</v>
      </c>
      <c r="B10" s="4" t="s">
        <v>3404</v>
      </c>
      <c r="C10" s="4" t="s">
        <v>3462</v>
      </c>
      <c r="D10" s="4"/>
      <c r="E10" s="4"/>
      <c r="F10" s="4" t="s">
        <v>3463</v>
      </c>
    </row>
    <row r="11" customFormat="false" ht="28.35" hidden="false" customHeight="false" outlineLevel="0" collapsed="false">
      <c r="A11" s="4" t="n">
        <v>135</v>
      </c>
      <c r="B11" s="4" t="s">
        <v>3430</v>
      </c>
      <c r="C11" s="4" t="s">
        <v>3462</v>
      </c>
      <c r="D11" s="4"/>
      <c r="E11" s="4"/>
      <c r="F11" s="4" t="s">
        <v>3463</v>
      </c>
    </row>
    <row r="12" customFormat="false" ht="28.35" hidden="false" customHeight="false" outlineLevel="0" collapsed="false">
      <c r="A12" s="4" t="n">
        <v>1</v>
      </c>
      <c r="B12" s="4" t="s">
        <v>454</v>
      </c>
      <c r="C12" s="4" t="s">
        <v>427</v>
      </c>
      <c r="D12" s="4" t="s">
        <v>3464</v>
      </c>
      <c r="E12" s="4"/>
      <c r="F12" s="4" t="s">
        <v>26</v>
      </c>
    </row>
    <row r="13" customFormat="false" ht="28.35" hidden="false" customHeight="false" outlineLevel="0" collapsed="false">
      <c r="A13" s="4" t="n">
        <v>1</v>
      </c>
      <c r="B13" s="4" t="s">
        <v>454</v>
      </c>
      <c r="C13" s="4" t="s">
        <v>428</v>
      </c>
      <c r="D13" s="4" t="s">
        <v>3465</v>
      </c>
      <c r="E13" s="4"/>
      <c r="F13" s="4" t="s">
        <v>26</v>
      </c>
    </row>
    <row r="14" customFormat="false" ht="28.35" hidden="false" customHeight="false" outlineLevel="0" collapsed="false">
      <c r="A14" s="4" t="n">
        <v>1</v>
      </c>
      <c r="B14" s="4" t="s">
        <v>454</v>
      </c>
      <c r="C14" s="4" t="s">
        <v>429</v>
      </c>
      <c r="D14" s="4" t="s">
        <v>3466</v>
      </c>
      <c r="E14" s="4"/>
      <c r="F14" s="4" t="s">
        <v>39</v>
      </c>
    </row>
    <row r="15" customFormat="false" ht="28.35" hidden="false" customHeight="false" outlineLevel="0" collapsed="false">
      <c r="A15" s="4" t="n">
        <v>1</v>
      </c>
      <c r="B15" s="4" t="s">
        <v>454</v>
      </c>
      <c r="C15" s="4" t="s">
        <v>430</v>
      </c>
      <c r="D15" s="4" t="s">
        <v>3467</v>
      </c>
      <c r="E15" s="4"/>
      <c r="F15" s="4" t="s">
        <v>483</v>
      </c>
    </row>
    <row r="16" customFormat="false" ht="28.35" hidden="false" customHeight="false" outlineLevel="0" collapsed="false">
      <c r="A16" s="4" t="n">
        <v>1</v>
      </c>
      <c r="B16" s="4" t="s">
        <v>454</v>
      </c>
      <c r="C16" s="4" t="s">
        <v>431</v>
      </c>
      <c r="D16" s="4" t="s">
        <v>3468</v>
      </c>
      <c r="E16" s="4"/>
      <c r="F16" s="4" t="s">
        <v>484</v>
      </c>
    </row>
    <row r="17" customFormat="false" ht="28.35" hidden="false" customHeight="false" outlineLevel="0" collapsed="false">
      <c r="A17" s="4" t="n">
        <v>1</v>
      </c>
      <c r="B17" s="4" t="s">
        <v>454</v>
      </c>
      <c r="C17" s="4" t="s">
        <v>432</v>
      </c>
      <c r="D17" s="4" t="s">
        <v>3469</v>
      </c>
      <c r="E17" s="4"/>
      <c r="F17" s="4" t="s">
        <v>485</v>
      </c>
    </row>
    <row r="18" customFormat="false" ht="28.35" hidden="false" customHeight="false" outlineLevel="0" collapsed="false">
      <c r="A18" s="4" t="n">
        <v>1</v>
      </c>
      <c r="B18" s="4" t="s">
        <v>454</v>
      </c>
      <c r="C18" s="4" t="s">
        <v>433</v>
      </c>
      <c r="D18" s="4" t="s">
        <v>3470</v>
      </c>
      <c r="E18" s="4"/>
      <c r="F18" s="4" t="s">
        <v>486</v>
      </c>
    </row>
    <row r="19" customFormat="false" ht="28.35" hidden="false" customHeight="false" outlineLevel="0" collapsed="false">
      <c r="A19" s="4" t="n">
        <v>1</v>
      </c>
      <c r="B19" s="4" t="s">
        <v>454</v>
      </c>
      <c r="C19" s="4" t="s">
        <v>436</v>
      </c>
      <c r="D19" s="4" t="s">
        <v>3471</v>
      </c>
      <c r="E19" s="4"/>
      <c r="F19" s="4" t="s">
        <v>164</v>
      </c>
    </row>
    <row r="20" customFormat="false" ht="28.35" hidden="false" customHeight="false" outlineLevel="0" collapsed="false">
      <c r="A20" s="4" t="n">
        <v>1</v>
      </c>
      <c r="B20" s="4" t="s">
        <v>454</v>
      </c>
      <c r="C20" s="4" t="s">
        <v>437</v>
      </c>
      <c r="D20" s="4" t="s">
        <v>3472</v>
      </c>
      <c r="E20" s="4"/>
      <c r="F20" s="4" t="n">
        <v>3</v>
      </c>
    </row>
    <row r="21" customFormat="false" ht="41.75" hidden="false" customHeight="false" outlineLevel="0" collapsed="false">
      <c r="A21" s="4" t="n">
        <v>2</v>
      </c>
      <c r="B21" s="4" t="s">
        <v>487</v>
      </c>
      <c r="C21" s="4" t="s">
        <v>375</v>
      </c>
      <c r="D21" s="4" t="s">
        <v>3473</v>
      </c>
      <c r="E21" s="4" t="s">
        <v>579</v>
      </c>
      <c r="F21" s="4" t="s">
        <v>497</v>
      </c>
    </row>
    <row r="22" customFormat="false" ht="122.35" hidden="false" customHeight="false" outlineLevel="0" collapsed="false">
      <c r="A22" s="4" t="n">
        <v>2</v>
      </c>
      <c r="B22" s="4" t="s">
        <v>487</v>
      </c>
      <c r="C22" s="4" t="s">
        <v>380</v>
      </c>
      <c r="D22" s="4" t="s">
        <v>3474</v>
      </c>
      <c r="E22" s="4" t="s">
        <v>3475</v>
      </c>
      <c r="F22" s="4" t="s">
        <v>500</v>
      </c>
    </row>
    <row r="23" customFormat="false" ht="15" hidden="false" customHeight="false" outlineLevel="0" collapsed="false">
      <c r="A23" s="4" t="n">
        <v>2</v>
      </c>
      <c r="B23" s="4" t="s">
        <v>487</v>
      </c>
      <c r="C23" s="4" t="s">
        <v>387</v>
      </c>
      <c r="D23" s="4" t="s">
        <v>3476</v>
      </c>
      <c r="E23" s="4"/>
      <c r="F23" s="4" t="n">
        <v>346</v>
      </c>
    </row>
    <row r="24" customFormat="false" ht="15" hidden="false" customHeight="false" outlineLevel="0" collapsed="false">
      <c r="A24" s="4" t="n">
        <v>2</v>
      </c>
      <c r="B24" s="4" t="s">
        <v>487</v>
      </c>
      <c r="C24" s="4" t="s">
        <v>388</v>
      </c>
      <c r="D24" s="4" t="s">
        <v>3477</v>
      </c>
      <c r="E24" s="4"/>
      <c r="F24" s="4" t="s">
        <v>501</v>
      </c>
    </row>
    <row r="25" customFormat="false" ht="68.65" hidden="false" customHeight="false" outlineLevel="0" collapsed="false">
      <c r="A25" s="4" t="n">
        <v>2</v>
      </c>
      <c r="B25" s="4" t="s">
        <v>487</v>
      </c>
      <c r="C25" s="4" t="s">
        <v>389</v>
      </c>
      <c r="D25" s="4" t="s">
        <v>3478</v>
      </c>
      <c r="E25" s="4" t="s">
        <v>472</v>
      </c>
      <c r="F25" s="4" t="s">
        <v>502</v>
      </c>
    </row>
    <row r="26" customFormat="false" ht="28.35" hidden="false" customHeight="false" outlineLevel="0" collapsed="false">
      <c r="A26" s="4" t="n">
        <v>2</v>
      </c>
      <c r="B26" s="4" t="s">
        <v>487</v>
      </c>
      <c r="C26" s="4" t="s">
        <v>390</v>
      </c>
      <c r="D26" s="4" t="s">
        <v>3479</v>
      </c>
      <c r="E26" s="4" t="s">
        <v>473</v>
      </c>
      <c r="F26" s="4" t="s">
        <v>503</v>
      </c>
    </row>
    <row r="27" customFormat="false" ht="41.75" hidden="false" customHeight="false" outlineLevel="0" collapsed="false">
      <c r="A27" s="4" t="n">
        <v>2</v>
      </c>
      <c r="B27" s="4" t="s">
        <v>487</v>
      </c>
      <c r="C27" s="4" t="s">
        <v>391</v>
      </c>
      <c r="D27" s="4" t="s">
        <v>3480</v>
      </c>
      <c r="E27" s="4"/>
      <c r="F27" s="4" t="s">
        <v>504</v>
      </c>
    </row>
    <row r="28" customFormat="false" ht="41.75" hidden="false" customHeight="false" outlineLevel="0" collapsed="false">
      <c r="A28" s="4" t="n">
        <v>2</v>
      </c>
      <c r="B28" s="4" t="s">
        <v>487</v>
      </c>
      <c r="C28" s="4" t="s">
        <v>403</v>
      </c>
      <c r="D28" s="4" t="s">
        <v>3481</v>
      </c>
      <c r="E28" s="4" t="s">
        <v>1032</v>
      </c>
      <c r="F28" s="4" t="s">
        <v>511</v>
      </c>
    </row>
    <row r="29" customFormat="false" ht="15" hidden="false" customHeight="false" outlineLevel="0" collapsed="false">
      <c r="A29" s="4" t="n">
        <v>2</v>
      </c>
      <c r="B29" s="4" t="s">
        <v>487</v>
      </c>
      <c r="C29" s="4" t="s">
        <v>427</v>
      </c>
      <c r="D29" s="4" t="s">
        <v>3464</v>
      </c>
      <c r="E29" s="4"/>
      <c r="F29" s="4" t="s">
        <v>23</v>
      </c>
    </row>
    <row r="30" customFormat="false" ht="15" hidden="false" customHeight="false" outlineLevel="0" collapsed="false">
      <c r="A30" s="4" t="n">
        <v>2</v>
      </c>
      <c r="B30" s="4" t="s">
        <v>487</v>
      </c>
      <c r="C30" s="4" t="s">
        <v>428</v>
      </c>
      <c r="D30" s="4" t="s">
        <v>3465</v>
      </c>
      <c r="E30" s="4"/>
      <c r="F30" s="4" t="s">
        <v>28</v>
      </c>
    </row>
    <row r="31" customFormat="false" ht="15" hidden="false" customHeight="false" outlineLevel="0" collapsed="false">
      <c r="A31" s="4" t="n">
        <v>2</v>
      </c>
      <c r="B31" s="4" t="s">
        <v>487</v>
      </c>
      <c r="C31" s="4" t="s">
        <v>429</v>
      </c>
      <c r="D31" s="4" t="s">
        <v>3466</v>
      </c>
      <c r="E31" s="4"/>
      <c r="F31" s="4" t="s">
        <v>35</v>
      </c>
    </row>
    <row r="32" customFormat="false" ht="28.35" hidden="false" customHeight="false" outlineLevel="0" collapsed="false">
      <c r="A32" s="4" t="n">
        <v>2</v>
      </c>
      <c r="B32" s="4" t="s">
        <v>487</v>
      </c>
      <c r="C32" s="4" t="s">
        <v>431</v>
      </c>
      <c r="D32" s="4" t="s">
        <v>3468</v>
      </c>
      <c r="E32" s="4"/>
      <c r="F32" s="4" t="s">
        <v>523</v>
      </c>
    </row>
    <row r="33" customFormat="false" ht="15" hidden="false" customHeight="false" outlineLevel="0" collapsed="false">
      <c r="A33" s="4" t="n">
        <v>2</v>
      </c>
      <c r="B33" s="4" t="s">
        <v>487</v>
      </c>
      <c r="C33" s="4" t="s">
        <v>432</v>
      </c>
      <c r="D33" s="4" t="s">
        <v>3469</v>
      </c>
      <c r="E33" s="4"/>
      <c r="F33" s="4" t="s">
        <v>524</v>
      </c>
    </row>
    <row r="34" customFormat="false" ht="15" hidden="false" customHeight="false" outlineLevel="0" collapsed="false">
      <c r="A34" s="4" t="n">
        <v>2</v>
      </c>
      <c r="B34" s="4" t="s">
        <v>487</v>
      </c>
      <c r="C34" s="4" t="s">
        <v>433</v>
      </c>
      <c r="D34" s="4" t="s">
        <v>3470</v>
      </c>
      <c r="E34" s="4"/>
      <c r="F34" s="4" t="s">
        <v>525</v>
      </c>
    </row>
    <row r="35" customFormat="false" ht="28.35" hidden="false" customHeight="false" outlineLevel="0" collapsed="false">
      <c r="A35" s="4" t="n">
        <v>2</v>
      </c>
      <c r="B35" s="4" t="s">
        <v>487</v>
      </c>
      <c r="C35" s="4" t="s">
        <v>434</v>
      </c>
      <c r="D35" s="4" t="s">
        <v>3482</v>
      </c>
      <c r="E35" s="4"/>
      <c r="F35" s="4" t="s">
        <v>526</v>
      </c>
    </row>
    <row r="36" customFormat="false" ht="15" hidden="false" customHeight="false" outlineLevel="0" collapsed="false">
      <c r="A36" s="4" t="n">
        <v>2</v>
      </c>
      <c r="B36" s="4" t="s">
        <v>487</v>
      </c>
      <c r="C36" s="4" t="s">
        <v>436</v>
      </c>
      <c r="D36" s="4" t="s">
        <v>3471</v>
      </c>
      <c r="E36" s="4"/>
      <c r="F36" s="4" t="s">
        <v>527</v>
      </c>
    </row>
    <row r="37" customFormat="false" ht="135.8" hidden="false" customHeight="false" outlineLevel="0" collapsed="false">
      <c r="A37" s="4" t="n">
        <v>3</v>
      </c>
      <c r="B37" s="4" t="s">
        <v>528</v>
      </c>
      <c r="C37" s="4" t="s">
        <v>380</v>
      </c>
      <c r="D37" s="4" t="s">
        <v>3474</v>
      </c>
      <c r="E37" s="4" t="s">
        <v>3483</v>
      </c>
      <c r="F37" s="4" t="s">
        <v>536</v>
      </c>
    </row>
    <row r="38" customFormat="false" ht="15" hidden="false" customHeight="false" outlineLevel="0" collapsed="false">
      <c r="A38" s="4" t="n">
        <v>3</v>
      </c>
      <c r="B38" s="4" t="s">
        <v>528</v>
      </c>
      <c r="C38" s="4" t="s">
        <v>387</v>
      </c>
      <c r="D38" s="4" t="s">
        <v>3476</v>
      </c>
      <c r="E38" s="4"/>
      <c r="F38" s="4" t="n">
        <v>24</v>
      </c>
    </row>
    <row r="39" customFormat="false" ht="15" hidden="false" customHeight="false" outlineLevel="0" collapsed="false">
      <c r="A39" s="4" t="n">
        <v>3</v>
      </c>
      <c r="B39" s="4" t="s">
        <v>528</v>
      </c>
      <c r="C39" s="4" t="s">
        <v>388</v>
      </c>
      <c r="D39" s="4" t="s">
        <v>3477</v>
      </c>
      <c r="E39" s="4"/>
      <c r="F39" s="4" t="s">
        <v>501</v>
      </c>
    </row>
    <row r="40" customFormat="false" ht="68.65" hidden="false" customHeight="false" outlineLevel="0" collapsed="false">
      <c r="A40" s="4" t="n">
        <v>3</v>
      </c>
      <c r="B40" s="4" t="s">
        <v>528</v>
      </c>
      <c r="C40" s="4" t="s">
        <v>389</v>
      </c>
      <c r="D40" s="4" t="s">
        <v>3478</v>
      </c>
      <c r="E40" s="4" t="s">
        <v>472</v>
      </c>
      <c r="F40" s="4" t="s">
        <v>537</v>
      </c>
    </row>
    <row r="41" customFormat="false" ht="28.35" hidden="false" customHeight="false" outlineLevel="0" collapsed="false">
      <c r="A41" s="4" t="n">
        <v>3</v>
      </c>
      <c r="B41" s="4" t="s">
        <v>528</v>
      </c>
      <c r="C41" s="4" t="s">
        <v>390</v>
      </c>
      <c r="D41" s="4" t="s">
        <v>3479</v>
      </c>
      <c r="E41" s="4" t="s">
        <v>473</v>
      </c>
      <c r="F41" s="4" t="s">
        <v>503</v>
      </c>
    </row>
    <row r="42" customFormat="false" ht="41.75" hidden="false" customHeight="false" outlineLevel="0" collapsed="false">
      <c r="A42" s="4" t="n">
        <v>3</v>
      </c>
      <c r="B42" s="4" t="s">
        <v>528</v>
      </c>
      <c r="C42" s="4" t="s">
        <v>391</v>
      </c>
      <c r="D42" s="4" t="s">
        <v>3480</v>
      </c>
      <c r="E42" s="4"/>
      <c r="F42" s="4" t="s">
        <v>504</v>
      </c>
    </row>
    <row r="43" customFormat="false" ht="41.75" hidden="false" customHeight="false" outlineLevel="0" collapsed="false">
      <c r="A43" s="4" t="n">
        <v>3</v>
      </c>
      <c r="B43" s="4" t="s">
        <v>528</v>
      </c>
      <c r="C43" s="4" t="s">
        <v>403</v>
      </c>
      <c r="D43" s="4" t="s">
        <v>3481</v>
      </c>
      <c r="E43" s="4" t="s">
        <v>1032</v>
      </c>
      <c r="F43" s="4" t="s">
        <v>511</v>
      </c>
    </row>
    <row r="44" customFormat="false" ht="15" hidden="false" customHeight="false" outlineLevel="0" collapsed="false">
      <c r="A44" s="4" t="n">
        <v>3</v>
      </c>
      <c r="B44" s="4" t="s">
        <v>528</v>
      </c>
      <c r="C44" s="4" t="s">
        <v>427</v>
      </c>
      <c r="D44" s="4" t="s">
        <v>3464</v>
      </c>
      <c r="E44" s="4"/>
      <c r="F44" s="4" t="s">
        <v>23</v>
      </c>
    </row>
    <row r="45" customFormat="false" ht="15" hidden="false" customHeight="false" outlineLevel="0" collapsed="false">
      <c r="A45" s="4" t="n">
        <v>3</v>
      </c>
      <c r="B45" s="4" t="s">
        <v>528</v>
      </c>
      <c r="C45" s="4" t="s">
        <v>428</v>
      </c>
      <c r="D45" s="4" t="s">
        <v>3465</v>
      </c>
      <c r="E45" s="4"/>
      <c r="F45" s="4" t="s">
        <v>28</v>
      </c>
    </row>
    <row r="46" customFormat="false" ht="15" hidden="false" customHeight="false" outlineLevel="0" collapsed="false">
      <c r="A46" s="4" t="n">
        <v>3</v>
      </c>
      <c r="B46" s="4" t="s">
        <v>528</v>
      </c>
      <c r="C46" s="4" t="s">
        <v>429</v>
      </c>
      <c r="D46" s="4" t="s">
        <v>3466</v>
      </c>
      <c r="E46" s="4"/>
      <c r="F46" s="4" t="s">
        <v>35</v>
      </c>
    </row>
    <row r="47" customFormat="false" ht="15" hidden="false" customHeight="false" outlineLevel="0" collapsed="false">
      <c r="A47" s="4" t="n">
        <v>3</v>
      </c>
      <c r="B47" s="4" t="s">
        <v>528</v>
      </c>
      <c r="C47" s="4" t="s">
        <v>431</v>
      </c>
      <c r="D47" s="4" t="s">
        <v>3468</v>
      </c>
      <c r="E47" s="4"/>
      <c r="F47" s="4" t="s">
        <v>484</v>
      </c>
    </row>
    <row r="48" customFormat="false" ht="15" hidden="false" customHeight="false" outlineLevel="0" collapsed="false">
      <c r="A48" s="4" t="n">
        <v>3</v>
      </c>
      <c r="B48" s="4" t="s">
        <v>528</v>
      </c>
      <c r="C48" s="4" t="s">
        <v>432</v>
      </c>
      <c r="D48" s="4" t="s">
        <v>3469</v>
      </c>
      <c r="E48" s="4"/>
      <c r="F48" s="4" t="s">
        <v>524</v>
      </c>
    </row>
    <row r="49" customFormat="false" ht="28.35" hidden="false" customHeight="false" outlineLevel="0" collapsed="false">
      <c r="A49" s="4" t="n">
        <v>3</v>
      </c>
      <c r="B49" s="4" t="s">
        <v>528</v>
      </c>
      <c r="C49" s="4" t="s">
        <v>433</v>
      </c>
      <c r="D49" s="4" t="s">
        <v>3470</v>
      </c>
      <c r="E49" s="4"/>
      <c r="F49" s="4" t="s">
        <v>544</v>
      </c>
    </row>
    <row r="50" customFormat="false" ht="28.35" hidden="false" customHeight="false" outlineLevel="0" collapsed="false">
      <c r="A50" s="4" t="n">
        <v>3</v>
      </c>
      <c r="B50" s="4" t="s">
        <v>528</v>
      </c>
      <c r="C50" s="4" t="s">
        <v>434</v>
      </c>
      <c r="D50" s="4" t="s">
        <v>3482</v>
      </c>
      <c r="E50" s="4"/>
      <c r="F50" s="4" t="s">
        <v>545</v>
      </c>
    </row>
    <row r="51" customFormat="false" ht="15" hidden="false" customHeight="false" outlineLevel="0" collapsed="false">
      <c r="A51" s="4" t="n">
        <v>3</v>
      </c>
      <c r="B51" s="4" t="s">
        <v>528</v>
      </c>
      <c r="C51" s="4" t="s">
        <v>436</v>
      </c>
      <c r="D51" s="4" t="s">
        <v>3471</v>
      </c>
      <c r="E51" s="4"/>
      <c r="F51" s="4" t="s">
        <v>546</v>
      </c>
    </row>
    <row r="52" customFormat="false" ht="162.65" hidden="false" customHeight="false" outlineLevel="0" collapsed="false">
      <c r="A52" s="4" t="n">
        <v>4</v>
      </c>
      <c r="B52" s="4" t="s">
        <v>548</v>
      </c>
      <c r="C52" s="4" t="s">
        <v>380</v>
      </c>
      <c r="D52" s="4" t="s">
        <v>3474</v>
      </c>
      <c r="E52" s="4" t="s">
        <v>3484</v>
      </c>
      <c r="F52" s="4" t="s">
        <v>561</v>
      </c>
    </row>
    <row r="53" customFormat="false" ht="15" hidden="false" customHeight="false" outlineLevel="0" collapsed="false">
      <c r="A53" s="4" t="n">
        <v>4</v>
      </c>
      <c r="B53" s="4" t="s">
        <v>548</v>
      </c>
      <c r="C53" s="4" t="s">
        <v>387</v>
      </c>
      <c r="D53" s="4" t="s">
        <v>3476</v>
      </c>
      <c r="E53" s="4"/>
      <c r="F53" s="4" t="n">
        <v>220</v>
      </c>
    </row>
    <row r="54" customFormat="false" ht="15" hidden="false" customHeight="false" outlineLevel="0" collapsed="false">
      <c r="A54" s="4" t="n">
        <v>4</v>
      </c>
      <c r="B54" s="4" t="s">
        <v>548</v>
      </c>
      <c r="C54" s="4" t="s">
        <v>388</v>
      </c>
      <c r="D54" s="4" t="s">
        <v>3477</v>
      </c>
      <c r="E54" s="4"/>
      <c r="F54" s="4" t="s">
        <v>501</v>
      </c>
    </row>
    <row r="55" customFormat="false" ht="68.65" hidden="false" customHeight="false" outlineLevel="0" collapsed="false">
      <c r="A55" s="4" t="n">
        <v>4</v>
      </c>
      <c r="B55" s="4" t="s">
        <v>548</v>
      </c>
      <c r="C55" s="4" t="s">
        <v>389</v>
      </c>
      <c r="D55" s="4" t="s">
        <v>3478</v>
      </c>
      <c r="E55" s="4" t="s">
        <v>472</v>
      </c>
      <c r="F55" s="4" t="s">
        <v>562</v>
      </c>
    </row>
    <row r="56" customFormat="false" ht="28.35" hidden="false" customHeight="false" outlineLevel="0" collapsed="false">
      <c r="A56" s="4" t="n">
        <v>4</v>
      </c>
      <c r="B56" s="4" t="s">
        <v>548</v>
      </c>
      <c r="C56" s="4" t="s">
        <v>390</v>
      </c>
      <c r="D56" s="4" t="s">
        <v>3479</v>
      </c>
      <c r="E56" s="4" t="s">
        <v>473</v>
      </c>
      <c r="F56" s="4" t="s">
        <v>503</v>
      </c>
    </row>
    <row r="57" customFormat="false" ht="41.75" hidden="false" customHeight="false" outlineLevel="0" collapsed="false">
      <c r="A57" s="4" t="n">
        <v>4</v>
      </c>
      <c r="B57" s="4" t="s">
        <v>548</v>
      </c>
      <c r="C57" s="4" t="s">
        <v>391</v>
      </c>
      <c r="D57" s="4" t="s">
        <v>3480</v>
      </c>
      <c r="E57" s="4"/>
      <c r="F57" s="4" t="s">
        <v>504</v>
      </c>
    </row>
    <row r="58" customFormat="false" ht="41.75" hidden="false" customHeight="false" outlineLevel="0" collapsed="false">
      <c r="A58" s="4" t="n">
        <v>4</v>
      </c>
      <c r="B58" s="4" t="s">
        <v>548</v>
      </c>
      <c r="C58" s="4" t="s">
        <v>403</v>
      </c>
      <c r="D58" s="4" t="s">
        <v>3481</v>
      </c>
      <c r="E58" s="4" t="s">
        <v>1032</v>
      </c>
      <c r="F58" s="4" t="s">
        <v>511</v>
      </c>
    </row>
    <row r="59" customFormat="false" ht="41.75" hidden="false" customHeight="false" outlineLevel="0" collapsed="false">
      <c r="A59" s="4" t="n">
        <v>4</v>
      </c>
      <c r="B59" s="4" t="s">
        <v>548</v>
      </c>
      <c r="C59" s="4" t="s">
        <v>407</v>
      </c>
      <c r="D59" s="4" t="s">
        <v>3485</v>
      </c>
      <c r="E59" s="4"/>
      <c r="F59" s="4" t="s">
        <v>563</v>
      </c>
    </row>
    <row r="60" customFormat="false" ht="15" hidden="false" customHeight="false" outlineLevel="0" collapsed="false">
      <c r="A60" s="4" t="n">
        <v>4</v>
      </c>
      <c r="B60" s="4" t="s">
        <v>548</v>
      </c>
      <c r="C60" s="4" t="s">
        <v>427</v>
      </c>
      <c r="D60" s="4" t="s">
        <v>3464</v>
      </c>
      <c r="E60" s="4"/>
      <c r="F60" s="4" t="s">
        <v>23</v>
      </c>
    </row>
    <row r="61" customFormat="false" ht="15" hidden="false" customHeight="false" outlineLevel="0" collapsed="false">
      <c r="A61" s="4" t="n">
        <v>4</v>
      </c>
      <c r="B61" s="4" t="s">
        <v>548</v>
      </c>
      <c r="C61" s="4" t="s">
        <v>428</v>
      </c>
      <c r="D61" s="4" t="s">
        <v>3465</v>
      </c>
      <c r="E61" s="4"/>
      <c r="F61" s="4" t="s">
        <v>28</v>
      </c>
    </row>
    <row r="62" customFormat="false" ht="15" hidden="false" customHeight="false" outlineLevel="0" collapsed="false">
      <c r="A62" s="4" t="n">
        <v>4</v>
      </c>
      <c r="B62" s="4" t="s">
        <v>548</v>
      </c>
      <c r="C62" s="4" t="s">
        <v>429</v>
      </c>
      <c r="D62" s="4" t="s">
        <v>3466</v>
      </c>
      <c r="E62" s="4"/>
      <c r="F62" s="4" t="s">
        <v>36</v>
      </c>
    </row>
    <row r="63" customFormat="false" ht="41.75" hidden="false" customHeight="false" outlineLevel="0" collapsed="false">
      <c r="A63" s="4" t="n">
        <v>4</v>
      </c>
      <c r="B63" s="4" t="s">
        <v>548</v>
      </c>
      <c r="C63" s="4" t="s">
        <v>430</v>
      </c>
      <c r="D63" s="4" t="s">
        <v>3467</v>
      </c>
      <c r="E63" s="4"/>
      <c r="F63" s="4" t="s">
        <v>569</v>
      </c>
    </row>
    <row r="64" customFormat="false" ht="15" hidden="false" customHeight="false" outlineLevel="0" collapsed="false">
      <c r="A64" s="4" t="n">
        <v>4</v>
      </c>
      <c r="B64" s="4" t="s">
        <v>548</v>
      </c>
      <c r="C64" s="4" t="s">
        <v>431</v>
      </c>
      <c r="D64" s="4" t="s">
        <v>3468</v>
      </c>
      <c r="E64" s="4"/>
      <c r="F64" s="4" t="s">
        <v>484</v>
      </c>
    </row>
    <row r="65" customFormat="false" ht="15" hidden="false" customHeight="false" outlineLevel="0" collapsed="false">
      <c r="A65" s="4" t="n">
        <v>4</v>
      </c>
      <c r="B65" s="4" t="s">
        <v>548</v>
      </c>
      <c r="C65" s="4" t="s">
        <v>432</v>
      </c>
      <c r="D65" s="4" t="s">
        <v>3469</v>
      </c>
      <c r="E65" s="4"/>
      <c r="F65" s="4" t="s">
        <v>524</v>
      </c>
    </row>
    <row r="66" customFormat="false" ht="15" hidden="false" customHeight="false" outlineLevel="0" collapsed="false">
      <c r="A66" s="4" t="n">
        <v>4</v>
      </c>
      <c r="B66" s="4" t="s">
        <v>548</v>
      </c>
      <c r="C66" s="4" t="s">
        <v>433</v>
      </c>
      <c r="D66" s="4" t="s">
        <v>3470</v>
      </c>
      <c r="E66" s="4"/>
      <c r="F66" s="4" t="s">
        <v>570</v>
      </c>
    </row>
    <row r="67" customFormat="false" ht="15" hidden="false" customHeight="false" outlineLevel="0" collapsed="false">
      <c r="A67" s="4" t="n">
        <v>4</v>
      </c>
      <c r="B67" s="4" t="s">
        <v>548</v>
      </c>
      <c r="C67" s="4" t="s">
        <v>434</v>
      </c>
      <c r="D67" s="4" t="s">
        <v>3482</v>
      </c>
      <c r="E67" s="4"/>
      <c r="F67" s="4" t="s">
        <v>571</v>
      </c>
    </row>
    <row r="68" customFormat="false" ht="15" hidden="false" customHeight="false" outlineLevel="0" collapsed="false">
      <c r="A68" s="4" t="n">
        <v>4</v>
      </c>
      <c r="B68" s="4" t="s">
        <v>548</v>
      </c>
      <c r="C68" s="4" t="s">
        <v>436</v>
      </c>
      <c r="D68" s="4" t="s">
        <v>3471</v>
      </c>
      <c r="E68" s="4"/>
      <c r="F68" s="4" t="s">
        <v>214</v>
      </c>
    </row>
    <row r="69" customFormat="false" ht="28.35" hidden="false" customHeight="false" outlineLevel="0" collapsed="false">
      <c r="A69" s="4" t="n">
        <v>4</v>
      </c>
      <c r="B69" s="4" t="s">
        <v>548</v>
      </c>
      <c r="C69" s="4" t="s">
        <v>437</v>
      </c>
      <c r="D69" s="4" t="s">
        <v>3472</v>
      </c>
      <c r="E69" s="4"/>
      <c r="F69" s="4" t="n">
        <v>10</v>
      </c>
    </row>
    <row r="70" customFormat="false" ht="41.75" hidden="false" customHeight="false" outlineLevel="0" collapsed="false">
      <c r="A70" s="4" t="n">
        <v>5</v>
      </c>
      <c r="B70" s="4" t="s">
        <v>572</v>
      </c>
      <c r="C70" s="4" t="s">
        <v>403</v>
      </c>
      <c r="D70" s="4" t="s">
        <v>3481</v>
      </c>
      <c r="E70" s="4" t="s">
        <v>1032</v>
      </c>
      <c r="F70" s="4" t="s">
        <v>581</v>
      </c>
    </row>
    <row r="71" customFormat="false" ht="135.8" hidden="false" customHeight="false" outlineLevel="0" collapsed="false">
      <c r="A71" s="4" t="n">
        <v>5</v>
      </c>
      <c r="B71" s="4" t="s">
        <v>572</v>
      </c>
      <c r="C71" s="4" t="s">
        <v>407</v>
      </c>
      <c r="D71" s="4" t="s">
        <v>3485</v>
      </c>
      <c r="E71" s="4"/>
      <c r="F71" s="4" t="s">
        <v>582</v>
      </c>
    </row>
    <row r="72" customFormat="false" ht="28.35" hidden="false" customHeight="false" outlineLevel="0" collapsed="false">
      <c r="A72" s="4" t="n">
        <v>5</v>
      </c>
      <c r="B72" s="4" t="s">
        <v>572</v>
      </c>
      <c r="C72" s="4" t="s">
        <v>427</v>
      </c>
      <c r="D72" s="4" t="s">
        <v>3464</v>
      </c>
      <c r="E72" s="4"/>
      <c r="F72" s="4" t="s">
        <v>23</v>
      </c>
    </row>
    <row r="73" customFormat="false" ht="28.35" hidden="false" customHeight="false" outlineLevel="0" collapsed="false">
      <c r="A73" s="4" t="n">
        <v>5</v>
      </c>
      <c r="B73" s="4" t="s">
        <v>572</v>
      </c>
      <c r="C73" s="4" t="s">
        <v>428</v>
      </c>
      <c r="D73" s="4" t="s">
        <v>3465</v>
      </c>
      <c r="E73" s="4"/>
      <c r="F73" s="4" t="s">
        <v>28</v>
      </c>
    </row>
    <row r="74" customFormat="false" ht="28.35" hidden="false" customHeight="false" outlineLevel="0" collapsed="false">
      <c r="A74" s="4" t="n">
        <v>5</v>
      </c>
      <c r="B74" s="4" t="s">
        <v>572</v>
      </c>
      <c r="C74" s="4" t="s">
        <v>429</v>
      </c>
      <c r="D74" s="4" t="s">
        <v>3466</v>
      </c>
      <c r="E74" s="4"/>
      <c r="F74" s="4" t="s">
        <v>37</v>
      </c>
    </row>
    <row r="75" customFormat="false" ht="28.35" hidden="false" customHeight="false" outlineLevel="0" collapsed="false">
      <c r="A75" s="4" t="n">
        <v>5</v>
      </c>
      <c r="B75" s="4" t="s">
        <v>572</v>
      </c>
      <c r="C75" s="4" t="s">
        <v>431</v>
      </c>
      <c r="D75" s="4" t="s">
        <v>3468</v>
      </c>
      <c r="E75" s="4"/>
      <c r="F75" s="4" t="s">
        <v>588</v>
      </c>
    </row>
    <row r="76" customFormat="false" ht="28.35" hidden="false" customHeight="false" outlineLevel="0" collapsed="false">
      <c r="A76" s="4" t="n">
        <v>5</v>
      </c>
      <c r="B76" s="4" t="s">
        <v>572</v>
      </c>
      <c r="C76" s="4" t="s">
        <v>432</v>
      </c>
      <c r="D76" s="4" t="s">
        <v>3469</v>
      </c>
      <c r="E76" s="4"/>
      <c r="F76" s="4" t="s">
        <v>524</v>
      </c>
    </row>
    <row r="77" customFormat="false" ht="28.35" hidden="false" customHeight="false" outlineLevel="0" collapsed="false">
      <c r="A77" s="4" t="n">
        <v>5</v>
      </c>
      <c r="B77" s="4" t="s">
        <v>572</v>
      </c>
      <c r="C77" s="4" t="s">
        <v>433</v>
      </c>
      <c r="D77" s="4" t="s">
        <v>3470</v>
      </c>
      <c r="E77" s="4"/>
      <c r="F77" s="4" t="s">
        <v>589</v>
      </c>
    </row>
    <row r="78" customFormat="false" ht="28.35" hidden="false" customHeight="false" outlineLevel="0" collapsed="false">
      <c r="A78" s="4" t="n">
        <v>5</v>
      </c>
      <c r="B78" s="4" t="s">
        <v>572</v>
      </c>
      <c r="C78" s="4" t="s">
        <v>434</v>
      </c>
      <c r="D78" s="4" t="s">
        <v>3482</v>
      </c>
      <c r="E78" s="4"/>
      <c r="F78" s="4" t="s">
        <v>590</v>
      </c>
    </row>
    <row r="79" customFormat="false" ht="28.35" hidden="false" customHeight="false" outlineLevel="0" collapsed="false">
      <c r="A79" s="4" t="n">
        <v>5</v>
      </c>
      <c r="B79" s="4" t="s">
        <v>572</v>
      </c>
      <c r="C79" s="4" t="s">
        <v>436</v>
      </c>
      <c r="D79" s="4" t="s">
        <v>3471</v>
      </c>
      <c r="E79" s="4"/>
      <c r="F79" s="4" t="s">
        <v>591</v>
      </c>
    </row>
    <row r="80" customFormat="false" ht="229.85" hidden="false" customHeight="false" outlineLevel="0" collapsed="false">
      <c r="A80" s="4" t="n">
        <v>6</v>
      </c>
      <c r="B80" s="4" t="s">
        <v>96</v>
      </c>
      <c r="C80" s="4" t="s">
        <v>380</v>
      </c>
      <c r="D80" s="4" t="s">
        <v>3474</v>
      </c>
      <c r="E80" s="4" t="s">
        <v>3486</v>
      </c>
      <c r="F80" s="4" t="s">
        <v>600</v>
      </c>
    </row>
    <row r="81" customFormat="false" ht="28.35" hidden="false" customHeight="false" outlineLevel="0" collapsed="false">
      <c r="A81" s="4" t="n">
        <v>6</v>
      </c>
      <c r="B81" s="4" t="s">
        <v>96</v>
      </c>
      <c r="C81" s="4" t="s">
        <v>387</v>
      </c>
      <c r="D81" s="4" t="s">
        <v>3476</v>
      </c>
      <c r="E81" s="4"/>
      <c r="F81" s="4" t="n">
        <v>31</v>
      </c>
    </row>
    <row r="82" customFormat="false" ht="28.35" hidden="false" customHeight="false" outlineLevel="0" collapsed="false">
      <c r="A82" s="4" t="n">
        <v>6</v>
      </c>
      <c r="B82" s="4" t="s">
        <v>96</v>
      </c>
      <c r="C82" s="4" t="s">
        <v>388</v>
      </c>
      <c r="D82" s="4" t="s">
        <v>3477</v>
      </c>
      <c r="E82" s="4"/>
      <c r="F82" s="4" t="s">
        <v>601</v>
      </c>
    </row>
    <row r="83" customFormat="false" ht="55.2" hidden="false" customHeight="false" outlineLevel="0" collapsed="false">
      <c r="A83" s="4" t="n">
        <v>6</v>
      </c>
      <c r="B83" s="4" t="s">
        <v>96</v>
      </c>
      <c r="C83" s="4" t="s">
        <v>389</v>
      </c>
      <c r="D83" s="4" t="s">
        <v>3478</v>
      </c>
      <c r="E83" s="4" t="s">
        <v>472</v>
      </c>
      <c r="F83" s="4" t="s">
        <v>602</v>
      </c>
    </row>
    <row r="84" customFormat="false" ht="28.35" hidden="false" customHeight="false" outlineLevel="0" collapsed="false">
      <c r="A84" s="4" t="n">
        <v>6</v>
      </c>
      <c r="B84" s="4" t="s">
        <v>96</v>
      </c>
      <c r="C84" s="4" t="s">
        <v>390</v>
      </c>
      <c r="D84" s="4" t="s">
        <v>3479</v>
      </c>
      <c r="E84" s="4" t="s">
        <v>473</v>
      </c>
      <c r="F84" s="4" t="s">
        <v>503</v>
      </c>
    </row>
    <row r="85" customFormat="false" ht="41.75" hidden="false" customHeight="false" outlineLevel="0" collapsed="false">
      <c r="A85" s="4" t="n">
        <v>6</v>
      </c>
      <c r="B85" s="4" t="s">
        <v>96</v>
      </c>
      <c r="C85" s="4" t="s">
        <v>391</v>
      </c>
      <c r="D85" s="4" t="s">
        <v>3480</v>
      </c>
      <c r="E85" s="4"/>
      <c r="F85" s="4" t="s">
        <v>603</v>
      </c>
    </row>
    <row r="86" customFormat="false" ht="41.75" hidden="false" customHeight="false" outlineLevel="0" collapsed="false">
      <c r="A86" s="4" t="n">
        <v>6</v>
      </c>
      <c r="B86" s="4" t="s">
        <v>96</v>
      </c>
      <c r="C86" s="4" t="s">
        <v>403</v>
      </c>
      <c r="D86" s="4" t="s">
        <v>3481</v>
      </c>
      <c r="E86" s="4" t="s">
        <v>1032</v>
      </c>
      <c r="F86" s="4" t="s">
        <v>604</v>
      </c>
    </row>
    <row r="87" customFormat="false" ht="28.35" hidden="false" customHeight="false" outlineLevel="0" collapsed="false">
      <c r="A87" s="4" t="n">
        <v>6</v>
      </c>
      <c r="B87" s="4" t="s">
        <v>96</v>
      </c>
      <c r="C87" s="4" t="s">
        <v>16</v>
      </c>
      <c r="D87" s="4" t="s">
        <v>3487</v>
      </c>
      <c r="E87" s="4"/>
      <c r="F87" s="4" t="n">
        <v>39</v>
      </c>
    </row>
    <row r="88" customFormat="false" ht="28.35" hidden="false" customHeight="false" outlineLevel="0" collapsed="false">
      <c r="A88" s="4" t="n">
        <v>6</v>
      </c>
      <c r="B88" s="4" t="s">
        <v>96</v>
      </c>
      <c r="C88" s="4" t="s">
        <v>404</v>
      </c>
      <c r="D88" s="4" t="s">
        <v>3488</v>
      </c>
      <c r="E88" s="4"/>
      <c r="F88" s="4" t="s">
        <v>605</v>
      </c>
    </row>
    <row r="89" customFormat="false" ht="41.75" hidden="false" customHeight="false" outlineLevel="0" collapsed="false">
      <c r="A89" s="4" t="n">
        <v>6</v>
      </c>
      <c r="B89" s="4" t="s">
        <v>96</v>
      </c>
      <c r="C89" s="4" t="s">
        <v>405</v>
      </c>
      <c r="D89" s="4" t="s">
        <v>3489</v>
      </c>
      <c r="E89" s="4"/>
      <c r="F89" s="4" t="s">
        <v>606</v>
      </c>
    </row>
    <row r="90" customFormat="false" ht="41.75" hidden="false" customHeight="false" outlineLevel="0" collapsed="false">
      <c r="A90" s="4" t="n">
        <v>6</v>
      </c>
      <c r="B90" s="4" t="s">
        <v>96</v>
      </c>
      <c r="C90" s="4" t="s">
        <v>406</v>
      </c>
      <c r="D90" s="4" t="s">
        <v>3490</v>
      </c>
      <c r="E90" s="4"/>
      <c r="F90" s="4" t="s">
        <v>607</v>
      </c>
    </row>
    <row r="91" customFormat="false" ht="95.5" hidden="false" customHeight="false" outlineLevel="0" collapsed="false">
      <c r="A91" s="4" t="n">
        <v>6</v>
      </c>
      <c r="B91" s="4" t="s">
        <v>96</v>
      </c>
      <c r="C91" s="4" t="s">
        <v>407</v>
      </c>
      <c r="D91" s="4" t="s">
        <v>3485</v>
      </c>
      <c r="E91" s="4"/>
      <c r="F91" s="4" t="s">
        <v>608</v>
      </c>
    </row>
    <row r="92" customFormat="false" ht="28.35" hidden="false" customHeight="false" outlineLevel="0" collapsed="false">
      <c r="A92" s="4" t="n">
        <v>6</v>
      </c>
      <c r="B92" s="4" t="s">
        <v>96</v>
      </c>
      <c r="C92" s="4" t="s">
        <v>427</v>
      </c>
      <c r="D92" s="4" t="s">
        <v>3464</v>
      </c>
      <c r="E92" s="4"/>
      <c r="F92" s="4" t="s">
        <v>23</v>
      </c>
    </row>
    <row r="93" customFormat="false" ht="28.35" hidden="false" customHeight="false" outlineLevel="0" collapsed="false">
      <c r="A93" s="4" t="n">
        <v>6</v>
      </c>
      <c r="B93" s="4" t="s">
        <v>96</v>
      </c>
      <c r="C93" s="4" t="s">
        <v>428</v>
      </c>
      <c r="D93" s="4" t="s">
        <v>3465</v>
      </c>
      <c r="E93" s="4"/>
      <c r="F93" s="4" t="s">
        <v>29</v>
      </c>
    </row>
    <row r="94" customFormat="false" ht="28.35" hidden="false" customHeight="false" outlineLevel="0" collapsed="false">
      <c r="A94" s="4" t="n">
        <v>6</v>
      </c>
      <c r="B94" s="4" t="s">
        <v>96</v>
      </c>
      <c r="C94" s="4" t="s">
        <v>429</v>
      </c>
      <c r="D94" s="4" t="s">
        <v>3466</v>
      </c>
      <c r="E94" s="4"/>
      <c r="F94" s="4" t="s">
        <v>37</v>
      </c>
    </row>
    <row r="95" customFormat="false" ht="41.75" hidden="false" customHeight="false" outlineLevel="0" collapsed="false">
      <c r="A95" s="4" t="n">
        <v>6</v>
      </c>
      <c r="B95" s="4" t="s">
        <v>96</v>
      </c>
      <c r="C95" s="4" t="s">
        <v>430</v>
      </c>
      <c r="D95" s="4" t="s">
        <v>3467</v>
      </c>
      <c r="E95" s="4"/>
      <c r="F95" s="4" t="s">
        <v>615</v>
      </c>
    </row>
    <row r="96" customFormat="false" ht="28.35" hidden="false" customHeight="false" outlineLevel="0" collapsed="false">
      <c r="A96" s="4" t="n">
        <v>6</v>
      </c>
      <c r="B96" s="4" t="s">
        <v>96</v>
      </c>
      <c r="C96" s="4" t="s">
        <v>431</v>
      </c>
      <c r="D96" s="4" t="s">
        <v>3468</v>
      </c>
      <c r="E96" s="4"/>
      <c r="F96" s="4" t="s">
        <v>484</v>
      </c>
    </row>
    <row r="97" customFormat="false" ht="28.35" hidden="false" customHeight="false" outlineLevel="0" collapsed="false">
      <c r="A97" s="4" t="n">
        <v>6</v>
      </c>
      <c r="B97" s="4" t="s">
        <v>96</v>
      </c>
      <c r="C97" s="4" t="s">
        <v>432</v>
      </c>
      <c r="D97" s="4" t="s">
        <v>3469</v>
      </c>
      <c r="E97" s="4"/>
      <c r="F97" s="4" t="s">
        <v>524</v>
      </c>
    </row>
    <row r="98" customFormat="false" ht="41.75" hidden="false" customHeight="false" outlineLevel="0" collapsed="false">
      <c r="A98" s="4" t="n">
        <v>6</v>
      </c>
      <c r="B98" s="4" t="s">
        <v>96</v>
      </c>
      <c r="C98" s="4" t="s">
        <v>433</v>
      </c>
      <c r="D98" s="4" t="s">
        <v>3470</v>
      </c>
      <c r="E98" s="4"/>
      <c r="F98" s="4" t="s">
        <v>616</v>
      </c>
    </row>
    <row r="99" customFormat="false" ht="28.35" hidden="false" customHeight="false" outlineLevel="0" collapsed="false">
      <c r="A99" s="4" t="n">
        <v>6</v>
      </c>
      <c r="B99" s="4" t="s">
        <v>96</v>
      </c>
      <c r="C99" s="4" t="s">
        <v>434</v>
      </c>
      <c r="D99" s="4" t="s">
        <v>3482</v>
      </c>
      <c r="E99" s="4"/>
      <c r="F99" s="4" t="s">
        <v>617</v>
      </c>
    </row>
    <row r="100" customFormat="false" ht="28.35" hidden="false" customHeight="false" outlineLevel="0" collapsed="false">
      <c r="A100" s="4" t="n">
        <v>6</v>
      </c>
      <c r="B100" s="4" t="s">
        <v>96</v>
      </c>
      <c r="C100" s="4" t="s">
        <v>436</v>
      </c>
      <c r="D100" s="4" t="s">
        <v>3471</v>
      </c>
      <c r="E100" s="4"/>
      <c r="F100" s="4" t="s">
        <v>95</v>
      </c>
    </row>
    <row r="101" customFormat="false" ht="28.35" hidden="false" customHeight="false" outlineLevel="0" collapsed="false">
      <c r="A101" s="4" t="n">
        <v>6</v>
      </c>
      <c r="B101" s="4" t="s">
        <v>96</v>
      </c>
      <c r="C101" s="4" t="s">
        <v>437</v>
      </c>
      <c r="D101" s="4" t="s">
        <v>3472</v>
      </c>
      <c r="E101" s="4"/>
      <c r="F101" s="4" t="n">
        <v>13</v>
      </c>
    </row>
    <row r="102" customFormat="false" ht="28.35" hidden="false" customHeight="false" outlineLevel="0" collapsed="false">
      <c r="A102" s="4" t="n">
        <v>6</v>
      </c>
      <c r="B102" s="4" t="s">
        <v>96</v>
      </c>
      <c r="C102" s="4" t="s">
        <v>440</v>
      </c>
      <c r="D102" s="4" t="s">
        <v>3491</v>
      </c>
      <c r="E102" s="4"/>
      <c r="F102" s="4" t="n">
        <v>17</v>
      </c>
    </row>
    <row r="103" customFormat="false" ht="28.35" hidden="false" customHeight="false" outlineLevel="0" collapsed="false">
      <c r="A103" s="4" t="n">
        <v>6</v>
      </c>
      <c r="B103" s="4" t="s">
        <v>96</v>
      </c>
      <c r="C103" s="4" t="s">
        <v>441</v>
      </c>
      <c r="D103" s="4" t="s">
        <v>3492</v>
      </c>
      <c r="E103" s="4"/>
      <c r="F103" s="4" t="n">
        <v>13</v>
      </c>
    </row>
    <row r="104" customFormat="false" ht="28.35" hidden="false" customHeight="false" outlineLevel="0" collapsed="false">
      <c r="A104" s="4" t="n">
        <v>6</v>
      </c>
      <c r="B104" s="4" t="s">
        <v>96</v>
      </c>
      <c r="C104" s="4" t="s">
        <v>442</v>
      </c>
      <c r="D104" s="4" t="s">
        <v>3493</v>
      </c>
      <c r="E104" s="4"/>
      <c r="F104" s="4" t="n">
        <v>1</v>
      </c>
    </row>
    <row r="105" customFormat="false" ht="28.35" hidden="false" customHeight="false" outlineLevel="0" collapsed="false">
      <c r="A105" s="4" t="n">
        <v>6</v>
      </c>
      <c r="B105" s="4" t="s">
        <v>96</v>
      </c>
      <c r="C105" s="4" t="s">
        <v>443</v>
      </c>
      <c r="D105" s="4" t="s">
        <v>3494</v>
      </c>
      <c r="E105" s="4"/>
      <c r="F105" s="4" t="n">
        <v>31</v>
      </c>
    </row>
    <row r="106" customFormat="false" ht="28.35" hidden="false" customHeight="false" outlineLevel="0" collapsed="false">
      <c r="A106" s="4" t="n">
        <v>6</v>
      </c>
      <c r="B106" s="4" t="s">
        <v>96</v>
      </c>
      <c r="C106" s="4" t="s">
        <v>444</v>
      </c>
      <c r="D106" s="4" t="s">
        <v>3495</v>
      </c>
      <c r="E106" s="4"/>
      <c r="F106" s="4" t="n">
        <v>10</v>
      </c>
    </row>
    <row r="107" customFormat="false" ht="28.35" hidden="false" customHeight="false" outlineLevel="0" collapsed="false">
      <c r="A107" s="4" t="n">
        <v>6</v>
      </c>
      <c r="B107" s="4" t="s">
        <v>96</v>
      </c>
      <c r="C107" s="4" t="s">
        <v>445</v>
      </c>
      <c r="D107" s="4" t="s">
        <v>3496</v>
      </c>
      <c r="E107" s="4"/>
      <c r="F107" s="4" t="n">
        <v>1</v>
      </c>
    </row>
    <row r="108" customFormat="false" ht="28.35" hidden="false" customHeight="false" outlineLevel="0" collapsed="false">
      <c r="A108" s="4" t="n">
        <v>6</v>
      </c>
      <c r="B108" s="4" t="s">
        <v>96</v>
      </c>
      <c r="C108" s="4" t="s">
        <v>446</v>
      </c>
      <c r="D108" s="4" t="s">
        <v>3497</v>
      </c>
      <c r="E108" s="4"/>
      <c r="F108" s="4" t="n">
        <v>0</v>
      </c>
    </row>
    <row r="109" customFormat="false" ht="41.75" hidden="false" customHeight="false" outlineLevel="0" collapsed="false">
      <c r="A109" s="4" t="n">
        <v>6</v>
      </c>
      <c r="B109" s="4" t="s">
        <v>96</v>
      </c>
      <c r="C109" s="4" t="s">
        <v>447</v>
      </c>
      <c r="D109" s="4" t="s">
        <v>3498</v>
      </c>
      <c r="E109" s="4"/>
      <c r="F109" s="4" t="s">
        <v>618</v>
      </c>
    </row>
    <row r="110" customFormat="false" ht="82.05" hidden="false" customHeight="false" outlineLevel="0" collapsed="false">
      <c r="A110" s="4" t="n">
        <v>6</v>
      </c>
      <c r="B110" s="4" t="s">
        <v>96</v>
      </c>
      <c r="C110" s="4" t="s">
        <v>448</v>
      </c>
      <c r="D110" s="4" t="s">
        <v>3499</v>
      </c>
      <c r="E110" s="4"/>
      <c r="F110" s="4" t="s">
        <v>619</v>
      </c>
    </row>
    <row r="111" customFormat="false" ht="41.75" hidden="false" customHeight="false" outlineLevel="0" collapsed="false">
      <c r="A111" s="4" t="n">
        <v>6</v>
      </c>
      <c r="B111" s="4" t="s">
        <v>96</v>
      </c>
      <c r="C111" s="4" t="s">
        <v>449</v>
      </c>
      <c r="D111" s="4" t="s">
        <v>3500</v>
      </c>
      <c r="E111" s="4"/>
      <c r="F111" s="4" t="s">
        <v>603</v>
      </c>
    </row>
    <row r="112" customFormat="false" ht="364.15" hidden="false" customHeight="false" outlineLevel="0" collapsed="false">
      <c r="A112" s="4" t="n">
        <v>6</v>
      </c>
      <c r="B112" s="4" t="s">
        <v>96</v>
      </c>
      <c r="C112" s="4" t="s">
        <v>450</v>
      </c>
      <c r="D112" s="4" t="s">
        <v>3501</v>
      </c>
      <c r="E112" s="4"/>
      <c r="F112" s="4" t="s">
        <v>620</v>
      </c>
    </row>
    <row r="113" customFormat="false" ht="41.75" hidden="false" customHeight="false" outlineLevel="0" collapsed="false">
      <c r="A113" s="4" t="n">
        <v>7</v>
      </c>
      <c r="B113" s="4" t="s">
        <v>243</v>
      </c>
      <c r="C113" s="4" t="s">
        <v>375</v>
      </c>
      <c r="D113" s="4" t="s">
        <v>3473</v>
      </c>
      <c r="E113" s="4" t="s">
        <v>579</v>
      </c>
      <c r="F113" s="4" t="s">
        <v>497</v>
      </c>
    </row>
    <row r="114" customFormat="false" ht="122.35" hidden="false" customHeight="false" outlineLevel="0" collapsed="false">
      <c r="A114" s="4" t="n">
        <v>7</v>
      </c>
      <c r="B114" s="4" t="s">
        <v>243</v>
      </c>
      <c r="C114" s="4" t="s">
        <v>380</v>
      </c>
      <c r="D114" s="4" t="s">
        <v>3474</v>
      </c>
      <c r="E114" s="4" t="s">
        <v>3502</v>
      </c>
      <c r="F114" s="4" t="s">
        <v>627</v>
      </c>
    </row>
    <row r="115" customFormat="false" ht="28.35" hidden="false" customHeight="false" outlineLevel="0" collapsed="false">
      <c r="A115" s="4" t="n">
        <v>7</v>
      </c>
      <c r="B115" s="4" t="s">
        <v>243</v>
      </c>
      <c r="C115" s="4" t="s">
        <v>387</v>
      </c>
      <c r="D115" s="4" t="s">
        <v>3476</v>
      </c>
      <c r="E115" s="4"/>
      <c r="F115" s="4" t="n">
        <v>126</v>
      </c>
    </row>
    <row r="116" customFormat="false" ht="28.35" hidden="false" customHeight="false" outlineLevel="0" collapsed="false">
      <c r="A116" s="4" t="n">
        <v>7</v>
      </c>
      <c r="B116" s="4" t="s">
        <v>243</v>
      </c>
      <c r="C116" s="4" t="s">
        <v>388</v>
      </c>
      <c r="D116" s="4" t="s">
        <v>3477</v>
      </c>
      <c r="E116" s="4"/>
      <c r="F116" s="4" t="s">
        <v>501</v>
      </c>
    </row>
    <row r="117" customFormat="false" ht="68.65" hidden="false" customHeight="false" outlineLevel="0" collapsed="false">
      <c r="A117" s="4" t="n">
        <v>7</v>
      </c>
      <c r="B117" s="4" t="s">
        <v>243</v>
      </c>
      <c r="C117" s="4" t="s">
        <v>389</v>
      </c>
      <c r="D117" s="4" t="s">
        <v>3478</v>
      </c>
      <c r="E117" s="4" t="s">
        <v>472</v>
      </c>
      <c r="F117" s="4" t="s">
        <v>628</v>
      </c>
    </row>
    <row r="118" customFormat="false" ht="28.35" hidden="false" customHeight="false" outlineLevel="0" collapsed="false">
      <c r="A118" s="4" t="n">
        <v>7</v>
      </c>
      <c r="B118" s="4" t="s">
        <v>243</v>
      </c>
      <c r="C118" s="4" t="s">
        <v>390</v>
      </c>
      <c r="D118" s="4" t="s">
        <v>3479</v>
      </c>
      <c r="E118" s="4" t="s">
        <v>473</v>
      </c>
      <c r="F118" s="4" t="s">
        <v>503</v>
      </c>
    </row>
    <row r="119" customFormat="false" ht="41.75" hidden="false" customHeight="false" outlineLevel="0" collapsed="false">
      <c r="A119" s="4" t="n">
        <v>7</v>
      </c>
      <c r="B119" s="4" t="s">
        <v>243</v>
      </c>
      <c r="C119" s="4" t="s">
        <v>391</v>
      </c>
      <c r="D119" s="4" t="s">
        <v>3480</v>
      </c>
      <c r="E119" s="4"/>
      <c r="F119" s="4" t="s">
        <v>504</v>
      </c>
    </row>
    <row r="120" customFormat="false" ht="41.75" hidden="false" customHeight="false" outlineLevel="0" collapsed="false">
      <c r="A120" s="4" t="n">
        <v>7</v>
      </c>
      <c r="B120" s="4" t="s">
        <v>243</v>
      </c>
      <c r="C120" s="4" t="s">
        <v>403</v>
      </c>
      <c r="D120" s="4" t="s">
        <v>3481</v>
      </c>
      <c r="E120" s="4" t="s">
        <v>1032</v>
      </c>
      <c r="F120" s="4" t="s">
        <v>511</v>
      </c>
    </row>
    <row r="121" customFormat="false" ht="28.35" hidden="false" customHeight="false" outlineLevel="0" collapsed="false">
      <c r="A121" s="4" t="n">
        <v>7</v>
      </c>
      <c r="B121" s="4" t="s">
        <v>243</v>
      </c>
      <c r="C121" s="4" t="s">
        <v>427</v>
      </c>
      <c r="D121" s="4" t="s">
        <v>3464</v>
      </c>
      <c r="E121" s="4"/>
      <c r="F121" s="4" t="s">
        <v>23</v>
      </c>
    </row>
    <row r="122" customFormat="false" ht="28.35" hidden="false" customHeight="false" outlineLevel="0" collapsed="false">
      <c r="A122" s="4" t="n">
        <v>7</v>
      </c>
      <c r="B122" s="4" t="s">
        <v>243</v>
      </c>
      <c r="C122" s="4" t="s">
        <v>428</v>
      </c>
      <c r="D122" s="4" t="s">
        <v>3465</v>
      </c>
      <c r="E122" s="4"/>
      <c r="F122" s="4" t="s">
        <v>28</v>
      </c>
    </row>
    <row r="123" customFormat="false" ht="28.35" hidden="false" customHeight="false" outlineLevel="0" collapsed="false">
      <c r="A123" s="4" t="n">
        <v>7</v>
      </c>
      <c r="B123" s="4" t="s">
        <v>243</v>
      </c>
      <c r="C123" s="4" t="s">
        <v>429</v>
      </c>
      <c r="D123" s="4" t="s">
        <v>3466</v>
      </c>
      <c r="E123" s="4"/>
      <c r="F123" s="4" t="s">
        <v>35</v>
      </c>
    </row>
    <row r="124" customFormat="false" ht="41.75" hidden="false" customHeight="false" outlineLevel="0" collapsed="false">
      <c r="A124" s="4" t="n">
        <v>7</v>
      </c>
      <c r="B124" s="4" t="s">
        <v>243</v>
      </c>
      <c r="C124" s="4" t="s">
        <v>430</v>
      </c>
      <c r="D124" s="4" t="s">
        <v>3467</v>
      </c>
      <c r="E124" s="4"/>
      <c r="F124" s="4" t="s">
        <v>635</v>
      </c>
    </row>
    <row r="125" customFormat="false" ht="28.35" hidden="false" customHeight="false" outlineLevel="0" collapsed="false">
      <c r="A125" s="4" t="n">
        <v>7</v>
      </c>
      <c r="B125" s="4" t="s">
        <v>243</v>
      </c>
      <c r="C125" s="4" t="s">
        <v>431</v>
      </c>
      <c r="D125" s="4" t="s">
        <v>3468</v>
      </c>
      <c r="E125" s="4"/>
      <c r="F125" s="4" t="s">
        <v>636</v>
      </c>
    </row>
    <row r="126" customFormat="false" ht="28.35" hidden="false" customHeight="false" outlineLevel="0" collapsed="false">
      <c r="A126" s="4" t="n">
        <v>7</v>
      </c>
      <c r="B126" s="4" t="s">
        <v>243</v>
      </c>
      <c r="C126" s="4" t="s">
        <v>432</v>
      </c>
      <c r="D126" s="4" t="s">
        <v>3469</v>
      </c>
      <c r="E126" s="4"/>
      <c r="F126" s="4" t="s">
        <v>524</v>
      </c>
    </row>
    <row r="127" customFormat="false" ht="28.35" hidden="false" customHeight="false" outlineLevel="0" collapsed="false">
      <c r="A127" s="4" t="n">
        <v>7</v>
      </c>
      <c r="B127" s="4" t="s">
        <v>243</v>
      </c>
      <c r="C127" s="4" t="s">
        <v>433</v>
      </c>
      <c r="D127" s="4" t="s">
        <v>3470</v>
      </c>
      <c r="E127" s="4"/>
      <c r="F127" s="4" t="s">
        <v>637</v>
      </c>
    </row>
    <row r="128" customFormat="false" ht="28.35" hidden="false" customHeight="false" outlineLevel="0" collapsed="false">
      <c r="A128" s="4" t="n">
        <v>7</v>
      </c>
      <c r="B128" s="4" t="s">
        <v>243</v>
      </c>
      <c r="C128" s="4" t="s">
        <v>434</v>
      </c>
      <c r="D128" s="4" t="s">
        <v>3482</v>
      </c>
      <c r="E128" s="4"/>
      <c r="F128" s="4" t="s">
        <v>526</v>
      </c>
    </row>
    <row r="129" customFormat="false" ht="28.35" hidden="false" customHeight="false" outlineLevel="0" collapsed="false">
      <c r="A129" s="4" t="n">
        <v>7</v>
      </c>
      <c r="B129" s="4" t="s">
        <v>243</v>
      </c>
      <c r="C129" s="4" t="s">
        <v>436</v>
      </c>
      <c r="D129" s="4" t="s">
        <v>3471</v>
      </c>
      <c r="E129" s="4"/>
      <c r="F129" s="4" t="s">
        <v>242</v>
      </c>
    </row>
    <row r="130" customFormat="false" ht="28.35" hidden="false" customHeight="false" outlineLevel="0" collapsed="false">
      <c r="A130" s="4" t="n">
        <v>7</v>
      </c>
      <c r="B130" s="4" t="s">
        <v>243</v>
      </c>
      <c r="C130" s="4" t="s">
        <v>437</v>
      </c>
      <c r="D130" s="4" t="s">
        <v>3472</v>
      </c>
      <c r="E130" s="4"/>
      <c r="F130" s="4" t="n">
        <v>2</v>
      </c>
    </row>
    <row r="131" customFormat="false" ht="28.35" hidden="false" customHeight="false" outlineLevel="0" collapsed="false">
      <c r="A131" s="4" t="n">
        <v>8</v>
      </c>
      <c r="B131" s="4" t="s">
        <v>298</v>
      </c>
      <c r="C131" s="4" t="s">
        <v>369</v>
      </c>
      <c r="D131" s="4" t="s">
        <v>3503</v>
      </c>
      <c r="E131" s="4" t="s">
        <v>780</v>
      </c>
      <c r="F131" s="4" t="s">
        <v>643</v>
      </c>
    </row>
    <row r="132" customFormat="false" ht="216.4" hidden="false" customHeight="false" outlineLevel="0" collapsed="false">
      <c r="A132" s="4" t="n">
        <v>8</v>
      </c>
      <c r="B132" s="4" t="s">
        <v>298</v>
      </c>
      <c r="C132" s="4" t="s">
        <v>372</v>
      </c>
      <c r="D132" s="4" t="s">
        <v>3504</v>
      </c>
      <c r="E132" s="4" t="s">
        <v>3505</v>
      </c>
      <c r="F132" s="4" t="s">
        <v>644</v>
      </c>
    </row>
    <row r="133" customFormat="false" ht="82.05" hidden="false" customHeight="false" outlineLevel="0" collapsed="false">
      <c r="A133" s="4" t="n">
        <v>8</v>
      </c>
      <c r="B133" s="4" t="s">
        <v>298</v>
      </c>
      <c r="C133" s="4" t="s">
        <v>380</v>
      </c>
      <c r="D133" s="4" t="s">
        <v>3474</v>
      </c>
      <c r="E133" s="4" t="s">
        <v>3506</v>
      </c>
      <c r="F133" s="4" t="s">
        <v>651</v>
      </c>
    </row>
    <row r="134" customFormat="false" ht="41.75" hidden="false" customHeight="false" outlineLevel="0" collapsed="false">
      <c r="A134" s="4" t="n">
        <v>8</v>
      </c>
      <c r="B134" s="4" t="s">
        <v>298</v>
      </c>
      <c r="C134" s="4" t="s">
        <v>390</v>
      </c>
      <c r="D134" s="4" t="s">
        <v>3479</v>
      </c>
      <c r="E134" s="4" t="s">
        <v>473</v>
      </c>
      <c r="F134" s="4" t="s">
        <v>652</v>
      </c>
    </row>
    <row r="135" customFormat="false" ht="41.75" hidden="false" customHeight="false" outlineLevel="0" collapsed="false">
      <c r="A135" s="4" t="n">
        <v>8</v>
      </c>
      <c r="B135" s="4" t="s">
        <v>298</v>
      </c>
      <c r="C135" s="4" t="s">
        <v>395</v>
      </c>
      <c r="D135" s="4" t="s">
        <v>3507</v>
      </c>
      <c r="E135" s="4" t="s">
        <v>474</v>
      </c>
      <c r="F135" s="4" t="s">
        <v>653</v>
      </c>
    </row>
    <row r="136" customFormat="false" ht="28.35" hidden="false" customHeight="false" outlineLevel="0" collapsed="false">
      <c r="A136" s="4" t="n">
        <v>8</v>
      </c>
      <c r="B136" s="4" t="s">
        <v>298</v>
      </c>
      <c r="C136" s="4" t="s">
        <v>402</v>
      </c>
      <c r="D136" s="4" t="s">
        <v>3508</v>
      </c>
      <c r="E136" s="4" t="s">
        <v>475</v>
      </c>
      <c r="F136" s="4" t="s">
        <v>654</v>
      </c>
    </row>
    <row r="137" customFormat="false" ht="55.2" hidden="false" customHeight="false" outlineLevel="0" collapsed="false">
      <c r="A137" s="4" t="n">
        <v>8</v>
      </c>
      <c r="B137" s="4" t="s">
        <v>298</v>
      </c>
      <c r="C137" s="4" t="s">
        <v>403</v>
      </c>
      <c r="D137" s="4" t="s">
        <v>3481</v>
      </c>
      <c r="E137" s="4" t="s">
        <v>1095</v>
      </c>
      <c r="F137" s="4" t="s">
        <v>655</v>
      </c>
    </row>
    <row r="138" customFormat="false" ht="95.5" hidden="false" customHeight="false" outlineLevel="0" collapsed="false">
      <c r="A138" s="4" t="n">
        <v>8</v>
      </c>
      <c r="B138" s="4" t="s">
        <v>298</v>
      </c>
      <c r="C138" s="4" t="s">
        <v>407</v>
      </c>
      <c r="D138" s="4" t="s">
        <v>3485</v>
      </c>
      <c r="E138" s="4" t="s">
        <v>3509</v>
      </c>
      <c r="F138" s="4" t="s">
        <v>656</v>
      </c>
    </row>
    <row r="139" customFormat="false" ht="15" hidden="false" customHeight="false" outlineLevel="0" collapsed="false">
      <c r="A139" s="4" t="n">
        <v>8</v>
      </c>
      <c r="B139" s="4" t="s">
        <v>298</v>
      </c>
      <c r="C139" s="4" t="s">
        <v>427</v>
      </c>
      <c r="D139" s="4" t="s">
        <v>3464</v>
      </c>
      <c r="E139" s="4"/>
      <c r="F139" s="4" t="s">
        <v>24</v>
      </c>
    </row>
    <row r="140" customFormat="false" ht="15" hidden="false" customHeight="false" outlineLevel="0" collapsed="false">
      <c r="A140" s="4" t="n">
        <v>8</v>
      </c>
      <c r="B140" s="4" t="s">
        <v>298</v>
      </c>
      <c r="C140" s="4" t="s">
        <v>428</v>
      </c>
      <c r="D140" s="4" t="s">
        <v>3465</v>
      </c>
      <c r="E140" s="4"/>
      <c r="F140" s="4" t="s">
        <v>31</v>
      </c>
    </row>
    <row r="141" customFormat="false" ht="15" hidden="false" customHeight="false" outlineLevel="0" collapsed="false">
      <c r="A141" s="4" t="n">
        <v>8</v>
      </c>
      <c r="B141" s="4" t="s">
        <v>298</v>
      </c>
      <c r="C141" s="4" t="s">
        <v>429</v>
      </c>
      <c r="D141" s="4" t="s">
        <v>3466</v>
      </c>
      <c r="E141" s="4"/>
      <c r="F141" s="4" t="s">
        <v>38</v>
      </c>
    </row>
    <row r="142" customFormat="false" ht="41.75" hidden="false" customHeight="false" outlineLevel="0" collapsed="false">
      <c r="A142" s="4" t="n">
        <v>8</v>
      </c>
      <c r="B142" s="4" t="s">
        <v>298</v>
      </c>
      <c r="C142" s="4" t="s">
        <v>430</v>
      </c>
      <c r="D142" s="4" t="s">
        <v>3467</v>
      </c>
      <c r="E142" s="4"/>
      <c r="F142" s="4" t="s">
        <v>663</v>
      </c>
    </row>
    <row r="143" customFormat="false" ht="15" hidden="false" customHeight="false" outlineLevel="0" collapsed="false">
      <c r="A143" s="4" t="n">
        <v>8</v>
      </c>
      <c r="B143" s="4" t="s">
        <v>298</v>
      </c>
      <c r="C143" s="4" t="s">
        <v>431</v>
      </c>
      <c r="D143" s="4" t="s">
        <v>3468</v>
      </c>
      <c r="E143" s="4"/>
      <c r="F143" s="4" t="s">
        <v>484</v>
      </c>
    </row>
    <row r="144" customFormat="false" ht="15" hidden="false" customHeight="false" outlineLevel="0" collapsed="false">
      <c r="A144" s="4" t="n">
        <v>8</v>
      </c>
      <c r="B144" s="4" t="s">
        <v>298</v>
      </c>
      <c r="C144" s="4" t="s">
        <v>432</v>
      </c>
      <c r="D144" s="4" t="s">
        <v>3469</v>
      </c>
      <c r="E144" s="4"/>
      <c r="F144" s="4" t="s">
        <v>664</v>
      </c>
    </row>
    <row r="145" customFormat="false" ht="41.75" hidden="false" customHeight="false" outlineLevel="0" collapsed="false">
      <c r="A145" s="4" t="n">
        <v>8</v>
      </c>
      <c r="B145" s="4" t="s">
        <v>298</v>
      </c>
      <c r="C145" s="4" t="s">
        <v>433</v>
      </c>
      <c r="D145" s="4" t="s">
        <v>3470</v>
      </c>
      <c r="E145" s="4"/>
      <c r="F145" s="4" t="s">
        <v>665</v>
      </c>
    </row>
    <row r="146" customFormat="false" ht="15" hidden="false" customHeight="false" outlineLevel="0" collapsed="false">
      <c r="A146" s="4" t="n">
        <v>8</v>
      </c>
      <c r="B146" s="4" t="s">
        <v>298</v>
      </c>
      <c r="C146" s="4" t="s">
        <v>434</v>
      </c>
      <c r="D146" s="4" t="s">
        <v>3482</v>
      </c>
      <c r="E146" s="4"/>
      <c r="F146" s="4" t="s">
        <v>666</v>
      </c>
    </row>
    <row r="147" customFormat="false" ht="28.35" hidden="false" customHeight="false" outlineLevel="0" collapsed="false">
      <c r="A147" s="4" t="n">
        <v>8</v>
      </c>
      <c r="B147" s="4" t="s">
        <v>298</v>
      </c>
      <c r="C147" s="4" t="s">
        <v>435</v>
      </c>
      <c r="D147" s="4" t="s">
        <v>3510</v>
      </c>
      <c r="E147" s="4"/>
      <c r="F147" s="4" t="s">
        <v>667</v>
      </c>
    </row>
    <row r="148" customFormat="false" ht="15" hidden="false" customHeight="false" outlineLevel="0" collapsed="false">
      <c r="A148" s="4" t="n">
        <v>8</v>
      </c>
      <c r="B148" s="4" t="s">
        <v>298</v>
      </c>
      <c r="C148" s="4" t="s">
        <v>436</v>
      </c>
      <c r="D148" s="4" t="s">
        <v>3471</v>
      </c>
      <c r="E148" s="4"/>
      <c r="F148" s="4" t="s">
        <v>297</v>
      </c>
    </row>
    <row r="149" customFormat="false" ht="28.35" hidden="false" customHeight="false" outlineLevel="0" collapsed="false">
      <c r="A149" s="4" t="n">
        <v>8</v>
      </c>
      <c r="B149" s="4" t="s">
        <v>298</v>
      </c>
      <c r="C149" s="4" t="s">
        <v>437</v>
      </c>
      <c r="D149" s="4" t="s">
        <v>3472</v>
      </c>
      <c r="E149" s="4"/>
      <c r="F149" s="4" t="n">
        <v>15</v>
      </c>
    </row>
    <row r="150" customFormat="false" ht="55.2" hidden="false" customHeight="false" outlineLevel="0" collapsed="false">
      <c r="A150" s="4" t="n">
        <v>8</v>
      </c>
      <c r="B150" s="4" t="s">
        <v>298</v>
      </c>
      <c r="C150" s="4" t="s">
        <v>438</v>
      </c>
      <c r="D150" s="4" t="s">
        <v>3511</v>
      </c>
      <c r="E150" s="4"/>
      <c r="F150" s="4" t="s">
        <v>668</v>
      </c>
    </row>
    <row r="151" customFormat="false" ht="28.35" hidden="false" customHeight="false" outlineLevel="0" collapsed="false">
      <c r="A151" s="4" t="n">
        <v>9</v>
      </c>
      <c r="B151" s="4" t="s">
        <v>669</v>
      </c>
      <c r="C151" s="4" t="s">
        <v>369</v>
      </c>
      <c r="D151" s="4" t="s">
        <v>3503</v>
      </c>
      <c r="E151" s="4" t="s">
        <v>780</v>
      </c>
      <c r="F151" s="4" t="s">
        <v>643</v>
      </c>
    </row>
    <row r="152" customFormat="false" ht="202.95" hidden="false" customHeight="false" outlineLevel="0" collapsed="false">
      <c r="A152" s="4" t="n">
        <v>9</v>
      </c>
      <c r="B152" s="4" t="s">
        <v>669</v>
      </c>
      <c r="C152" s="4" t="s">
        <v>372</v>
      </c>
      <c r="D152" s="4" t="s">
        <v>3504</v>
      </c>
      <c r="E152" s="4" t="s">
        <v>3512</v>
      </c>
      <c r="F152" s="4" t="s">
        <v>675</v>
      </c>
    </row>
    <row r="153" customFormat="false" ht="135.8" hidden="false" customHeight="false" outlineLevel="0" collapsed="false">
      <c r="A153" s="4" t="n">
        <v>9</v>
      </c>
      <c r="B153" s="4" t="s">
        <v>669</v>
      </c>
      <c r="C153" s="4" t="s">
        <v>380</v>
      </c>
      <c r="D153" s="4" t="s">
        <v>3474</v>
      </c>
      <c r="E153" s="4" t="s">
        <v>3513</v>
      </c>
      <c r="F153" s="4" t="s">
        <v>678</v>
      </c>
    </row>
    <row r="154" customFormat="false" ht="41.75" hidden="false" customHeight="false" outlineLevel="0" collapsed="false">
      <c r="A154" s="4" t="n">
        <v>9</v>
      </c>
      <c r="B154" s="4" t="s">
        <v>669</v>
      </c>
      <c r="C154" s="4" t="s">
        <v>390</v>
      </c>
      <c r="D154" s="4" t="s">
        <v>3479</v>
      </c>
      <c r="E154" s="4" t="s">
        <v>473</v>
      </c>
      <c r="F154" s="4" t="s">
        <v>679</v>
      </c>
    </row>
    <row r="155" customFormat="false" ht="41.75" hidden="false" customHeight="false" outlineLevel="0" collapsed="false">
      <c r="A155" s="4" t="n">
        <v>9</v>
      </c>
      <c r="B155" s="4" t="s">
        <v>669</v>
      </c>
      <c r="C155" s="4" t="s">
        <v>395</v>
      </c>
      <c r="D155" s="4" t="s">
        <v>3507</v>
      </c>
      <c r="E155" s="4" t="s">
        <v>474</v>
      </c>
      <c r="F155" s="4" t="s">
        <v>680</v>
      </c>
    </row>
    <row r="156" customFormat="false" ht="28.35" hidden="false" customHeight="false" outlineLevel="0" collapsed="false">
      <c r="A156" s="4" t="n">
        <v>9</v>
      </c>
      <c r="B156" s="4" t="s">
        <v>669</v>
      </c>
      <c r="C156" s="4" t="s">
        <v>402</v>
      </c>
      <c r="D156" s="4" t="s">
        <v>3508</v>
      </c>
      <c r="E156" s="4" t="s">
        <v>475</v>
      </c>
      <c r="F156" s="4" t="s">
        <v>681</v>
      </c>
    </row>
    <row r="157" customFormat="false" ht="55.2" hidden="false" customHeight="false" outlineLevel="0" collapsed="false">
      <c r="A157" s="4" t="n">
        <v>9</v>
      </c>
      <c r="B157" s="4" t="s">
        <v>669</v>
      </c>
      <c r="C157" s="4" t="s">
        <v>403</v>
      </c>
      <c r="D157" s="4" t="s">
        <v>3481</v>
      </c>
      <c r="E157" s="4" t="s">
        <v>1095</v>
      </c>
      <c r="F157" s="4" t="s">
        <v>682</v>
      </c>
    </row>
    <row r="158" customFormat="false" ht="95.5" hidden="false" customHeight="false" outlineLevel="0" collapsed="false">
      <c r="A158" s="4" t="n">
        <v>9</v>
      </c>
      <c r="B158" s="4" t="s">
        <v>669</v>
      </c>
      <c r="C158" s="4" t="s">
        <v>407</v>
      </c>
      <c r="D158" s="4" t="s">
        <v>3485</v>
      </c>
      <c r="E158" s="4" t="s">
        <v>3514</v>
      </c>
      <c r="F158" s="4" t="s">
        <v>683</v>
      </c>
    </row>
    <row r="159" customFormat="false" ht="15" hidden="false" customHeight="false" outlineLevel="0" collapsed="false">
      <c r="A159" s="4" t="n">
        <v>9</v>
      </c>
      <c r="B159" s="4" t="s">
        <v>669</v>
      </c>
      <c r="C159" s="4" t="s">
        <v>427</v>
      </c>
      <c r="D159" s="4" t="s">
        <v>3464</v>
      </c>
      <c r="E159" s="4"/>
      <c r="F159" s="4" t="s">
        <v>24</v>
      </c>
    </row>
    <row r="160" customFormat="false" ht="15" hidden="false" customHeight="false" outlineLevel="0" collapsed="false">
      <c r="A160" s="4" t="n">
        <v>9</v>
      </c>
      <c r="B160" s="4" t="s">
        <v>669</v>
      </c>
      <c r="C160" s="4" t="s">
        <v>428</v>
      </c>
      <c r="D160" s="4" t="s">
        <v>3465</v>
      </c>
      <c r="E160" s="4"/>
      <c r="F160" s="4" t="s">
        <v>31</v>
      </c>
    </row>
    <row r="161" customFormat="false" ht="15" hidden="false" customHeight="false" outlineLevel="0" collapsed="false">
      <c r="A161" s="4" t="n">
        <v>9</v>
      </c>
      <c r="B161" s="4" t="s">
        <v>669</v>
      </c>
      <c r="C161" s="4" t="s">
        <v>429</v>
      </c>
      <c r="D161" s="4" t="s">
        <v>3466</v>
      </c>
      <c r="E161" s="4"/>
      <c r="F161" s="4" t="s">
        <v>38</v>
      </c>
    </row>
    <row r="162" customFormat="false" ht="15" hidden="false" customHeight="false" outlineLevel="0" collapsed="false">
      <c r="A162" s="4" t="n">
        <v>9</v>
      </c>
      <c r="B162" s="4" t="s">
        <v>669</v>
      </c>
      <c r="C162" s="4" t="s">
        <v>431</v>
      </c>
      <c r="D162" s="4" t="s">
        <v>3468</v>
      </c>
      <c r="E162" s="4"/>
      <c r="F162" s="4" t="s">
        <v>484</v>
      </c>
    </row>
    <row r="163" customFormat="false" ht="15" hidden="false" customHeight="false" outlineLevel="0" collapsed="false">
      <c r="A163" s="4" t="n">
        <v>9</v>
      </c>
      <c r="B163" s="4" t="s">
        <v>669</v>
      </c>
      <c r="C163" s="4" t="s">
        <v>432</v>
      </c>
      <c r="D163" s="4" t="s">
        <v>3469</v>
      </c>
      <c r="E163" s="4"/>
      <c r="F163" s="4" t="s">
        <v>524</v>
      </c>
    </row>
    <row r="164" customFormat="false" ht="41.75" hidden="false" customHeight="false" outlineLevel="0" collapsed="false">
      <c r="A164" s="4" t="n">
        <v>9</v>
      </c>
      <c r="B164" s="4" t="s">
        <v>669</v>
      </c>
      <c r="C164" s="4" t="s">
        <v>433</v>
      </c>
      <c r="D164" s="4" t="s">
        <v>3470</v>
      </c>
      <c r="E164" s="4"/>
      <c r="F164" s="4" t="s">
        <v>665</v>
      </c>
    </row>
    <row r="165" customFormat="false" ht="15" hidden="false" customHeight="false" outlineLevel="0" collapsed="false">
      <c r="A165" s="4" t="n">
        <v>9</v>
      </c>
      <c r="B165" s="4" t="s">
        <v>669</v>
      </c>
      <c r="C165" s="4" t="s">
        <v>434</v>
      </c>
      <c r="D165" s="4" t="s">
        <v>3482</v>
      </c>
      <c r="E165" s="4"/>
      <c r="F165" s="4" t="s">
        <v>666</v>
      </c>
    </row>
    <row r="166" customFormat="false" ht="28.35" hidden="false" customHeight="false" outlineLevel="0" collapsed="false">
      <c r="A166" s="4" t="n">
        <v>9</v>
      </c>
      <c r="B166" s="4" t="s">
        <v>669</v>
      </c>
      <c r="C166" s="4" t="s">
        <v>435</v>
      </c>
      <c r="D166" s="4" t="s">
        <v>3510</v>
      </c>
      <c r="E166" s="4"/>
      <c r="F166" s="4" t="s">
        <v>667</v>
      </c>
    </row>
    <row r="167" customFormat="false" ht="15" hidden="false" customHeight="false" outlineLevel="0" collapsed="false">
      <c r="A167" s="4" t="n">
        <v>9</v>
      </c>
      <c r="B167" s="4" t="s">
        <v>669</v>
      </c>
      <c r="C167" s="4" t="s">
        <v>436</v>
      </c>
      <c r="D167" s="4" t="s">
        <v>3471</v>
      </c>
      <c r="E167" s="4"/>
      <c r="F167" s="4" t="s">
        <v>690</v>
      </c>
    </row>
    <row r="168" customFormat="false" ht="176.1" hidden="false" customHeight="false" outlineLevel="0" collapsed="false">
      <c r="A168" s="4" t="n">
        <v>9</v>
      </c>
      <c r="B168" s="4" t="s">
        <v>669</v>
      </c>
      <c r="C168" s="4" t="s">
        <v>438</v>
      </c>
      <c r="D168" s="4" t="s">
        <v>3511</v>
      </c>
      <c r="E168" s="4"/>
      <c r="F168" s="4" t="s">
        <v>691</v>
      </c>
    </row>
    <row r="169" customFormat="false" ht="28.35" hidden="false" customHeight="false" outlineLevel="0" collapsed="false">
      <c r="A169" s="4" t="n">
        <v>10</v>
      </c>
      <c r="B169" s="4" t="s">
        <v>692</v>
      </c>
      <c r="C169" s="4" t="s">
        <v>369</v>
      </c>
      <c r="D169" s="4" t="s">
        <v>3503</v>
      </c>
      <c r="E169" s="4" t="s">
        <v>780</v>
      </c>
      <c r="F169" s="4" t="s">
        <v>643</v>
      </c>
    </row>
    <row r="170" customFormat="false" ht="202.95" hidden="false" customHeight="false" outlineLevel="0" collapsed="false">
      <c r="A170" s="4" t="n">
        <v>10</v>
      </c>
      <c r="B170" s="4" t="s">
        <v>692</v>
      </c>
      <c r="C170" s="4" t="s">
        <v>372</v>
      </c>
      <c r="D170" s="4" t="s">
        <v>3504</v>
      </c>
      <c r="E170" s="4" t="s">
        <v>3515</v>
      </c>
      <c r="F170" s="4" t="s">
        <v>698</v>
      </c>
    </row>
    <row r="171" customFormat="false" ht="108.95" hidden="false" customHeight="false" outlineLevel="0" collapsed="false">
      <c r="A171" s="4" t="n">
        <v>10</v>
      </c>
      <c r="B171" s="4" t="s">
        <v>692</v>
      </c>
      <c r="C171" s="4" t="s">
        <v>380</v>
      </c>
      <c r="D171" s="4" t="s">
        <v>3474</v>
      </c>
      <c r="E171" s="4" t="s">
        <v>3516</v>
      </c>
      <c r="F171" s="4" t="s">
        <v>701</v>
      </c>
    </row>
    <row r="172" customFormat="false" ht="41.75" hidden="false" customHeight="false" outlineLevel="0" collapsed="false">
      <c r="A172" s="4" t="n">
        <v>10</v>
      </c>
      <c r="B172" s="4" t="s">
        <v>692</v>
      </c>
      <c r="C172" s="4" t="s">
        <v>390</v>
      </c>
      <c r="D172" s="4" t="s">
        <v>3479</v>
      </c>
      <c r="E172" s="4" t="s">
        <v>473</v>
      </c>
      <c r="F172" s="4" t="s">
        <v>702</v>
      </c>
    </row>
    <row r="173" customFormat="false" ht="41.75" hidden="false" customHeight="false" outlineLevel="0" collapsed="false">
      <c r="A173" s="4" t="n">
        <v>10</v>
      </c>
      <c r="B173" s="4" t="s">
        <v>692</v>
      </c>
      <c r="C173" s="4" t="s">
        <v>395</v>
      </c>
      <c r="D173" s="4" t="s">
        <v>3507</v>
      </c>
      <c r="E173" s="4" t="s">
        <v>474</v>
      </c>
      <c r="F173" s="4" t="s">
        <v>703</v>
      </c>
    </row>
    <row r="174" customFormat="false" ht="28.35" hidden="false" customHeight="false" outlineLevel="0" collapsed="false">
      <c r="A174" s="4" t="n">
        <v>10</v>
      </c>
      <c r="B174" s="4" t="s">
        <v>692</v>
      </c>
      <c r="C174" s="4" t="s">
        <v>402</v>
      </c>
      <c r="D174" s="4" t="s">
        <v>3508</v>
      </c>
      <c r="E174" s="4" t="s">
        <v>475</v>
      </c>
      <c r="F174" s="4" t="s">
        <v>704</v>
      </c>
    </row>
    <row r="175" customFormat="false" ht="55.2" hidden="false" customHeight="false" outlineLevel="0" collapsed="false">
      <c r="A175" s="4" t="n">
        <v>10</v>
      </c>
      <c r="B175" s="4" t="s">
        <v>692</v>
      </c>
      <c r="C175" s="4" t="s">
        <v>403</v>
      </c>
      <c r="D175" s="4" t="s">
        <v>3481</v>
      </c>
      <c r="E175" s="4" t="s">
        <v>1095</v>
      </c>
      <c r="F175" s="4" t="s">
        <v>705</v>
      </c>
    </row>
    <row r="176" customFormat="false" ht="82.05" hidden="false" customHeight="false" outlineLevel="0" collapsed="false">
      <c r="A176" s="4" t="n">
        <v>10</v>
      </c>
      <c r="B176" s="4" t="s">
        <v>692</v>
      </c>
      <c r="C176" s="4" t="s">
        <v>407</v>
      </c>
      <c r="D176" s="4" t="s">
        <v>3485</v>
      </c>
      <c r="E176" s="4" t="s">
        <v>3517</v>
      </c>
      <c r="F176" s="4" t="s">
        <v>706</v>
      </c>
    </row>
    <row r="177" customFormat="false" ht="28.35" hidden="false" customHeight="false" outlineLevel="0" collapsed="false">
      <c r="A177" s="4" t="n">
        <v>10</v>
      </c>
      <c r="B177" s="4" t="s">
        <v>692</v>
      </c>
      <c r="C177" s="4" t="s">
        <v>427</v>
      </c>
      <c r="D177" s="4" t="s">
        <v>3464</v>
      </c>
      <c r="E177" s="4"/>
      <c r="F177" s="4" t="s">
        <v>24</v>
      </c>
    </row>
    <row r="178" customFormat="false" ht="28.35" hidden="false" customHeight="false" outlineLevel="0" collapsed="false">
      <c r="A178" s="4" t="n">
        <v>10</v>
      </c>
      <c r="B178" s="4" t="s">
        <v>692</v>
      </c>
      <c r="C178" s="4" t="s">
        <v>428</v>
      </c>
      <c r="D178" s="4" t="s">
        <v>3465</v>
      </c>
      <c r="E178" s="4"/>
      <c r="F178" s="4" t="s">
        <v>31</v>
      </c>
    </row>
    <row r="179" customFormat="false" ht="28.35" hidden="false" customHeight="false" outlineLevel="0" collapsed="false">
      <c r="A179" s="4" t="n">
        <v>10</v>
      </c>
      <c r="B179" s="4" t="s">
        <v>692</v>
      </c>
      <c r="C179" s="4" t="s">
        <v>429</v>
      </c>
      <c r="D179" s="4" t="s">
        <v>3466</v>
      </c>
      <c r="E179" s="4"/>
      <c r="F179" s="4" t="s">
        <v>38</v>
      </c>
    </row>
    <row r="180" customFormat="false" ht="28.35" hidden="false" customHeight="false" outlineLevel="0" collapsed="false">
      <c r="A180" s="4" t="n">
        <v>10</v>
      </c>
      <c r="B180" s="4" t="s">
        <v>692</v>
      </c>
      <c r="C180" s="4" t="s">
        <v>431</v>
      </c>
      <c r="D180" s="4" t="s">
        <v>3468</v>
      </c>
      <c r="E180" s="4"/>
      <c r="F180" s="4" t="s">
        <v>484</v>
      </c>
    </row>
    <row r="181" customFormat="false" ht="28.35" hidden="false" customHeight="false" outlineLevel="0" collapsed="false">
      <c r="A181" s="4" t="n">
        <v>10</v>
      </c>
      <c r="B181" s="4" t="s">
        <v>692</v>
      </c>
      <c r="C181" s="4" t="s">
        <v>432</v>
      </c>
      <c r="D181" s="4" t="s">
        <v>3469</v>
      </c>
      <c r="E181" s="4"/>
      <c r="F181" s="4" t="s">
        <v>713</v>
      </c>
    </row>
    <row r="182" customFormat="false" ht="41.75" hidden="false" customHeight="false" outlineLevel="0" collapsed="false">
      <c r="A182" s="4" t="n">
        <v>10</v>
      </c>
      <c r="B182" s="4" t="s">
        <v>692</v>
      </c>
      <c r="C182" s="4" t="s">
        <v>433</v>
      </c>
      <c r="D182" s="4" t="s">
        <v>3470</v>
      </c>
      <c r="E182" s="4"/>
      <c r="F182" s="4" t="s">
        <v>665</v>
      </c>
    </row>
    <row r="183" customFormat="false" ht="28.35" hidden="false" customHeight="false" outlineLevel="0" collapsed="false">
      <c r="A183" s="4" t="n">
        <v>10</v>
      </c>
      <c r="B183" s="4" t="s">
        <v>692</v>
      </c>
      <c r="C183" s="4" t="s">
        <v>434</v>
      </c>
      <c r="D183" s="4" t="s">
        <v>3482</v>
      </c>
      <c r="E183" s="4"/>
      <c r="F183" s="4" t="s">
        <v>666</v>
      </c>
    </row>
    <row r="184" customFormat="false" ht="28.35" hidden="false" customHeight="false" outlineLevel="0" collapsed="false">
      <c r="A184" s="4" t="n">
        <v>10</v>
      </c>
      <c r="B184" s="4" t="s">
        <v>692</v>
      </c>
      <c r="C184" s="4" t="s">
        <v>435</v>
      </c>
      <c r="D184" s="4" t="s">
        <v>3510</v>
      </c>
      <c r="E184" s="4"/>
      <c r="F184" s="4" t="s">
        <v>667</v>
      </c>
    </row>
    <row r="185" customFormat="false" ht="28.35" hidden="false" customHeight="false" outlineLevel="0" collapsed="false">
      <c r="A185" s="4" t="n">
        <v>10</v>
      </c>
      <c r="B185" s="4" t="s">
        <v>692</v>
      </c>
      <c r="C185" s="4" t="s">
        <v>436</v>
      </c>
      <c r="D185" s="4" t="s">
        <v>3471</v>
      </c>
      <c r="E185" s="4"/>
      <c r="F185" s="4" t="s">
        <v>714</v>
      </c>
    </row>
    <row r="186" customFormat="false" ht="41.75" hidden="false" customHeight="false" outlineLevel="0" collapsed="false">
      <c r="A186" s="4" t="n">
        <v>10</v>
      </c>
      <c r="B186" s="4" t="s">
        <v>692</v>
      </c>
      <c r="C186" s="4" t="s">
        <v>438</v>
      </c>
      <c r="D186" s="4" t="s">
        <v>3511</v>
      </c>
      <c r="E186" s="4"/>
      <c r="F186" s="4" t="s">
        <v>715</v>
      </c>
    </row>
    <row r="187" customFormat="false" ht="28.35" hidden="false" customHeight="false" outlineLevel="0" collapsed="false">
      <c r="A187" s="4" t="n">
        <v>11</v>
      </c>
      <c r="B187" s="4" t="s">
        <v>716</v>
      </c>
      <c r="C187" s="4" t="s">
        <v>369</v>
      </c>
      <c r="D187" s="4" t="s">
        <v>3503</v>
      </c>
      <c r="E187" s="4" t="s">
        <v>780</v>
      </c>
      <c r="F187" s="4" t="s">
        <v>643</v>
      </c>
    </row>
    <row r="188" customFormat="false" ht="176.1" hidden="false" customHeight="false" outlineLevel="0" collapsed="false">
      <c r="A188" s="4" t="n">
        <v>11</v>
      </c>
      <c r="B188" s="4" t="s">
        <v>716</v>
      </c>
      <c r="C188" s="4" t="s">
        <v>372</v>
      </c>
      <c r="D188" s="4" t="s">
        <v>3504</v>
      </c>
      <c r="E188" s="4" t="s">
        <v>3518</v>
      </c>
      <c r="F188" s="4" t="s">
        <v>722</v>
      </c>
    </row>
    <row r="189" customFormat="false" ht="41.75" hidden="false" customHeight="false" outlineLevel="0" collapsed="false">
      <c r="A189" s="4" t="n">
        <v>11</v>
      </c>
      <c r="B189" s="4" t="s">
        <v>716</v>
      </c>
      <c r="C189" s="4" t="s">
        <v>390</v>
      </c>
      <c r="D189" s="4" t="s">
        <v>3479</v>
      </c>
      <c r="E189" s="4" t="s">
        <v>473</v>
      </c>
      <c r="F189" s="4" t="s">
        <v>726</v>
      </c>
    </row>
    <row r="190" customFormat="false" ht="28.35" hidden="false" customHeight="false" outlineLevel="0" collapsed="false">
      <c r="A190" s="4" t="n">
        <v>11</v>
      </c>
      <c r="B190" s="4" t="s">
        <v>716</v>
      </c>
      <c r="C190" s="4" t="s">
        <v>395</v>
      </c>
      <c r="D190" s="4" t="s">
        <v>3507</v>
      </c>
      <c r="E190" s="4" t="s">
        <v>474</v>
      </c>
      <c r="F190" s="4" t="s">
        <v>727</v>
      </c>
    </row>
    <row r="191" customFormat="false" ht="28.35" hidden="false" customHeight="false" outlineLevel="0" collapsed="false">
      <c r="A191" s="4" t="n">
        <v>11</v>
      </c>
      <c r="B191" s="4" t="s">
        <v>716</v>
      </c>
      <c r="C191" s="4" t="s">
        <v>402</v>
      </c>
      <c r="D191" s="4" t="s">
        <v>3508</v>
      </c>
      <c r="E191" s="4" t="s">
        <v>475</v>
      </c>
      <c r="F191" s="4" t="s">
        <v>728</v>
      </c>
    </row>
    <row r="192" customFormat="false" ht="55.2" hidden="false" customHeight="false" outlineLevel="0" collapsed="false">
      <c r="A192" s="4" t="n">
        <v>11</v>
      </c>
      <c r="B192" s="4" t="s">
        <v>716</v>
      </c>
      <c r="C192" s="4" t="s">
        <v>403</v>
      </c>
      <c r="D192" s="4" t="s">
        <v>3481</v>
      </c>
      <c r="E192" s="4" t="s">
        <v>1095</v>
      </c>
      <c r="F192" s="4" t="s">
        <v>729</v>
      </c>
    </row>
    <row r="193" customFormat="false" ht="68.65" hidden="false" customHeight="false" outlineLevel="0" collapsed="false">
      <c r="A193" s="4" t="n">
        <v>11</v>
      </c>
      <c r="B193" s="4" t="s">
        <v>716</v>
      </c>
      <c r="C193" s="4" t="s">
        <v>407</v>
      </c>
      <c r="D193" s="4" t="s">
        <v>3485</v>
      </c>
      <c r="E193" s="4" t="s">
        <v>3519</v>
      </c>
      <c r="F193" s="4" t="s">
        <v>730</v>
      </c>
    </row>
    <row r="194" customFormat="false" ht="15" hidden="false" customHeight="false" outlineLevel="0" collapsed="false">
      <c r="A194" s="4" t="n">
        <v>11</v>
      </c>
      <c r="B194" s="4" t="s">
        <v>716</v>
      </c>
      <c r="C194" s="4" t="s">
        <v>427</v>
      </c>
      <c r="D194" s="4" t="s">
        <v>3464</v>
      </c>
      <c r="E194" s="4"/>
      <c r="F194" s="4" t="s">
        <v>24</v>
      </c>
    </row>
    <row r="195" customFormat="false" ht="15" hidden="false" customHeight="false" outlineLevel="0" collapsed="false">
      <c r="A195" s="4" t="n">
        <v>11</v>
      </c>
      <c r="B195" s="4" t="s">
        <v>716</v>
      </c>
      <c r="C195" s="4" t="s">
        <v>428</v>
      </c>
      <c r="D195" s="4" t="s">
        <v>3465</v>
      </c>
      <c r="E195" s="4"/>
      <c r="F195" s="4" t="s">
        <v>31</v>
      </c>
    </row>
    <row r="196" customFormat="false" ht="15" hidden="false" customHeight="false" outlineLevel="0" collapsed="false">
      <c r="A196" s="4" t="n">
        <v>11</v>
      </c>
      <c r="B196" s="4" t="s">
        <v>716</v>
      </c>
      <c r="C196" s="4" t="s">
        <v>429</v>
      </c>
      <c r="D196" s="4" t="s">
        <v>3466</v>
      </c>
      <c r="E196" s="4"/>
      <c r="F196" s="4" t="s">
        <v>38</v>
      </c>
    </row>
    <row r="197" customFormat="false" ht="15" hidden="false" customHeight="false" outlineLevel="0" collapsed="false">
      <c r="A197" s="4" t="n">
        <v>11</v>
      </c>
      <c r="B197" s="4" t="s">
        <v>716</v>
      </c>
      <c r="C197" s="4" t="s">
        <v>431</v>
      </c>
      <c r="D197" s="4" t="s">
        <v>3468</v>
      </c>
      <c r="E197" s="4"/>
      <c r="F197" s="4" t="s">
        <v>484</v>
      </c>
    </row>
    <row r="198" customFormat="false" ht="15" hidden="false" customHeight="false" outlineLevel="0" collapsed="false">
      <c r="A198" s="4" t="n">
        <v>11</v>
      </c>
      <c r="B198" s="4" t="s">
        <v>716</v>
      </c>
      <c r="C198" s="4" t="s">
        <v>432</v>
      </c>
      <c r="D198" s="4" t="s">
        <v>3469</v>
      </c>
      <c r="E198" s="4"/>
      <c r="F198" s="4" t="s">
        <v>713</v>
      </c>
    </row>
    <row r="199" customFormat="false" ht="41.75" hidden="false" customHeight="false" outlineLevel="0" collapsed="false">
      <c r="A199" s="4" t="n">
        <v>11</v>
      </c>
      <c r="B199" s="4" t="s">
        <v>716</v>
      </c>
      <c r="C199" s="4" t="s">
        <v>433</v>
      </c>
      <c r="D199" s="4" t="s">
        <v>3470</v>
      </c>
      <c r="E199" s="4"/>
      <c r="F199" s="4" t="s">
        <v>665</v>
      </c>
    </row>
    <row r="200" customFormat="false" ht="15" hidden="false" customHeight="false" outlineLevel="0" collapsed="false">
      <c r="A200" s="4" t="n">
        <v>11</v>
      </c>
      <c r="B200" s="4" t="s">
        <v>716</v>
      </c>
      <c r="C200" s="4" t="s">
        <v>434</v>
      </c>
      <c r="D200" s="4" t="s">
        <v>3482</v>
      </c>
      <c r="E200" s="4"/>
      <c r="F200" s="4" t="s">
        <v>666</v>
      </c>
    </row>
    <row r="201" customFormat="false" ht="28.35" hidden="false" customHeight="false" outlineLevel="0" collapsed="false">
      <c r="A201" s="4" t="n">
        <v>11</v>
      </c>
      <c r="B201" s="4" t="s">
        <v>716</v>
      </c>
      <c r="C201" s="4" t="s">
        <v>435</v>
      </c>
      <c r="D201" s="4" t="s">
        <v>3510</v>
      </c>
      <c r="E201" s="4"/>
      <c r="F201" s="4" t="s">
        <v>667</v>
      </c>
    </row>
    <row r="202" customFormat="false" ht="15" hidden="false" customHeight="false" outlineLevel="0" collapsed="false">
      <c r="A202" s="4" t="n">
        <v>11</v>
      </c>
      <c r="B202" s="4" t="s">
        <v>716</v>
      </c>
      <c r="C202" s="4" t="s">
        <v>436</v>
      </c>
      <c r="D202" s="4" t="s">
        <v>3471</v>
      </c>
      <c r="E202" s="4"/>
      <c r="F202" s="4" t="s">
        <v>734</v>
      </c>
    </row>
    <row r="203" customFormat="false" ht="55.2" hidden="false" customHeight="false" outlineLevel="0" collapsed="false">
      <c r="A203" s="4" t="n">
        <v>11</v>
      </c>
      <c r="B203" s="4" t="s">
        <v>716</v>
      </c>
      <c r="C203" s="4" t="s">
        <v>438</v>
      </c>
      <c r="D203" s="4" t="s">
        <v>3511</v>
      </c>
      <c r="E203" s="4"/>
      <c r="F203" s="4" t="s">
        <v>735</v>
      </c>
    </row>
    <row r="204" customFormat="false" ht="28.35" hidden="false" customHeight="false" outlineLevel="0" collapsed="false">
      <c r="A204" s="4" t="n">
        <v>12</v>
      </c>
      <c r="B204" s="4" t="s">
        <v>736</v>
      </c>
      <c r="C204" s="4" t="s">
        <v>369</v>
      </c>
      <c r="D204" s="4" t="s">
        <v>3503</v>
      </c>
      <c r="E204" s="4" t="s">
        <v>780</v>
      </c>
      <c r="F204" s="4" t="s">
        <v>643</v>
      </c>
    </row>
    <row r="205" customFormat="false" ht="176.1" hidden="false" customHeight="false" outlineLevel="0" collapsed="false">
      <c r="A205" s="4" t="n">
        <v>12</v>
      </c>
      <c r="B205" s="4" t="s">
        <v>736</v>
      </c>
      <c r="C205" s="4" t="s">
        <v>372</v>
      </c>
      <c r="D205" s="4" t="s">
        <v>3504</v>
      </c>
      <c r="E205" s="4" t="s">
        <v>3520</v>
      </c>
      <c r="F205" s="4" t="s">
        <v>741</v>
      </c>
    </row>
    <row r="206" customFormat="false" ht="28.35" hidden="false" customHeight="false" outlineLevel="0" collapsed="false">
      <c r="A206" s="4" t="n">
        <v>12</v>
      </c>
      <c r="B206" s="4" t="s">
        <v>736</v>
      </c>
      <c r="C206" s="4" t="s">
        <v>380</v>
      </c>
      <c r="D206" s="4" t="s">
        <v>3474</v>
      </c>
      <c r="E206" s="4" t="s">
        <v>752</v>
      </c>
      <c r="F206" s="4" t="s">
        <v>744</v>
      </c>
    </row>
    <row r="207" customFormat="false" ht="41.75" hidden="false" customHeight="false" outlineLevel="0" collapsed="false">
      <c r="A207" s="4" t="n">
        <v>12</v>
      </c>
      <c r="B207" s="4" t="s">
        <v>736</v>
      </c>
      <c r="C207" s="4" t="s">
        <v>390</v>
      </c>
      <c r="D207" s="4" t="s">
        <v>3479</v>
      </c>
      <c r="E207" s="4" t="s">
        <v>473</v>
      </c>
      <c r="F207" s="4" t="s">
        <v>745</v>
      </c>
    </row>
    <row r="208" customFormat="false" ht="28.35" hidden="false" customHeight="false" outlineLevel="0" collapsed="false">
      <c r="A208" s="4" t="n">
        <v>12</v>
      </c>
      <c r="B208" s="4" t="s">
        <v>736</v>
      </c>
      <c r="C208" s="4" t="s">
        <v>395</v>
      </c>
      <c r="D208" s="4" t="s">
        <v>3507</v>
      </c>
      <c r="E208" s="4" t="s">
        <v>474</v>
      </c>
      <c r="F208" s="4" t="s">
        <v>746</v>
      </c>
    </row>
    <row r="209" customFormat="false" ht="41.75" hidden="false" customHeight="false" outlineLevel="0" collapsed="false">
      <c r="A209" s="4" t="n">
        <v>12</v>
      </c>
      <c r="B209" s="4" t="s">
        <v>736</v>
      </c>
      <c r="C209" s="4" t="s">
        <v>402</v>
      </c>
      <c r="D209" s="4" t="s">
        <v>3508</v>
      </c>
      <c r="E209" s="4" t="s">
        <v>475</v>
      </c>
      <c r="F209" s="4" t="s">
        <v>747</v>
      </c>
    </row>
    <row r="210" customFormat="false" ht="55.2" hidden="false" customHeight="false" outlineLevel="0" collapsed="false">
      <c r="A210" s="4" t="n">
        <v>12</v>
      </c>
      <c r="B210" s="4" t="s">
        <v>736</v>
      </c>
      <c r="C210" s="4" t="s">
        <v>403</v>
      </c>
      <c r="D210" s="4" t="s">
        <v>3481</v>
      </c>
      <c r="E210" s="4" t="s">
        <v>1095</v>
      </c>
      <c r="F210" s="4" t="s">
        <v>748</v>
      </c>
    </row>
    <row r="211" customFormat="false" ht="82.05" hidden="false" customHeight="false" outlineLevel="0" collapsed="false">
      <c r="A211" s="4" t="n">
        <v>12</v>
      </c>
      <c r="B211" s="4" t="s">
        <v>736</v>
      </c>
      <c r="C211" s="4" t="s">
        <v>407</v>
      </c>
      <c r="D211" s="4" t="s">
        <v>3485</v>
      </c>
      <c r="E211" s="4" t="s">
        <v>3521</v>
      </c>
      <c r="F211" s="4" t="s">
        <v>749</v>
      </c>
    </row>
    <row r="212" customFormat="false" ht="15" hidden="false" customHeight="false" outlineLevel="0" collapsed="false">
      <c r="A212" s="4" t="n">
        <v>12</v>
      </c>
      <c r="B212" s="4" t="s">
        <v>736</v>
      </c>
      <c r="C212" s="4" t="s">
        <v>427</v>
      </c>
      <c r="D212" s="4" t="s">
        <v>3464</v>
      </c>
      <c r="E212" s="4"/>
      <c r="F212" s="4" t="s">
        <v>24</v>
      </c>
    </row>
    <row r="213" customFormat="false" ht="15" hidden="false" customHeight="false" outlineLevel="0" collapsed="false">
      <c r="A213" s="4" t="n">
        <v>12</v>
      </c>
      <c r="B213" s="4" t="s">
        <v>736</v>
      </c>
      <c r="C213" s="4" t="s">
        <v>428</v>
      </c>
      <c r="D213" s="4" t="s">
        <v>3465</v>
      </c>
      <c r="E213" s="4"/>
      <c r="F213" s="4" t="s">
        <v>31</v>
      </c>
    </row>
    <row r="214" customFormat="false" ht="15" hidden="false" customHeight="false" outlineLevel="0" collapsed="false">
      <c r="A214" s="4" t="n">
        <v>12</v>
      </c>
      <c r="B214" s="4" t="s">
        <v>736</v>
      </c>
      <c r="C214" s="4" t="s">
        <v>429</v>
      </c>
      <c r="D214" s="4" t="s">
        <v>3466</v>
      </c>
      <c r="E214" s="4"/>
      <c r="F214" s="4" t="s">
        <v>38</v>
      </c>
    </row>
    <row r="215" customFormat="false" ht="15" hidden="false" customHeight="false" outlineLevel="0" collapsed="false">
      <c r="A215" s="4" t="n">
        <v>12</v>
      </c>
      <c r="B215" s="4" t="s">
        <v>736</v>
      </c>
      <c r="C215" s="4" t="s">
        <v>431</v>
      </c>
      <c r="D215" s="4" t="s">
        <v>3468</v>
      </c>
      <c r="E215" s="4"/>
      <c r="F215" s="4" t="s">
        <v>484</v>
      </c>
    </row>
    <row r="216" customFormat="false" ht="15" hidden="false" customHeight="false" outlineLevel="0" collapsed="false">
      <c r="A216" s="4" t="n">
        <v>12</v>
      </c>
      <c r="B216" s="4" t="s">
        <v>736</v>
      </c>
      <c r="C216" s="4" t="s">
        <v>432</v>
      </c>
      <c r="D216" s="4" t="s">
        <v>3469</v>
      </c>
      <c r="E216" s="4"/>
      <c r="F216" s="4" t="s">
        <v>713</v>
      </c>
    </row>
    <row r="217" customFormat="false" ht="41.75" hidden="false" customHeight="false" outlineLevel="0" collapsed="false">
      <c r="A217" s="4" t="n">
        <v>12</v>
      </c>
      <c r="B217" s="4" t="s">
        <v>736</v>
      </c>
      <c r="C217" s="4" t="s">
        <v>433</v>
      </c>
      <c r="D217" s="4" t="s">
        <v>3470</v>
      </c>
      <c r="E217" s="4"/>
      <c r="F217" s="4" t="s">
        <v>665</v>
      </c>
    </row>
    <row r="218" customFormat="false" ht="15" hidden="false" customHeight="false" outlineLevel="0" collapsed="false">
      <c r="A218" s="4" t="n">
        <v>12</v>
      </c>
      <c r="B218" s="4" t="s">
        <v>736</v>
      </c>
      <c r="C218" s="4" t="s">
        <v>434</v>
      </c>
      <c r="D218" s="4" t="s">
        <v>3482</v>
      </c>
      <c r="E218" s="4"/>
      <c r="F218" s="4" t="s">
        <v>666</v>
      </c>
    </row>
    <row r="219" customFormat="false" ht="28.35" hidden="false" customHeight="false" outlineLevel="0" collapsed="false">
      <c r="A219" s="4" t="n">
        <v>12</v>
      </c>
      <c r="B219" s="4" t="s">
        <v>736</v>
      </c>
      <c r="C219" s="4" t="s">
        <v>435</v>
      </c>
      <c r="D219" s="4" t="s">
        <v>3510</v>
      </c>
      <c r="E219" s="4"/>
      <c r="F219" s="4" t="s">
        <v>667</v>
      </c>
    </row>
    <row r="220" customFormat="false" ht="15" hidden="false" customHeight="false" outlineLevel="0" collapsed="false">
      <c r="A220" s="4" t="n">
        <v>12</v>
      </c>
      <c r="B220" s="4" t="s">
        <v>736</v>
      </c>
      <c r="C220" s="4" t="s">
        <v>436</v>
      </c>
      <c r="D220" s="4" t="s">
        <v>3471</v>
      </c>
      <c r="E220" s="4"/>
      <c r="F220" s="4" t="s">
        <v>753</v>
      </c>
    </row>
    <row r="221" customFormat="false" ht="82.05" hidden="false" customHeight="false" outlineLevel="0" collapsed="false">
      <c r="A221" s="4" t="n">
        <v>12</v>
      </c>
      <c r="B221" s="4" t="s">
        <v>736</v>
      </c>
      <c r="C221" s="4" t="s">
        <v>438</v>
      </c>
      <c r="D221" s="4" t="s">
        <v>3511</v>
      </c>
      <c r="E221" s="4"/>
      <c r="F221" s="4" t="s">
        <v>754</v>
      </c>
    </row>
    <row r="222" customFormat="false" ht="28.35" hidden="false" customHeight="false" outlineLevel="0" collapsed="false">
      <c r="A222" s="4" t="n">
        <v>13</v>
      </c>
      <c r="B222" s="4" t="s">
        <v>333</v>
      </c>
      <c r="C222" s="4" t="s">
        <v>369</v>
      </c>
      <c r="D222" s="4" t="s">
        <v>3503</v>
      </c>
      <c r="E222" s="4" t="s">
        <v>780</v>
      </c>
      <c r="F222" s="4" t="s">
        <v>643</v>
      </c>
    </row>
    <row r="223" customFormat="false" ht="202.95" hidden="false" customHeight="false" outlineLevel="0" collapsed="false">
      <c r="A223" s="4" t="n">
        <v>13</v>
      </c>
      <c r="B223" s="4" t="s">
        <v>333</v>
      </c>
      <c r="C223" s="4" t="s">
        <v>372</v>
      </c>
      <c r="D223" s="4" t="s">
        <v>3504</v>
      </c>
      <c r="E223" s="4" t="s">
        <v>996</v>
      </c>
      <c r="F223" s="4" t="s">
        <v>759</v>
      </c>
    </row>
    <row r="224" customFormat="false" ht="82.05" hidden="false" customHeight="false" outlineLevel="0" collapsed="false">
      <c r="A224" s="4" t="n">
        <v>13</v>
      </c>
      <c r="B224" s="4" t="s">
        <v>333</v>
      </c>
      <c r="C224" s="4" t="s">
        <v>380</v>
      </c>
      <c r="D224" s="4" t="s">
        <v>3474</v>
      </c>
      <c r="E224" s="4" t="s">
        <v>3522</v>
      </c>
      <c r="F224" s="4" t="s">
        <v>764</v>
      </c>
    </row>
    <row r="225" customFormat="false" ht="41.75" hidden="false" customHeight="false" outlineLevel="0" collapsed="false">
      <c r="A225" s="4" t="n">
        <v>13</v>
      </c>
      <c r="B225" s="4" t="s">
        <v>333</v>
      </c>
      <c r="C225" s="4" t="s">
        <v>390</v>
      </c>
      <c r="D225" s="4" t="s">
        <v>3479</v>
      </c>
      <c r="E225" s="4" t="s">
        <v>473</v>
      </c>
      <c r="F225" s="4" t="s">
        <v>765</v>
      </c>
    </row>
    <row r="226" customFormat="false" ht="41.75" hidden="false" customHeight="false" outlineLevel="0" collapsed="false">
      <c r="A226" s="4" t="n">
        <v>13</v>
      </c>
      <c r="B226" s="4" t="s">
        <v>333</v>
      </c>
      <c r="C226" s="4" t="s">
        <v>395</v>
      </c>
      <c r="D226" s="4" t="s">
        <v>3507</v>
      </c>
      <c r="E226" s="4" t="s">
        <v>474</v>
      </c>
      <c r="F226" s="4" t="s">
        <v>766</v>
      </c>
    </row>
    <row r="227" customFormat="false" ht="28.35" hidden="false" customHeight="false" outlineLevel="0" collapsed="false">
      <c r="A227" s="4" t="n">
        <v>13</v>
      </c>
      <c r="B227" s="4" t="s">
        <v>333</v>
      </c>
      <c r="C227" s="4" t="s">
        <v>402</v>
      </c>
      <c r="D227" s="4" t="s">
        <v>3508</v>
      </c>
      <c r="E227" s="4" t="s">
        <v>475</v>
      </c>
      <c r="F227" s="4" t="s">
        <v>767</v>
      </c>
    </row>
    <row r="228" customFormat="false" ht="55.2" hidden="false" customHeight="false" outlineLevel="0" collapsed="false">
      <c r="A228" s="4" t="n">
        <v>13</v>
      </c>
      <c r="B228" s="4" t="s">
        <v>333</v>
      </c>
      <c r="C228" s="4" t="s">
        <v>403</v>
      </c>
      <c r="D228" s="4" t="s">
        <v>3481</v>
      </c>
      <c r="E228" s="4" t="s">
        <v>1095</v>
      </c>
      <c r="F228" s="4" t="s">
        <v>768</v>
      </c>
    </row>
    <row r="229" customFormat="false" ht="95.5" hidden="false" customHeight="false" outlineLevel="0" collapsed="false">
      <c r="A229" s="4" t="n">
        <v>13</v>
      </c>
      <c r="B229" s="4" t="s">
        <v>333</v>
      </c>
      <c r="C229" s="4" t="s">
        <v>407</v>
      </c>
      <c r="D229" s="4" t="s">
        <v>3485</v>
      </c>
      <c r="E229" s="4" t="s">
        <v>3523</v>
      </c>
      <c r="F229" s="4" t="s">
        <v>769</v>
      </c>
    </row>
    <row r="230" customFormat="false" ht="28.35" hidden="false" customHeight="false" outlineLevel="0" collapsed="false">
      <c r="A230" s="4" t="n">
        <v>13</v>
      </c>
      <c r="B230" s="4" t="s">
        <v>333</v>
      </c>
      <c r="C230" s="4" t="s">
        <v>427</v>
      </c>
      <c r="D230" s="4" t="s">
        <v>3464</v>
      </c>
      <c r="E230" s="4"/>
      <c r="F230" s="4" t="s">
        <v>24</v>
      </c>
    </row>
    <row r="231" customFormat="false" ht="28.35" hidden="false" customHeight="false" outlineLevel="0" collapsed="false">
      <c r="A231" s="4" t="n">
        <v>13</v>
      </c>
      <c r="B231" s="4" t="s">
        <v>333</v>
      </c>
      <c r="C231" s="4" t="s">
        <v>428</v>
      </c>
      <c r="D231" s="4" t="s">
        <v>3465</v>
      </c>
      <c r="E231" s="4"/>
      <c r="F231" s="4" t="s">
        <v>31</v>
      </c>
    </row>
    <row r="232" customFormat="false" ht="28.35" hidden="false" customHeight="false" outlineLevel="0" collapsed="false">
      <c r="A232" s="4" t="n">
        <v>13</v>
      </c>
      <c r="B232" s="4" t="s">
        <v>333</v>
      </c>
      <c r="C232" s="4" t="s">
        <v>429</v>
      </c>
      <c r="D232" s="4" t="s">
        <v>3466</v>
      </c>
      <c r="E232" s="4"/>
      <c r="F232" s="4" t="s">
        <v>38</v>
      </c>
    </row>
    <row r="233" customFormat="false" ht="41.75" hidden="false" customHeight="false" outlineLevel="0" collapsed="false">
      <c r="A233" s="4" t="n">
        <v>13</v>
      </c>
      <c r="B233" s="4" t="s">
        <v>333</v>
      </c>
      <c r="C233" s="4" t="s">
        <v>430</v>
      </c>
      <c r="D233" s="4" t="s">
        <v>3467</v>
      </c>
      <c r="E233" s="4"/>
      <c r="F233" s="4" t="s">
        <v>773</v>
      </c>
    </row>
    <row r="234" customFormat="false" ht="28.35" hidden="false" customHeight="false" outlineLevel="0" collapsed="false">
      <c r="A234" s="4" t="n">
        <v>13</v>
      </c>
      <c r="B234" s="4" t="s">
        <v>333</v>
      </c>
      <c r="C234" s="4" t="s">
        <v>431</v>
      </c>
      <c r="D234" s="4" t="s">
        <v>3468</v>
      </c>
      <c r="E234" s="4"/>
      <c r="F234" s="4" t="s">
        <v>484</v>
      </c>
    </row>
    <row r="235" customFormat="false" ht="28.35" hidden="false" customHeight="false" outlineLevel="0" collapsed="false">
      <c r="A235" s="4" t="n">
        <v>13</v>
      </c>
      <c r="B235" s="4" t="s">
        <v>333</v>
      </c>
      <c r="C235" s="4" t="s">
        <v>432</v>
      </c>
      <c r="D235" s="4" t="s">
        <v>3469</v>
      </c>
      <c r="E235" s="4"/>
      <c r="F235" s="4" t="s">
        <v>524</v>
      </c>
    </row>
    <row r="236" customFormat="false" ht="41.75" hidden="false" customHeight="false" outlineLevel="0" collapsed="false">
      <c r="A236" s="4" t="n">
        <v>13</v>
      </c>
      <c r="B236" s="4" t="s">
        <v>333</v>
      </c>
      <c r="C236" s="4" t="s">
        <v>433</v>
      </c>
      <c r="D236" s="4" t="s">
        <v>3470</v>
      </c>
      <c r="E236" s="4"/>
      <c r="F236" s="4" t="s">
        <v>665</v>
      </c>
    </row>
    <row r="237" customFormat="false" ht="28.35" hidden="false" customHeight="false" outlineLevel="0" collapsed="false">
      <c r="A237" s="4" t="n">
        <v>13</v>
      </c>
      <c r="B237" s="4" t="s">
        <v>333</v>
      </c>
      <c r="C237" s="4" t="s">
        <v>434</v>
      </c>
      <c r="D237" s="4" t="s">
        <v>3482</v>
      </c>
      <c r="E237" s="4"/>
      <c r="F237" s="4" t="s">
        <v>666</v>
      </c>
    </row>
    <row r="238" customFormat="false" ht="28.35" hidden="false" customHeight="false" outlineLevel="0" collapsed="false">
      <c r="A238" s="4" t="n">
        <v>13</v>
      </c>
      <c r="B238" s="4" t="s">
        <v>333</v>
      </c>
      <c r="C238" s="4" t="s">
        <v>435</v>
      </c>
      <c r="D238" s="4" t="s">
        <v>3510</v>
      </c>
      <c r="E238" s="4"/>
      <c r="F238" s="4" t="s">
        <v>667</v>
      </c>
    </row>
    <row r="239" customFormat="false" ht="28.35" hidden="false" customHeight="false" outlineLevel="0" collapsed="false">
      <c r="A239" s="4" t="n">
        <v>13</v>
      </c>
      <c r="B239" s="4" t="s">
        <v>333</v>
      </c>
      <c r="C239" s="4" t="s">
        <v>436</v>
      </c>
      <c r="D239" s="4" t="s">
        <v>3471</v>
      </c>
      <c r="E239" s="4"/>
      <c r="F239" s="4" t="s">
        <v>332</v>
      </c>
    </row>
    <row r="240" customFormat="false" ht="28.35" hidden="false" customHeight="false" outlineLevel="0" collapsed="false">
      <c r="A240" s="4" t="n">
        <v>13</v>
      </c>
      <c r="B240" s="4" t="s">
        <v>333</v>
      </c>
      <c r="C240" s="4" t="s">
        <v>437</v>
      </c>
      <c r="D240" s="4" t="s">
        <v>3472</v>
      </c>
      <c r="E240" s="4"/>
      <c r="F240" s="4" t="n">
        <v>11</v>
      </c>
    </row>
    <row r="241" customFormat="false" ht="162.65" hidden="false" customHeight="false" outlineLevel="0" collapsed="false">
      <c r="A241" s="4" t="n">
        <v>13</v>
      </c>
      <c r="B241" s="4" t="s">
        <v>333</v>
      </c>
      <c r="C241" s="4" t="s">
        <v>438</v>
      </c>
      <c r="D241" s="4" t="s">
        <v>3511</v>
      </c>
      <c r="E241" s="4"/>
      <c r="F241" s="4" t="s">
        <v>774</v>
      </c>
    </row>
    <row r="242" customFormat="false" ht="243.25" hidden="false" customHeight="false" outlineLevel="0" collapsed="false">
      <c r="A242" s="4" t="n">
        <v>14</v>
      </c>
      <c r="B242" s="4" t="s">
        <v>775</v>
      </c>
      <c r="C242" s="4" t="s">
        <v>372</v>
      </c>
      <c r="D242" s="4" t="s">
        <v>3504</v>
      </c>
      <c r="E242" s="4" t="s">
        <v>3524</v>
      </c>
      <c r="F242" s="4" t="s">
        <v>781</v>
      </c>
    </row>
    <row r="243" customFormat="false" ht="55.2" hidden="false" customHeight="false" outlineLevel="0" collapsed="false">
      <c r="A243" s="4" t="n">
        <v>14</v>
      </c>
      <c r="B243" s="4" t="s">
        <v>775</v>
      </c>
      <c r="C243" s="4" t="s">
        <v>375</v>
      </c>
      <c r="D243" s="4" t="s">
        <v>3473</v>
      </c>
      <c r="E243" s="4" t="s">
        <v>3525</v>
      </c>
      <c r="F243" s="4" t="s">
        <v>783</v>
      </c>
    </row>
    <row r="244" customFormat="false" ht="68.65" hidden="false" customHeight="false" outlineLevel="0" collapsed="false">
      <c r="A244" s="4" t="n">
        <v>14</v>
      </c>
      <c r="B244" s="4" t="s">
        <v>775</v>
      </c>
      <c r="C244" s="4" t="s">
        <v>380</v>
      </c>
      <c r="D244" s="4" t="s">
        <v>3474</v>
      </c>
      <c r="E244" s="4" t="s">
        <v>772</v>
      </c>
      <c r="F244" s="4" t="s">
        <v>785</v>
      </c>
    </row>
    <row r="245" customFormat="false" ht="41.75" hidden="false" customHeight="false" outlineLevel="0" collapsed="false">
      <c r="A245" s="4" t="n">
        <v>14</v>
      </c>
      <c r="B245" s="4" t="s">
        <v>775</v>
      </c>
      <c r="C245" s="4" t="s">
        <v>381</v>
      </c>
      <c r="D245" s="4" t="s">
        <v>3526</v>
      </c>
      <c r="E245" s="4"/>
      <c r="F245" s="4" t="n">
        <v>79.53987</v>
      </c>
    </row>
    <row r="246" customFormat="false" ht="41.75" hidden="false" customHeight="false" outlineLevel="0" collapsed="false">
      <c r="A246" s="4" t="n">
        <v>14</v>
      </c>
      <c r="B246" s="4" t="s">
        <v>775</v>
      </c>
      <c r="C246" s="4" t="s">
        <v>382</v>
      </c>
      <c r="D246" s="4" t="s">
        <v>3527</v>
      </c>
      <c r="E246" s="4"/>
      <c r="F246" s="4" t="s">
        <v>786</v>
      </c>
    </row>
    <row r="247" customFormat="false" ht="68.65" hidden="false" customHeight="false" outlineLevel="0" collapsed="false">
      <c r="A247" s="4" t="n">
        <v>14</v>
      </c>
      <c r="B247" s="4" t="s">
        <v>775</v>
      </c>
      <c r="C247" s="4" t="s">
        <v>383</v>
      </c>
      <c r="D247" s="4" t="s">
        <v>3528</v>
      </c>
      <c r="E247" s="4"/>
      <c r="F247" s="4" t="s">
        <v>787</v>
      </c>
    </row>
    <row r="248" customFormat="false" ht="41.75" hidden="false" customHeight="false" outlineLevel="0" collapsed="false">
      <c r="A248" s="4" t="n">
        <v>14</v>
      </c>
      <c r="B248" s="4" t="s">
        <v>775</v>
      </c>
      <c r="C248" s="4" t="s">
        <v>384</v>
      </c>
      <c r="D248" s="4" t="s">
        <v>3529</v>
      </c>
      <c r="E248" s="4"/>
      <c r="F248" s="4" t="s">
        <v>788</v>
      </c>
    </row>
    <row r="249" customFormat="false" ht="41.75" hidden="false" customHeight="false" outlineLevel="0" collapsed="false">
      <c r="A249" s="4" t="n">
        <v>14</v>
      </c>
      <c r="B249" s="4" t="s">
        <v>775</v>
      </c>
      <c r="C249" s="4" t="s">
        <v>392</v>
      </c>
      <c r="D249" s="4" t="s">
        <v>3530</v>
      </c>
      <c r="E249" s="4"/>
      <c r="F249" s="4" t="n">
        <v>2.55606</v>
      </c>
    </row>
    <row r="250" customFormat="false" ht="41.75" hidden="false" customHeight="false" outlineLevel="0" collapsed="false">
      <c r="A250" s="4" t="n">
        <v>14</v>
      </c>
      <c r="B250" s="4" t="s">
        <v>775</v>
      </c>
      <c r="C250" s="4" t="s">
        <v>393</v>
      </c>
      <c r="D250" s="4" t="s">
        <v>3531</v>
      </c>
      <c r="E250" s="4"/>
      <c r="F250" s="4" t="n">
        <v>2026</v>
      </c>
    </row>
    <row r="251" customFormat="false" ht="68.65" hidden="false" customHeight="false" outlineLevel="0" collapsed="false">
      <c r="A251" s="4" t="n">
        <v>14</v>
      </c>
      <c r="B251" s="4" t="s">
        <v>775</v>
      </c>
      <c r="C251" s="4" t="s">
        <v>394</v>
      </c>
      <c r="D251" s="4" t="s">
        <v>3532</v>
      </c>
      <c r="E251" s="4"/>
      <c r="F251" s="4" t="s">
        <v>789</v>
      </c>
    </row>
    <row r="252" customFormat="false" ht="41.75" hidden="false" customHeight="false" outlineLevel="0" collapsed="false">
      <c r="A252" s="4" t="n">
        <v>14</v>
      </c>
      <c r="B252" s="4" t="s">
        <v>775</v>
      </c>
      <c r="C252" s="4" t="s">
        <v>395</v>
      </c>
      <c r="D252" s="4" t="s">
        <v>3507</v>
      </c>
      <c r="E252" s="4" t="s">
        <v>474</v>
      </c>
      <c r="F252" s="4" t="s">
        <v>506</v>
      </c>
    </row>
    <row r="253" customFormat="false" ht="41.75" hidden="false" customHeight="false" outlineLevel="0" collapsed="false">
      <c r="A253" s="4" t="n">
        <v>14</v>
      </c>
      <c r="B253" s="4" t="s">
        <v>775</v>
      </c>
      <c r="C253" s="4" t="s">
        <v>396</v>
      </c>
      <c r="D253" s="4" t="s">
        <v>3533</v>
      </c>
      <c r="E253" s="4"/>
      <c r="F253" s="4" t="s">
        <v>790</v>
      </c>
    </row>
    <row r="254" customFormat="false" ht="55.2" hidden="false" customHeight="false" outlineLevel="0" collapsed="false">
      <c r="A254" s="4" t="n">
        <v>14</v>
      </c>
      <c r="B254" s="4" t="s">
        <v>775</v>
      </c>
      <c r="C254" s="4" t="s">
        <v>403</v>
      </c>
      <c r="D254" s="4" t="s">
        <v>3481</v>
      </c>
      <c r="E254" s="4" t="s">
        <v>1095</v>
      </c>
      <c r="F254" s="4" t="s">
        <v>791</v>
      </c>
    </row>
    <row r="255" customFormat="false" ht="122.35" hidden="false" customHeight="false" outlineLevel="0" collapsed="false">
      <c r="A255" s="4" t="n">
        <v>14</v>
      </c>
      <c r="B255" s="4" t="s">
        <v>775</v>
      </c>
      <c r="C255" s="4" t="s">
        <v>419</v>
      </c>
      <c r="D255" s="4" t="s">
        <v>3534</v>
      </c>
      <c r="E255" s="4"/>
      <c r="F255" s="4" t="s">
        <v>797</v>
      </c>
    </row>
    <row r="256" customFormat="false" ht="41.75" hidden="false" customHeight="false" outlineLevel="0" collapsed="false">
      <c r="A256" s="4" t="n">
        <v>14</v>
      </c>
      <c r="B256" s="4" t="s">
        <v>775</v>
      </c>
      <c r="C256" s="4" t="s">
        <v>427</v>
      </c>
      <c r="D256" s="4" t="s">
        <v>3464</v>
      </c>
      <c r="E256" s="4"/>
      <c r="F256" s="4" t="s">
        <v>25</v>
      </c>
    </row>
    <row r="257" customFormat="false" ht="41.75" hidden="false" customHeight="false" outlineLevel="0" collapsed="false">
      <c r="A257" s="4" t="n">
        <v>14</v>
      </c>
      <c r="B257" s="4" t="s">
        <v>775</v>
      </c>
      <c r="C257" s="4" t="s">
        <v>428</v>
      </c>
      <c r="D257" s="4" t="s">
        <v>3465</v>
      </c>
      <c r="E257" s="4"/>
      <c r="F257" s="4" t="s">
        <v>32</v>
      </c>
    </row>
    <row r="258" customFormat="false" ht="41.75" hidden="false" customHeight="false" outlineLevel="0" collapsed="false">
      <c r="A258" s="4" t="n">
        <v>14</v>
      </c>
      <c r="B258" s="4" t="s">
        <v>775</v>
      </c>
      <c r="C258" s="4" t="s">
        <v>429</v>
      </c>
      <c r="D258" s="4" t="s">
        <v>3466</v>
      </c>
      <c r="E258" s="4"/>
      <c r="F258" s="4" t="s">
        <v>34</v>
      </c>
    </row>
    <row r="259" customFormat="false" ht="41.75" hidden="false" customHeight="false" outlineLevel="0" collapsed="false">
      <c r="A259" s="4" t="n">
        <v>14</v>
      </c>
      <c r="B259" s="4" t="s">
        <v>775</v>
      </c>
      <c r="C259" s="4" t="s">
        <v>431</v>
      </c>
      <c r="D259" s="4" t="s">
        <v>3468</v>
      </c>
      <c r="E259" s="4"/>
      <c r="F259" s="4" t="s">
        <v>484</v>
      </c>
    </row>
    <row r="260" customFormat="false" ht="41.75" hidden="false" customHeight="false" outlineLevel="0" collapsed="false">
      <c r="A260" s="4" t="n">
        <v>14</v>
      </c>
      <c r="B260" s="4" t="s">
        <v>775</v>
      </c>
      <c r="C260" s="4" t="s">
        <v>432</v>
      </c>
      <c r="D260" s="4" t="s">
        <v>3469</v>
      </c>
      <c r="E260" s="4"/>
      <c r="F260" s="4" t="s">
        <v>524</v>
      </c>
    </row>
    <row r="261" customFormat="false" ht="41.75" hidden="false" customHeight="false" outlineLevel="0" collapsed="false">
      <c r="A261" s="4" t="n">
        <v>14</v>
      </c>
      <c r="B261" s="4" t="s">
        <v>775</v>
      </c>
      <c r="C261" s="4" t="s">
        <v>433</v>
      </c>
      <c r="D261" s="4" t="s">
        <v>3470</v>
      </c>
      <c r="E261" s="4"/>
      <c r="F261" s="4" t="s">
        <v>798</v>
      </c>
    </row>
    <row r="262" customFormat="false" ht="41.75" hidden="false" customHeight="false" outlineLevel="0" collapsed="false">
      <c r="A262" s="4" t="n">
        <v>14</v>
      </c>
      <c r="B262" s="4" t="s">
        <v>775</v>
      </c>
      <c r="C262" s="4" t="s">
        <v>434</v>
      </c>
      <c r="D262" s="4" t="s">
        <v>3482</v>
      </c>
      <c r="E262" s="4"/>
      <c r="F262" s="4" t="s">
        <v>799</v>
      </c>
    </row>
    <row r="263" customFormat="false" ht="41.75" hidden="false" customHeight="false" outlineLevel="0" collapsed="false">
      <c r="A263" s="4" t="n">
        <v>14</v>
      </c>
      <c r="B263" s="4" t="s">
        <v>775</v>
      </c>
      <c r="C263" s="4" t="s">
        <v>436</v>
      </c>
      <c r="D263" s="4" t="s">
        <v>3471</v>
      </c>
      <c r="E263" s="4"/>
      <c r="F263" s="4" t="s">
        <v>800</v>
      </c>
    </row>
    <row r="264" customFormat="false" ht="41.75" hidden="false" customHeight="false" outlineLevel="0" collapsed="false">
      <c r="A264" s="4" t="n">
        <v>14</v>
      </c>
      <c r="B264" s="4" t="s">
        <v>775</v>
      </c>
      <c r="C264" s="4" t="s">
        <v>440</v>
      </c>
      <c r="D264" s="4" t="s">
        <v>3491</v>
      </c>
      <c r="E264" s="4"/>
      <c r="F264" s="4" t="n">
        <v>44</v>
      </c>
    </row>
    <row r="265" customFormat="false" ht="41.75" hidden="false" customHeight="false" outlineLevel="0" collapsed="false">
      <c r="A265" s="4" t="n">
        <v>14</v>
      </c>
      <c r="B265" s="4" t="s">
        <v>775</v>
      </c>
      <c r="C265" s="4" t="s">
        <v>441</v>
      </c>
      <c r="D265" s="4" t="s">
        <v>3492</v>
      </c>
      <c r="E265" s="4"/>
      <c r="F265" s="4" t="n">
        <v>16</v>
      </c>
    </row>
    <row r="266" customFormat="false" ht="41.75" hidden="false" customHeight="false" outlineLevel="0" collapsed="false">
      <c r="A266" s="4" t="n">
        <v>14</v>
      </c>
      <c r="B266" s="4" t="s">
        <v>775</v>
      </c>
      <c r="C266" s="4" t="s">
        <v>442</v>
      </c>
      <c r="D266" s="4" t="s">
        <v>3493</v>
      </c>
      <c r="E266" s="4"/>
      <c r="F266" s="4" t="n">
        <v>3</v>
      </c>
    </row>
    <row r="267" customFormat="false" ht="41.75" hidden="false" customHeight="false" outlineLevel="0" collapsed="false">
      <c r="A267" s="4" t="n">
        <v>14</v>
      </c>
      <c r="B267" s="4" t="s">
        <v>775</v>
      </c>
      <c r="C267" s="4" t="s">
        <v>443</v>
      </c>
      <c r="D267" s="4" t="s">
        <v>3494</v>
      </c>
      <c r="E267" s="4"/>
      <c r="F267" s="4" t="n">
        <v>63</v>
      </c>
    </row>
    <row r="268" customFormat="false" ht="95.5" hidden="false" customHeight="false" outlineLevel="0" collapsed="false">
      <c r="A268" s="4" t="n">
        <v>14</v>
      </c>
      <c r="B268" s="4" t="s">
        <v>775</v>
      </c>
      <c r="C268" s="4" t="s">
        <v>447</v>
      </c>
      <c r="D268" s="4" t="s">
        <v>3498</v>
      </c>
      <c r="E268" s="4"/>
      <c r="F268" s="4" t="s">
        <v>801</v>
      </c>
    </row>
    <row r="269" customFormat="false" ht="82.05" hidden="false" customHeight="false" outlineLevel="0" collapsed="false">
      <c r="A269" s="4" t="n">
        <v>14</v>
      </c>
      <c r="B269" s="4" t="s">
        <v>775</v>
      </c>
      <c r="C269" s="4" t="s">
        <v>448</v>
      </c>
      <c r="D269" s="4" t="s">
        <v>3499</v>
      </c>
      <c r="E269" s="4"/>
      <c r="F269" s="4" t="s">
        <v>802</v>
      </c>
    </row>
    <row r="270" customFormat="false" ht="41.75" hidden="false" customHeight="false" outlineLevel="0" collapsed="false">
      <c r="A270" s="4" t="n">
        <v>14</v>
      </c>
      <c r="B270" s="4" t="s">
        <v>775</v>
      </c>
      <c r="C270" s="4" t="s">
        <v>449</v>
      </c>
      <c r="D270" s="4" t="s">
        <v>3500</v>
      </c>
      <c r="E270" s="4"/>
      <c r="F270" s="4" t="s">
        <v>803</v>
      </c>
    </row>
    <row r="271" customFormat="false" ht="189.55" hidden="false" customHeight="false" outlineLevel="0" collapsed="false">
      <c r="A271" s="4" t="n">
        <v>14</v>
      </c>
      <c r="B271" s="4" t="s">
        <v>775</v>
      </c>
      <c r="C271" s="4" t="s">
        <v>450</v>
      </c>
      <c r="D271" s="4" t="s">
        <v>3501</v>
      </c>
      <c r="E271" s="4"/>
      <c r="F271" s="4" t="s">
        <v>804</v>
      </c>
    </row>
    <row r="272" customFormat="false" ht="28.35" hidden="false" customHeight="false" outlineLevel="0" collapsed="false">
      <c r="A272" s="4" t="n">
        <v>15</v>
      </c>
      <c r="B272" s="4" t="s">
        <v>805</v>
      </c>
      <c r="C272" s="4" t="s">
        <v>369</v>
      </c>
      <c r="D272" s="4" t="s">
        <v>3503</v>
      </c>
      <c r="E272" s="4" t="s">
        <v>780</v>
      </c>
      <c r="F272" s="4" t="s">
        <v>643</v>
      </c>
    </row>
    <row r="273" customFormat="false" ht="202.95" hidden="false" customHeight="false" outlineLevel="0" collapsed="false">
      <c r="A273" s="4" t="n">
        <v>15</v>
      </c>
      <c r="B273" s="4" t="s">
        <v>805</v>
      </c>
      <c r="C273" s="4" t="s">
        <v>372</v>
      </c>
      <c r="D273" s="4" t="s">
        <v>3504</v>
      </c>
      <c r="E273" s="4" t="s">
        <v>996</v>
      </c>
      <c r="F273" s="4" t="s">
        <v>811</v>
      </c>
    </row>
    <row r="274" customFormat="false" ht="28.35" hidden="false" customHeight="false" outlineLevel="0" collapsed="false">
      <c r="A274" s="4" t="n">
        <v>15</v>
      </c>
      <c r="B274" s="4" t="s">
        <v>805</v>
      </c>
      <c r="C274" s="4" t="s">
        <v>380</v>
      </c>
      <c r="D274" s="4" t="s">
        <v>3474</v>
      </c>
      <c r="E274" s="4" t="s">
        <v>825</v>
      </c>
      <c r="F274" s="4" t="s">
        <v>814</v>
      </c>
    </row>
    <row r="275" customFormat="false" ht="41.75" hidden="false" customHeight="false" outlineLevel="0" collapsed="false">
      <c r="A275" s="4" t="n">
        <v>15</v>
      </c>
      <c r="B275" s="4" t="s">
        <v>805</v>
      </c>
      <c r="C275" s="4" t="s">
        <v>390</v>
      </c>
      <c r="D275" s="4" t="s">
        <v>3479</v>
      </c>
      <c r="E275" s="4" t="s">
        <v>473</v>
      </c>
      <c r="F275" s="4" t="s">
        <v>815</v>
      </c>
    </row>
    <row r="276" customFormat="false" ht="28.35" hidden="false" customHeight="false" outlineLevel="0" collapsed="false">
      <c r="A276" s="4" t="n">
        <v>15</v>
      </c>
      <c r="B276" s="4" t="s">
        <v>805</v>
      </c>
      <c r="C276" s="4" t="s">
        <v>395</v>
      </c>
      <c r="D276" s="4" t="s">
        <v>3507</v>
      </c>
      <c r="E276" s="4" t="s">
        <v>474</v>
      </c>
      <c r="F276" s="4" t="s">
        <v>816</v>
      </c>
    </row>
    <row r="277" customFormat="false" ht="28.35" hidden="false" customHeight="false" outlineLevel="0" collapsed="false">
      <c r="A277" s="4" t="n">
        <v>15</v>
      </c>
      <c r="B277" s="4" t="s">
        <v>805</v>
      </c>
      <c r="C277" s="4" t="s">
        <v>402</v>
      </c>
      <c r="D277" s="4" t="s">
        <v>3508</v>
      </c>
      <c r="E277" s="4" t="s">
        <v>475</v>
      </c>
      <c r="F277" s="4" t="s">
        <v>817</v>
      </c>
    </row>
    <row r="278" customFormat="false" ht="55.2" hidden="false" customHeight="false" outlineLevel="0" collapsed="false">
      <c r="A278" s="4" t="n">
        <v>15</v>
      </c>
      <c r="B278" s="4" t="s">
        <v>805</v>
      </c>
      <c r="C278" s="4" t="s">
        <v>403</v>
      </c>
      <c r="D278" s="4" t="s">
        <v>3481</v>
      </c>
      <c r="E278" s="4" t="s">
        <v>1095</v>
      </c>
      <c r="F278" s="4" t="s">
        <v>818</v>
      </c>
    </row>
    <row r="279" customFormat="false" ht="68.65" hidden="false" customHeight="false" outlineLevel="0" collapsed="false">
      <c r="A279" s="4" t="n">
        <v>15</v>
      </c>
      <c r="B279" s="4" t="s">
        <v>805</v>
      </c>
      <c r="C279" s="4" t="s">
        <v>407</v>
      </c>
      <c r="D279" s="4" t="s">
        <v>3485</v>
      </c>
      <c r="E279" s="4" t="s">
        <v>3535</v>
      </c>
      <c r="F279" s="4" t="s">
        <v>819</v>
      </c>
    </row>
    <row r="280" customFormat="false" ht="28.35" hidden="false" customHeight="false" outlineLevel="0" collapsed="false">
      <c r="A280" s="4" t="n">
        <v>15</v>
      </c>
      <c r="B280" s="4" t="s">
        <v>805</v>
      </c>
      <c r="C280" s="4" t="s">
        <v>427</v>
      </c>
      <c r="D280" s="4" t="s">
        <v>3464</v>
      </c>
      <c r="E280" s="4"/>
      <c r="F280" s="4" t="s">
        <v>24</v>
      </c>
    </row>
    <row r="281" customFormat="false" ht="28.35" hidden="false" customHeight="false" outlineLevel="0" collapsed="false">
      <c r="A281" s="4" t="n">
        <v>15</v>
      </c>
      <c r="B281" s="4" t="s">
        <v>805</v>
      </c>
      <c r="C281" s="4" t="s">
        <v>428</v>
      </c>
      <c r="D281" s="4" t="s">
        <v>3465</v>
      </c>
      <c r="E281" s="4"/>
      <c r="F281" s="4" t="s">
        <v>31</v>
      </c>
    </row>
    <row r="282" customFormat="false" ht="28.35" hidden="false" customHeight="false" outlineLevel="0" collapsed="false">
      <c r="A282" s="4" t="n">
        <v>15</v>
      </c>
      <c r="B282" s="4" t="s">
        <v>805</v>
      </c>
      <c r="C282" s="4" t="s">
        <v>429</v>
      </c>
      <c r="D282" s="4" t="s">
        <v>3466</v>
      </c>
      <c r="E282" s="4"/>
      <c r="F282" s="4" t="s">
        <v>38</v>
      </c>
    </row>
    <row r="283" customFormat="false" ht="28.35" hidden="false" customHeight="false" outlineLevel="0" collapsed="false">
      <c r="A283" s="4" t="n">
        <v>15</v>
      </c>
      <c r="B283" s="4" t="s">
        <v>805</v>
      </c>
      <c r="C283" s="4" t="s">
        <v>431</v>
      </c>
      <c r="D283" s="4" t="s">
        <v>3468</v>
      </c>
      <c r="E283" s="4"/>
      <c r="F283" s="4" t="s">
        <v>484</v>
      </c>
    </row>
    <row r="284" customFormat="false" ht="28.35" hidden="false" customHeight="false" outlineLevel="0" collapsed="false">
      <c r="A284" s="4" t="n">
        <v>15</v>
      </c>
      <c r="B284" s="4" t="s">
        <v>805</v>
      </c>
      <c r="C284" s="4" t="s">
        <v>432</v>
      </c>
      <c r="D284" s="4" t="s">
        <v>3469</v>
      </c>
      <c r="E284" s="4"/>
      <c r="F284" s="4" t="s">
        <v>713</v>
      </c>
    </row>
    <row r="285" customFormat="false" ht="41.75" hidden="false" customHeight="false" outlineLevel="0" collapsed="false">
      <c r="A285" s="4" t="n">
        <v>15</v>
      </c>
      <c r="B285" s="4" t="s">
        <v>805</v>
      </c>
      <c r="C285" s="4" t="s">
        <v>433</v>
      </c>
      <c r="D285" s="4" t="s">
        <v>3470</v>
      </c>
      <c r="E285" s="4"/>
      <c r="F285" s="4" t="s">
        <v>665</v>
      </c>
    </row>
    <row r="286" customFormat="false" ht="28.35" hidden="false" customHeight="false" outlineLevel="0" collapsed="false">
      <c r="A286" s="4" t="n">
        <v>15</v>
      </c>
      <c r="B286" s="4" t="s">
        <v>805</v>
      </c>
      <c r="C286" s="4" t="s">
        <v>434</v>
      </c>
      <c r="D286" s="4" t="s">
        <v>3482</v>
      </c>
      <c r="E286" s="4"/>
      <c r="F286" s="4" t="s">
        <v>666</v>
      </c>
    </row>
    <row r="287" customFormat="false" ht="28.35" hidden="false" customHeight="false" outlineLevel="0" collapsed="false">
      <c r="A287" s="4" t="n">
        <v>15</v>
      </c>
      <c r="B287" s="4" t="s">
        <v>805</v>
      </c>
      <c r="C287" s="4" t="s">
        <v>435</v>
      </c>
      <c r="D287" s="4" t="s">
        <v>3510</v>
      </c>
      <c r="E287" s="4"/>
      <c r="F287" s="4" t="s">
        <v>667</v>
      </c>
    </row>
    <row r="288" customFormat="false" ht="28.35" hidden="false" customHeight="false" outlineLevel="0" collapsed="false">
      <c r="A288" s="4" t="n">
        <v>15</v>
      </c>
      <c r="B288" s="4" t="s">
        <v>805</v>
      </c>
      <c r="C288" s="4" t="s">
        <v>436</v>
      </c>
      <c r="D288" s="4" t="s">
        <v>3471</v>
      </c>
      <c r="E288" s="4"/>
      <c r="F288" s="4" t="s">
        <v>826</v>
      </c>
    </row>
    <row r="289" customFormat="false" ht="55.2" hidden="false" customHeight="false" outlineLevel="0" collapsed="false">
      <c r="A289" s="4" t="n">
        <v>15</v>
      </c>
      <c r="B289" s="4" t="s">
        <v>805</v>
      </c>
      <c r="C289" s="4" t="s">
        <v>438</v>
      </c>
      <c r="D289" s="4" t="s">
        <v>3511</v>
      </c>
      <c r="E289" s="4"/>
      <c r="F289" s="4" t="s">
        <v>827</v>
      </c>
    </row>
    <row r="290" customFormat="false" ht="28.35" hidden="false" customHeight="false" outlineLevel="0" collapsed="false">
      <c r="A290" s="4" t="n">
        <v>16</v>
      </c>
      <c r="B290" s="4" t="s">
        <v>828</v>
      </c>
      <c r="C290" s="4" t="s">
        <v>369</v>
      </c>
      <c r="D290" s="4" t="s">
        <v>3503</v>
      </c>
      <c r="E290" s="4" t="s">
        <v>780</v>
      </c>
      <c r="F290" s="4" t="s">
        <v>643</v>
      </c>
    </row>
    <row r="291" customFormat="false" ht="216.4" hidden="false" customHeight="false" outlineLevel="0" collapsed="false">
      <c r="A291" s="4" t="n">
        <v>16</v>
      </c>
      <c r="B291" s="4" t="s">
        <v>828</v>
      </c>
      <c r="C291" s="4" t="s">
        <v>372</v>
      </c>
      <c r="D291" s="4" t="s">
        <v>3504</v>
      </c>
      <c r="E291" s="4" t="s">
        <v>3536</v>
      </c>
      <c r="F291" s="4" t="s">
        <v>834</v>
      </c>
    </row>
    <row r="292" customFormat="false" ht="68.65" hidden="false" customHeight="false" outlineLevel="0" collapsed="false">
      <c r="A292" s="4" t="n">
        <v>16</v>
      </c>
      <c r="B292" s="4" t="s">
        <v>828</v>
      </c>
      <c r="C292" s="4" t="s">
        <v>380</v>
      </c>
      <c r="D292" s="4" t="s">
        <v>3474</v>
      </c>
      <c r="E292" s="4" t="s">
        <v>3537</v>
      </c>
      <c r="F292" s="4" t="s">
        <v>837</v>
      </c>
    </row>
    <row r="293" customFormat="false" ht="28.35" hidden="false" customHeight="false" outlineLevel="0" collapsed="false">
      <c r="A293" s="4" t="n">
        <v>16</v>
      </c>
      <c r="B293" s="4" t="s">
        <v>828</v>
      </c>
      <c r="C293" s="4" t="s">
        <v>381</v>
      </c>
      <c r="D293" s="4" t="s">
        <v>3526</v>
      </c>
      <c r="E293" s="4"/>
      <c r="F293" s="4" t="n">
        <v>0.1</v>
      </c>
    </row>
    <row r="294" customFormat="false" ht="28.35" hidden="false" customHeight="false" outlineLevel="0" collapsed="false">
      <c r="A294" s="4" t="n">
        <v>16</v>
      </c>
      <c r="B294" s="4" t="s">
        <v>828</v>
      </c>
      <c r="C294" s="4" t="s">
        <v>382</v>
      </c>
      <c r="D294" s="4" t="s">
        <v>3527</v>
      </c>
      <c r="E294" s="4"/>
      <c r="F294" s="4" t="s">
        <v>838</v>
      </c>
    </row>
    <row r="295" customFormat="false" ht="41.75" hidden="false" customHeight="false" outlineLevel="0" collapsed="false">
      <c r="A295" s="4" t="n">
        <v>16</v>
      </c>
      <c r="B295" s="4" t="s">
        <v>828</v>
      </c>
      <c r="C295" s="4" t="s">
        <v>383</v>
      </c>
      <c r="D295" s="4" t="s">
        <v>3528</v>
      </c>
      <c r="E295" s="4"/>
      <c r="F295" s="4" t="s">
        <v>839</v>
      </c>
    </row>
    <row r="296" customFormat="false" ht="28.35" hidden="false" customHeight="false" outlineLevel="0" collapsed="false">
      <c r="A296" s="4" t="n">
        <v>16</v>
      </c>
      <c r="B296" s="4" t="s">
        <v>828</v>
      </c>
      <c r="C296" s="4" t="s">
        <v>384</v>
      </c>
      <c r="D296" s="4" t="s">
        <v>3529</v>
      </c>
      <c r="E296" s="4"/>
      <c r="F296" s="4" t="s">
        <v>840</v>
      </c>
    </row>
    <row r="297" customFormat="false" ht="41.75" hidden="false" customHeight="false" outlineLevel="0" collapsed="false">
      <c r="A297" s="4" t="n">
        <v>16</v>
      </c>
      <c r="B297" s="4" t="s">
        <v>828</v>
      </c>
      <c r="C297" s="4" t="s">
        <v>390</v>
      </c>
      <c r="D297" s="4" t="s">
        <v>3479</v>
      </c>
      <c r="E297" s="4" t="s">
        <v>473</v>
      </c>
      <c r="F297" s="4" t="s">
        <v>841</v>
      </c>
    </row>
    <row r="298" customFormat="false" ht="41.75" hidden="false" customHeight="false" outlineLevel="0" collapsed="false">
      <c r="A298" s="4" t="n">
        <v>16</v>
      </c>
      <c r="B298" s="4" t="s">
        <v>828</v>
      </c>
      <c r="C298" s="4" t="s">
        <v>395</v>
      </c>
      <c r="D298" s="4" t="s">
        <v>3507</v>
      </c>
      <c r="E298" s="4" t="s">
        <v>474</v>
      </c>
      <c r="F298" s="4" t="s">
        <v>842</v>
      </c>
    </row>
    <row r="299" customFormat="false" ht="41.75" hidden="false" customHeight="false" outlineLevel="0" collapsed="false">
      <c r="A299" s="4" t="n">
        <v>16</v>
      </c>
      <c r="B299" s="4" t="s">
        <v>828</v>
      </c>
      <c r="C299" s="4" t="s">
        <v>402</v>
      </c>
      <c r="D299" s="4" t="s">
        <v>3508</v>
      </c>
      <c r="E299" s="4" t="s">
        <v>475</v>
      </c>
      <c r="F299" s="4" t="s">
        <v>843</v>
      </c>
    </row>
    <row r="300" customFormat="false" ht="55.2" hidden="false" customHeight="false" outlineLevel="0" collapsed="false">
      <c r="A300" s="4" t="n">
        <v>16</v>
      </c>
      <c r="B300" s="4" t="s">
        <v>828</v>
      </c>
      <c r="C300" s="4" t="s">
        <v>403</v>
      </c>
      <c r="D300" s="4" t="s">
        <v>3481</v>
      </c>
      <c r="E300" s="4" t="s">
        <v>1095</v>
      </c>
      <c r="F300" s="4" t="s">
        <v>844</v>
      </c>
    </row>
    <row r="301" customFormat="false" ht="108.95" hidden="false" customHeight="false" outlineLevel="0" collapsed="false">
      <c r="A301" s="4" t="n">
        <v>16</v>
      </c>
      <c r="B301" s="4" t="s">
        <v>828</v>
      </c>
      <c r="C301" s="4" t="s">
        <v>407</v>
      </c>
      <c r="D301" s="4" t="s">
        <v>3485</v>
      </c>
      <c r="E301" s="4" t="s">
        <v>3538</v>
      </c>
      <c r="F301" s="4" t="s">
        <v>845</v>
      </c>
    </row>
    <row r="302" customFormat="false" ht="15" hidden="false" customHeight="false" outlineLevel="0" collapsed="false">
      <c r="A302" s="4" t="n">
        <v>16</v>
      </c>
      <c r="B302" s="4" t="s">
        <v>828</v>
      </c>
      <c r="C302" s="4" t="s">
        <v>427</v>
      </c>
      <c r="D302" s="4" t="s">
        <v>3464</v>
      </c>
      <c r="E302" s="4"/>
      <c r="F302" s="4" t="s">
        <v>24</v>
      </c>
    </row>
    <row r="303" customFormat="false" ht="15" hidden="false" customHeight="false" outlineLevel="0" collapsed="false">
      <c r="A303" s="4" t="n">
        <v>16</v>
      </c>
      <c r="B303" s="4" t="s">
        <v>828</v>
      </c>
      <c r="C303" s="4" t="s">
        <v>428</v>
      </c>
      <c r="D303" s="4" t="s">
        <v>3465</v>
      </c>
      <c r="E303" s="4"/>
      <c r="F303" s="4" t="s">
        <v>31</v>
      </c>
    </row>
    <row r="304" customFormat="false" ht="15" hidden="false" customHeight="false" outlineLevel="0" collapsed="false">
      <c r="A304" s="4" t="n">
        <v>16</v>
      </c>
      <c r="B304" s="4" t="s">
        <v>828</v>
      </c>
      <c r="C304" s="4" t="s">
        <v>429</v>
      </c>
      <c r="D304" s="4" t="s">
        <v>3466</v>
      </c>
      <c r="E304" s="4"/>
      <c r="F304" s="4" t="s">
        <v>38</v>
      </c>
    </row>
    <row r="305" customFormat="false" ht="15" hidden="false" customHeight="false" outlineLevel="0" collapsed="false">
      <c r="A305" s="4" t="n">
        <v>16</v>
      </c>
      <c r="B305" s="4" t="s">
        <v>828</v>
      </c>
      <c r="C305" s="4" t="s">
        <v>431</v>
      </c>
      <c r="D305" s="4" t="s">
        <v>3468</v>
      </c>
      <c r="E305" s="4"/>
      <c r="F305" s="4" t="s">
        <v>484</v>
      </c>
    </row>
    <row r="306" customFormat="false" ht="15" hidden="false" customHeight="false" outlineLevel="0" collapsed="false">
      <c r="A306" s="4" t="n">
        <v>16</v>
      </c>
      <c r="B306" s="4" t="s">
        <v>828</v>
      </c>
      <c r="C306" s="4" t="s">
        <v>432</v>
      </c>
      <c r="D306" s="4" t="s">
        <v>3469</v>
      </c>
      <c r="E306" s="4"/>
      <c r="F306" s="4" t="s">
        <v>524</v>
      </c>
    </row>
    <row r="307" customFormat="false" ht="41.75" hidden="false" customHeight="false" outlineLevel="0" collapsed="false">
      <c r="A307" s="4" t="n">
        <v>16</v>
      </c>
      <c r="B307" s="4" t="s">
        <v>828</v>
      </c>
      <c r="C307" s="4" t="s">
        <v>433</v>
      </c>
      <c r="D307" s="4" t="s">
        <v>3470</v>
      </c>
      <c r="E307" s="4"/>
      <c r="F307" s="4" t="s">
        <v>665</v>
      </c>
    </row>
    <row r="308" customFormat="false" ht="15" hidden="false" customHeight="false" outlineLevel="0" collapsed="false">
      <c r="A308" s="4" t="n">
        <v>16</v>
      </c>
      <c r="B308" s="4" t="s">
        <v>828</v>
      </c>
      <c r="C308" s="4" t="s">
        <v>434</v>
      </c>
      <c r="D308" s="4" t="s">
        <v>3482</v>
      </c>
      <c r="E308" s="4"/>
      <c r="F308" s="4" t="s">
        <v>666</v>
      </c>
    </row>
    <row r="309" customFormat="false" ht="28.35" hidden="false" customHeight="false" outlineLevel="0" collapsed="false">
      <c r="A309" s="4" t="n">
        <v>16</v>
      </c>
      <c r="B309" s="4" t="s">
        <v>828</v>
      </c>
      <c r="C309" s="4" t="s">
        <v>435</v>
      </c>
      <c r="D309" s="4" t="s">
        <v>3510</v>
      </c>
      <c r="E309" s="4"/>
      <c r="F309" s="4" t="s">
        <v>667</v>
      </c>
    </row>
    <row r="310" customFormat="false" ht="15" hidden="false" customHeight="false" outlineLevel="0" collapsed="false">
      <c r="A310" s="4" t="n">
        <v>16</v>
      </c>
      <c r="B310" s="4" t="s">
        <v>828</v>
      </c>
      <c r="C310" s="4" t="s">
        <v>436</v>
      </c>
      <c r="D310" s="4" t="s">
        <v>3471</v>
      </c>
      <c r="E310" s="4"/>
      <c r="F310" s="4" t="s">
        <v>849</v>
      </c>
    </row>
    <row r="311" customFormat="false" ht="135.8" hidden="false" customHeight="false" outlineLevel="0" collapsed="false">
      <c r="A311" s="4" t="n">
        <v>16</v>
      </c>
      <c r="B311" s="4" t="s">
        <v>828</v>
      </c>
      <c r="C311" s="4" t="s">
        <v>438</v>
      </c>
      <c r="D311" s="4" t="s">
        <v>3511</v>
      </c>
      <c r="E311" s="4"/>
      <c r="F311" s="4" t="s">
        <v>850</v>
      </c>
    </row>
    <row r="312" customFormat="false" ht="28.35" hidden="false" customHeight="false" outlineLevel="0" collapsed="false">
      <c r="A312" s="4" t="n">
        <v>17</v>
      </c>
      <c r="B312" s="4" t="s">
        <v>851</v>
      </c>
      <c r="C312" s="4" t="s">
        <v>369</v>
      </c>
      <c r="D312" s="4" t="s">
        <v>3503</v>
      </c>
      <c r="E312" s="4" t="s">
        <v>780</v>
      </c>
      <c r="F312" s="4" t="s">
        <v>643</v>
      </c>
    </row>
    <row r="313" customFormat="false" ht="176.1" hidden="false" customHeight="false" outlineLevel="0" collapsed="false">
      <c r="A313" s="4" t="n">
        <v>17</v>
      </c>
      <c r="B313" s="4" t="s">
        <v>851</v>
      </c>
      <c r="C313" s="4" t="s">
        <v>372</v>
      </c>
      <c r="D313" s="4" t="s">
        <v>3504</v>
      </c>
      <c r="E313" s="4" t="s">
        <v>3539</v>
      </c>
      <c r="F313" s="4" t="s">
        <v>856</v>
      </c>
    </row>
    <row r="314" customFormat="false" ht="28.35" hidden="false" customHeight="false" outlineLevel="0" collapsed="false">
      <c r="A314" s="4" t="n">
        <v>17</v>
      </c>
      <c r="B314" s="4" t="s">
        <v>851</v>
      </c>
      <c r="C314" s="4" t="s">
        <v>380</v>
      </c>
      <c r="D314" s="4" t="s">
        <v>3474</v>
      </c>
      <c r="E314" s="4" t="s">
        <v>867</v>
      </c>
      <c r="F314" s="4" t="s">
        <v>859</v>
      </c>
    </row>
    <row r="315" customFormat="false" ht="41.75" hidden="false" customHeight="false" outlineLevel="0" collapsed="false">
      <c r="A315" s="4" t="n">
        <v>17</v>
      </c>
      <c r="B315" s="4" t="s">
        <v>851</v>
      </c>
      <c r="C315" s="4" t="s">
        <v>390</v>
      </c>
      <c r="D315" s="4" t="s">
        <v>3479</v>
      </c>
      <c r="E315" s="4" t="s">
        <v>473</v>
      </c>
      <c r="F315" s="4" t="s">
        <v>860</v>
      </c>
    </row>
    <row r="316" customFormat="false" ht="28.35" hidden="false" customHeight="false" outlineLevel="0" collapsed="false">
      <c r="A316" s="4" t="n">
        <v>17</v>
      </c>
      <c r="B316" s="4" t="s">
        <v>851</v>
      </c>
      <c r="C316" s="4" t="s">
        <v>395</v>
      </c>
      <c r="D316" s="4" t="s">
        <v>3507</v>
      </c>
      <c r="E316" s="4" t="s">
        <v>474</v>
      </c>
      <c r="F316" s="4" t="s">
        <v>861</v>
      </c>
    </row>
    <row r="317" customFormat="false" ht="28.35" hidden="false" customHeight="false" outlineLevel="0" collapsed="false">
      <c r="A317" s="4" t="n">
        <v>17</v>
      </c>
      <c r="B317" s="4" t="s">
        <v>851</v>
      </c>
      <c r="C317" s="4" t="s">
        <v>402</v>
      </c>
      <c r="D317" s="4" t="s">
        <v>3508</v>
      </c>
      <c r="E317" s="4" t="s">
        <v>475</v>
      </c>
      <c r="F317" s="4" t="s">
        <v>862</v>
      </c>
    </row>
    <row r="318" customFormat="false" ht="55.2" hidden="false" customHeight="false" outlineLevel="0" collapsed="false">
      <c r="A318" s="4" t="n">
        <v>17</v>
      </c>
      <c r="B318" s="4" t="s">
        <v>851</v>
      </c>
      <c r="C318" s="4" t="s">
        <v>403</v>
      </c>
      <c r="D318" s="4" t="s">
        <v>3481</v>
      </c>
      <c r="E318" s="4" t="s">
        <v>1095</v>
      </c>
      <c r="F318" s="4" t="s">
        <v>863</v>
      </c>
    </row>
    <row r="319" customFormat="false" ht="82.05" hidden="false" customHeight="false" outlineLevel="0" collapsed="false">
      <c r="A319" s="4" t="n">
        <v>17</v>
      </c>
      <c r="B319" s="4" t="s">
        <v>851</v>
      </c>
      <c r="C319" s="4" t="s">
        <v>407</v>
      </c>
      <c r="D319" s="4" t="s">
        <v>3485</v>
      </c>
      <c r="E319" s="4" t="s">
        <v>3540</v>
      </c>
      <c r="F319" s="4" t="s">
        <v>864</v>
      </c>
    </row>
    <row r="320" customFormat="false" ht="15" hidden="false" customHeight="false" outlineLevel="0" collapsed="false">
      <c r="A320" s="4" t="n">
        <v>17</v>
      </c>
      <c r="B320" s="4" t="s">
        <v>851</v>
      </c>
      <c r="C320" s="4" t="s">
        <v>427</v>
      </c>
      <c r="D320" s="4" t="s">
        <v>3464</v>
      </c>
      <c r="E320" s="4"/>
      <c r="F320" s="4" t="s">
        <v>24</v>
      </c>
    </row>
    <row r="321" customFormat="false" ht="15" hidden="false" customHeight="false" outlineLevel="0" collapsed="false">
      <c r="A321" s="4" t="n">
        <v>17</v>
      </c>
      <c r="B321" s="4" t="s">
        <v>851</v>
      </c>
      <c r="C321" s="4" t="s">
        <v>428</v>
      </c>
      <c r="D321" s="4" t="s">
        <v>3465</v>
      </c>
      <c r="E321" s="4"/>
      <c r="F321" s="4" t="s">
        <v>31</v>
      </c>
    </row>
    <row r="322" customFormat="false" ht="15" hidden="false" customHeight="false" outlineLevel="0" collapsed="false">
      <c r="A322" s="4" t="n">
        <v>17</v>
      </c>
      <c r="B322" s="4" t="s">
        <v>851</v>
      </c>
      <c r="C322" s="4" t="s">
        <v>429</v>
      </c>
      <c r="D322" s="4" t="s">
        <v>3466</v>
      </c>
      <c r="E322" s="4"/>
      <c r="F322" s="4" t="s">
        <v>38</v>
      </c>
    </row>
    <row r="323" customFormat="false" ht="15" hidden="false" customHeight="false" outlineLevel="0" collapsed="false">
      <c r="A323" s="4" t="n">
        <v>17</v>
      </c>
      <c r="B323" s="4" t="s">
        <v>851</v>
      </c>
      <c r="C323" s="4" t="s">
        <v>431</v>
      </c>
      <c r="D323" s="4" t="s">
        <v>3468</v>
      </c>
      <c r="E323" s="4"/>
      <c r="F323" s="4" t="s">
        <v>484</v>
      </c>
    </row>
    <row r="324" customFormat="false" ht="15" hidden="false" customHeight="false" outlineLevel="0" collapsed="false">
      <c r="A324" s="4" t="n">
        <v>17</v>
      </c>
      <c r="B324" s="4" t="s">
        <v>851</v>
      </c>
      <c r="C324" s="4" t="s">
        <v>432</v>
      </c>
      <c r="D324" s="4" t="s">
        <v>3469</v>
      </c>
      <c r="E324" s="4"/>
      <c r="F324" s="4" t="s">
        <v>713</v>
      </c>
    </row>
    <row r="325" customFormat="false" ht="41.75" hidden="false" customHeight="false" outlineLevel="0" collapsed="false">
      <c r="A325" s="4" t="n">
        <v>17</v>
      </c>
      <c r="B325" s="4" t="s">
        <v>851</v>
      </c>
      <c r="C325" s="4" t="s">
        <v>433</v>
      </c>
      <c r="D325" s="4" t="s">
        <v>3470</v>
      </c>
      <c r="E325" s="4"/>
      <c r="F325" s="4" t="s">
        <v>665</v>
      </c>
    </row>
    <row r="326" customFormat="false" ht="15" hidden="false" customHeight="false" outlineLevel="0" collapsed="false">
      <c r="A326" s="4" t="n">
        <v>17</v>
      </c>
      <c r="B326" s="4" t="s">
        <v>851</v>
      </c>
      <c r="C326" s="4" t="s">
        <v>434</v>
      </c>
      <c r="D326" s="4" t="s">
        <v>3482</v>
      </c>
      <c r="E326" s="4"/>
      <c r="F326" s="4" t="s">
        <v>666</v>
      </c>
    </row>
    <row r="327" customFormat="false" ht="28.35" hidden="false" customHeight="false" outlineLevel="0" collapsed="false">
      <c r="A327" s="4" t="n">
        <v>17</v>
      </c>
      <c r="B327" s="4" t="s">
        <v>851</v>
      </c>
      <c r="C327" s="4" t="s">
        <v>435</v>
      </c>
      <c r="D327" s="4" t="s">
        <v>3510</v>
      </c>
      <c r="E327" s="4"/>
      <c r="F327" s="4" t="s">
        <v>667</v>
      </c>
    </row>
    <row r="328" customFormat="false" ht="15" hidden="false" customHeight="false" outlineLevel="0" collapsed="false">
      <c r="A328" s="4" t="n">
        <v>17</v>
      </c>
      <c r="B328" s="4" t="s">
        <v>851</v>
      </c>
      <c r="C328" s="4" t="s">
        <v>436</v>
      </c>
      <c r="D328" s="4" t="s">
        <v>3471</v>
      </c>
      <c r="E328" s="4"/>
      <c r="F328" s="4" t="s">
        <v>868</v>
      </c>
    </row>
    <row r="329" customFormat="false" ht="55.2" hidden="false" customHeight="false" outlineLevel="0" collapsed="false">
      <c r="A329" s="4" t="n">
        <v>17</v>
      </c>
      <c r="B329" s="4" t="s">
        <v>851</v>
      </c>
      <c r="C329" s="4" t="s">
        <v>438</v>
      </c>
      <c r="D329" s="4" t="s">
        <v>3511</v>
      </c>
      <c r="E329" s="4"/>
      <c r="F329" s="4" t="s">
        <v>869</v>
      </c>
    </row>
    <row r="330" customFormat="false" ht="28.35" hidden="false" customHeight="false" outlineLevel="0" collapsed="false">
      <c r="A330" s="4" t="n">
        <v>18</v>
      </c>
      <c r="B330" s="4" t="s">
        <v>870</v>
      </c>
      <c r="C330" s="4" t="s">
        <v>369</v>
      </c>
      <c r="D330" s="4" t="s">
        <v>3503</v>
      </c>
      <c r="E330" s="4" t="s">
        <v>780</v>
      </c>
      <c r="F330" s="4" t="s">
        <v>643</v>
      </c>
    </row>
    <row r="331" customFormat="false" ht="189.55" hidden="false" customHeight="false" outlineLevel="0" collapsed="false">
      <c r="A331" s="4" t="n">
        <v>18</v>
      </c>
      <c r="B331" s="4" t="s">
        <v>870</v>
      </c>
      <c r="C331" s="4" t="s">
        <v>372</v>
      </c>
      <c r="D331" s="4" t="s">
        <v>3504</v>
      </c>
      <c r="E331" s="4" t="s">
        <v>996</v>
      </c>
      <c r="F331" s="4" t="s">
        <v>875</v>
      </c>
    </row>
    <row r="332" customFormat="false" ht="68.65" hidden="false" customHeight="false" outlineLevel="0" collapsed="false">
      <c r="A332" s="4" t="n">
        <v>18</v>
      </c>
      <c r="B332" s="4" t="s">
        <v>870</v>
      </c>
      <c r="C332" s="4" t="s">
        <v>380</v>
      </c>
      <c r="D332" s="4" t="s">
        <v>3474</v>
      </c>
      <c r="E332" s="4" t="s">
        <v>3541</v>
      </c>
      <c r="F332" s="4" t="s">
        <v>876</v>
      </c>
    </row>
    <row r="333" customFormat="false" ht="41.75" hidden="false" customHeight="false" outlineLevel="0" collapsed="false">
      <c r="A333" s="4" t="n">
        <v>18</v>
      </c>
      <c r="B333" s="4" t="s">
        <v>870</v>
      </c>
      <c r="C333" s="4" t="s">
        <v>390</v>
      </c>
      <c r="D333" s="4" t="s">
        <v>3479</v>
      </c>
      <c r="E333" s="4" t="s">
        <v>473</v>
      </c>
      <c r="F333" s="4" t="s">
        <v>877</v>
      </c>
    </row>
    <row r="334" customFormat="false" ht="28.35" hidden="false" customHeight="false" outlineLevel="0" collapsed="false">
      <c r="A334" s="4" t="n">
        <v>18</v>
      </c>
      <c r="B334" s="4" t="s">
        <v>870</v>
      </c>
      <c r="C334" s="4" t="s">
        <v>395</v>
      </c>
      <c r="D334" s="4" t="s">
        <v>3507</v>
      </c>
      <c r="E334" s="4" t="s">
        <v>474</v>
      </c>
      <c r="F334" s="4" t="s">
        <v>878</v>
      </c>
    </row>
    <row r="335" customFormat="false" ht="28.35" hidden="false" customHeight="false" outlineLevel="0" collapsed="false">
      <c r="A335" s="4" t="n">
        <v>18</v>
      </c>
      <c r="B335" s="4" t="s">
        <v>870</v>
      </c>
      <c r="C335" s="4" t="s">
        <v>402</v>
      </c>
      <c r="D335" s="4" t="s">
        <v>3508</v>
      </c>
      <c r="E335" s="4" t="s">
        <v>475</v>
      </c>
      <c r="F335" s="4" t="s">
        <v>879</v>
      </c>
    </row>
    <row r="336" customFormat="false" ht="55.2" hidden="false" customHeight="false" outlineLevel="0" collapsed="false">
      <c r="A336" s="4" t="n">
        <v>18</v>
      </c>
      <c r="B336" s="4" t="s">
        <v>870</v>
      </c>
      <c r="C336" s="4" t="s">
        <v>403</v>
      </c>
      <c r="D336" s="4" t="s">
        <v>3481</v>
      </c>
      <c r="E336" s="4" t="s">
        <v>1095</v>
      </c>
      <c r="F336" s="4" t="s">
        <v>880</v>
      </c>
    </row>
    <row r="337" customFormat="false" ht="82.05" hidden="false" customHeight="false" outlineLevel="0" collapsed="false">
      <c r="A337" s="4" t="n">
        <v>18</v>
      </c>
      <c r="B337" s="4" t="s">
        <v>870</v>
      </c>
      <c r="C337" s="4" t="s">
        <v>407</v>
      </c>
      <c r="D337" s="4" t="s">
        <v>3485</v>
      </c>
      <c r="E337" s="4" t="s">
        <v>3542</v>
      </c>
      <c r="F337" s="4" t="s">
        <v>881</v>
      </c>
    </row>
    <row r="338" customFormat="false" ht="28.35" hidden="false" customHeight="false" outlineLevel="0" collapsed="false">
      <c r="A338" s="4" t="n">
        <v>18</v>
      </c>
      <c r="B338" s="4" t="s">
        <v>870</v>
      </c>
      <c r="C338" s="4" t="s">
        <v>427</v>
      </c>
      <c r="D338" s="4" t="s">
        <v>3464</v>
      </c>
      <c r="E338" s="4"/>
      <c r="F338" s="4" t="s">
        <v>24</v>
      </c>
    </row>
    <row r="339" customFormat="false" ht="28.35" hidden="false" customHeight="false" outlineLevel="0" collapsed="false">
      <c r="A339" s="4" t="n">
        <v>18</v>
      </c>
      <c r="B339" s="4" t="s">
        <v>870</v>
      </c>
      <c r="C339" s="4" t="s">
        <v>428</v>
      </c>
      <c r="D339" s="4" t="s">
        <v>3465</v>
      </c>
      <c r="E339" s="4"/>
      <c r="F339" s="4" t="s">
        <v>31</v>
      </c>
    </row>
    <row r="340" customFormat="false" ht="28.35" hidden="false" customHeight="false" outlineLevel="0" collapsed="false">
      <c r="A340" s="4" t="n">
        <v>18</v>
      </c>
      <c r="B340" s="4" t="s">
        <v>870</v>
      </c>
      <c r="C340" s="4" t="s">
        <v>429</v>
      </c>
      <c r="D340" s="4" t="s">
        <v>3466</v>
      </c>
      <c r="E340" s="4"/>
      <c r="F340" s="4" t="s">
        <v>38</v>
      </c>
    </row>
    <row r="341" customFormat="false" ht="28.35" hidden="false" customHeight="false" outlineLevel="0" collapsed="false">
      <c r="A341" s="4" t="n">
        <v>18</v>
      </c>
      <c r="B341" s="4" t="s">
        <v>870</v>
      </c>
      <c r="C341" s="4" t="s">
        <v>431</v>
      </c>
      <c r="D341" s="4" t="s">
        <v>3468</v>
      </c>
      <c r="E341" s="4"/>
      <c r="F341" s="4" t="s">
        <v>484</v>
      </c>
    </row>
    <row r="342" customFormat="false" ht="28.35" hidden="false" customHeight="false" outlineLevel="0" collapsed="false">
      <c r="A342" s="4" t="n">
        <v>18</v>
      </c>
      <c r="B342" s="4" t="s">
        <v>870</v>
      </c>
      <c r="C342" s="4" t="s">
        <v>432</v>
      </c>
      <c r="D342" s="4" t="s">
        <v>3469</v>
      </c>
      <c r="E342" s="4"/>
      <c r="F342" s="4" t="s">
        <v>524</v>
      </c>
    </row>
    <row r="343" customFormat="false" ht="41.75" hidden="false" customHeight="false" outlineLevel="0" collapsed="false">
      <c r="A343" s="4" t="n">
        <v>18</v>
      </c>
      <c r="B343" s="4" t="s">
        <v>870</v>
      </c>
      <c r="C343" s="4" t="s">
        <v>433</v>
      </c>
      <c r="D343" s="4" t="s">
        <v>3470</v>
      </c>
      <c r="E343" s="4"/>
      <c r="F343" s="4" t="s">
        <v>665</v>
      </c>
    </row>
    <row r="344" customFormat="false" ht="28.35" hidden="false" customHeight="false" outlineLevel="0" collapsed="false">
      <c r="A344" s="4" t="n">
        <v>18</v>
      </c>
      <c r="B344" s="4" t="s">
        <v>870</v>
      </c>
      <c r="C344" s="4" t="s">
        <v>434</v>
      </c>
      <c r="D344" s="4" t="s">
        <v>3482</v>
      </c>
      <c r="E344" s="4"/>
      <c r="F344" s="4" t="s">
        <v>666</v>
      </c>
    </row>
    <row r="345" customFormat="false" ht="28.35" hidden="false" customHeight="false" outlineLevel="0" collapsed="false">
      <c r="A345" s="4" t="n">
        <v>18</v>
      </c>
      <c r="B345" s="4" t="s">
        <v>870</v>
      </c>
      <c r="C345" s="4" t="s">
        <v>435</v>
      </c>
      <c r="D345" s="4" t="s">
        <v>3510</v>
      </c>
      <c r="E345" s="4"/>
      <c r="F345" s="4" t="s">
        <v>667</v>
      </c>
    </row>
    <row r="346" customFormat="false" ht="28.35" hidden="false" customHeight="false" outlineLevel="0" collapsed="false">
      <c r="A346" s="4" t="n">
        <v>18</v>
      </c>
      <c r="B346" s="4" t="s">
        <v>870</v>
      </c>
      <c r="C346" s="4" t="s">
        <v>436</v>
      </c>
      <c r="D346" s="4" t="s">
        <v>3471</v>
      </c>
      <c r="E346" s="4"/>
      <c r="F346" s="4" t="s">
        <v>886</v>
      </c>
    </row>
    <row r="347" customFormat="false" ht="82.05" hidden="false" customHeight="false" outlineLevel="0" collapsed="false">
      <c r="A347" s="4" t="n">
        <v>18</v>
      </c>
      <c r="B347" s="4" t="s">
        <v>870</v>
      </c>
      <c r="C347" s="4" t="s">
        <v>438</v>
      </c>
      <c r="D347" s="4" t="s">
        <v>3511</v>
      </c>
      <c r="E347" s="4"/>
      <c r="F347" s="4" t="s">
        <v>887</v>
      </c>
    </row>
    <row r="348" customFormat="false" ht="28.35" hidden="false" customHeight="false" outlineLevel="0" collapsed="false">
      <c r="A348" s="4" t="n">
        <v>19</v>
      </c>
      <c r="B348" s="4" t="s">
        <v>888</v>
      </c>
      <c r="C348" s="4" t="s">
        <v>369</v>
      </c>
      <c r="D348" s="4" t="s">
        <v>3503</v>
      </c>
      <c r="E348" s="4" t="s">
        <v>780</v>
      </c>
      <c r="F348" s="4" t="s">
        <v>643</v>
      </c>
    </row>
    <row r="349" customFormat="false" ht="216.4" hidden="false" customHeight="false" outlineLevel="0" collapsed="false">
      <c r="A349" s="4" t="n">
        <v>19</v>
      </c>
      <c r="B349" s="4" t="s">
        <v>888</v>
      </c>
      <c r="C349" s="4" t="s">
        <v>372</v>
      </c>
      <c r="D349" s="4" t="s">
        <v>3504</v>
      </c>
      <c r="E349" s="4" t="s">
        <v>996</v>
      </c>
      <c r="F349" s="4" t="s">
        <v>893</v>
      </c>
    </row>
    <row r="350" customFormat="false" ht="82.05" hidden="false" customHeight="false" outlineLevel="0" collapsed="false">
      <c r="A350" s="4" t="n">
        <v>19</v>
      </c>
      <c r="B350" s="4" t="s">
        <v>888</v>
      </c>
      <c r="C350" s="4" t="s">
        <v>380</v>
      </c>
      <c r="D350" s="4" t="s">
        <v>3474</v>
      </c>
      <c r="E350" s="4" t="s">
        <v>3543</v>
      </c>
      <c r="F350" s="4" t="s">
        <v>896</v>
      </c>
    </row>
    <row r="351" customFormat="false" ht="41.75" hidden="false" customHeight="false" outlineLevel="0" collapsed="false">
      <c r="A351" s="4" t="n">
        <v>19</v>
      </c>
      <c r="B351" s="4" t="s">
        <v>888</v>
      </c>
      <c r="C351" s="4" t="s">
        <v>390</v>
      </c>
      <c r="D351" s="4" t="s">
        <v>3479</v>
      </c>
      <c r="E351" s="4" t="s">
        <v>473</v>
      </c>
      <c r="F351" s="4" t="s">
        <v>897</v>
      </c>
    </row>
    <row r="352" customFormat="false" ht="41.75" hidden="false" customHeight="false" outlineLevel="0" collapsed="false">
      <c r="A352" s="4" t="n">
        <v>19</v>
      </c>
      <c r="B352" s="4" t="s">
        <v>888</v>
      </c>
      <c r="C352" s="4" t="s">
        <v>395</v>
      </c>
      <c r="D352" s="4" t="s">
        <v>3507</v>
      </c>
      <c r="E352" s="4" t="s">
        <v>474</v>
      </c>
      <c r="F352" s="4" t="s">
        <v>898</v>
      </c>
    </row>
    <row r="353" customFormat="false" ht="28.35" hidden="false" customHeight="false" outlineLevel="0" collapsed="false">
      <c r="A353" s="4" t="n">
        <v>19</v>
      </c>
      <c r="B353" s="4" t="s">
        <v>888</v>
      </c>
      <c r="C353" s="4" t="s">
        <v>402</v>
      </c>
      <c r="D353" s="4" t="s">
        <v>3508</v>
      </c>
      <c r="E353" s="4" t="s">
        <v>475</v>
      </c>
      <c r="F353" s="4" t="s">
        <v>899</v>
      </c>
    </row>
    <row r="354" customFormat="false" ht="55.2" hidden="false" customHeight="false" outlineLevel="0" collapsed="false">
      <c r="A354" s="4" t="n">
        <v>19</v>
      </c>
      <c r="B354" s="4" t="s">
        <v>888</v>
      </c>
      <c r="C354" s="4" t="s">
        <v>403</v>
      </c>
      <c r="D354" s="4" t="s">
        <v>3481</v>
      </c>
      <c r="E354" s="4" t="s">
        <v>1095</v>
      </c>
      <c r="F354" s="4" t="s">
        <v>900</v>
      </c>
    </row>
    <row r="355" customFormat="false" ht="68.65" hidden="false" customHeight="false" outlineLevel="0" collapsed="false">
      <c r="A355" s="4" t="n">
        <v>19</v>
      </c>
      <c r="B355" s="4" t="s">
        <v>888</v>
      </c>
      <c r="C355" s="4" t="s">
        <v>407</v>
      </c>
      <c r="D355" s="4" t="s">
        <v>3485</v>
      </c>
      <c r="E355" s="4" t="s">
        <v>3544</v>
      </c>
      <c r="F355" s="4" t="s">
        <v>901</v>
      </c>
    </row>
    <row r="356" customFormat="false" ht="28.35" hidden="false" customHeight="false" outlineLevel="0" collapsed="false">
      <c r="A356" s="4" t="n">
        <v>19</v>
      </c>
      <c r="B356" s="4" t="s">
        <v>888</v>
      </c>
      <c r="C356" s="4" t="s">
        <v>427</v>
      </c>
      <c r="D356" s="4" t="s">
        <v>3464</v>
      </c>
      <c r="E356" s="4"/>
      <c r="F356" s="4" t="s">
        <v>24</v>
      </c>
    </row>
    <row r="357" customFormat="false" ht="28.35" hidden="false" customHeight="false" outlineLevel="0" collapsed="false">
      <c r="A357" s="4" t="n">
        <v>19</v>
      </c>
      <c r="B357" s="4" t="s">
        <v>888</v>
      </c>
      <c r="C357" s="4" t="s">
        <v>428</v>
      </c>
      <c r="D357" s="4" t="s">
        <v>3465</v>
      </c>
      <c r="E357" s="4"/>
      <c r="F357" s="4" t="s">
        <v>31</v>
      </c>
    </row>
    <row r="358" customFormat="false" ht="28.35" hidden="false" customHeight="false" outlineLevel="0" collapsed="false">
      <c r="A358" s="4" t="n">
        <v>19</v>
      </c>
      <c r="B358" s="4" t="s">
        <v>888</v>
      </c>
      <c r="C358" s="4" t="s">
        <v>429</v>
      </c>
      <c r="D358" s="4" t="s">
        <v>3466</v>
      </c>
      <c r="E358" s="4"/>
      <c r="F358" s="4" t="s">
        <v>38</v>
      </c>
    </row>
    <row r="359" customFormat="false" ht="28.35" hidden="false" customHeight="false" outlineLevel="0" collapsed="false">
      <c r="A359" s="4" t="n">
        <v>19</v>
      </c>
      <c r="B359" s="4" t="s">
        <v>888</v>
      </c>
      <c r="C359" s="4" t="s">
        <v>431</v>
      </c>
      <c r="D359" s="4" t="s">
        <v>3468</v>
      </c>
      <c r="E359" s="4"/>
      <c r="F359" s="4" t="s">
        <v>484</v>
      </c>
    </row>
    <row r="360" customFormat="false" ht="28.35" hidden="false" customHeight="false" outlineLevel="0" collapsed="false">
      <c r="A360" s="4" t="n">
        <v>19</v>
      </c>
      <c r="B360" s="4" t="s">
        <v>888</v>
      </c>
      <c r="C360" s="4" t="s">
        <v>432</v>
      </c>
      <c r="D360" s="4" t="s">
        <v>3469</v>
      </c>
      <c r="E360" s="4"/>
      <c r="F360" s="4" t="s">
        <v>713</v>
      </c>
    </row>
    <row r="361" customFormat="false" ht="41.75" hidden="false" customHeight="false" outlineLevel="0" collapsed="false">
      <c r="A361" s="4" t="n">
        <v>19</v>
      </c>
      <c r="B361" s="4" t="s">
        <v>888</v>
      </c>
      <c r="C361" s="4" t="s">
        <v>433</v>
      </c>
      <c r="D361" s="4" t="s">
        <v>3470</v>
      </c>
      <c r="E361" s="4"/>
      <c r="F361" s="4" t="s">
        <v>665</v>
      </c>
    </row>
    <row r="362" customFormat="false" ht="28.35" hidden="false" customHeight="false" outlineLevel="0" collapsed="false">
      <c r="A362" s="4" t="n">
        <v>19</v>
      </c>
      <c r="B362" s="4" t="s">
        <v>888</v>
      </c>
      <c r="C362" s="4" t="s">
        <v>434</v>
      </c>
      <c r="D362" s="4" t="s">
        <v>3482</v>
      </c>
      <c r="E362" s="4"/>
      <c r="F362" s="4" t="s">
        <v>666</v>
      </c>
    </row>
    <row r="363" customFormat="false" ht="28.35" hidden="false" customHeight="false" outlineLevel="0" collapsed="false">
      <c r="A363" s="4" t="n">
        <v>19</v>
      </c>
      <c r="B363" s="4" t="s">
        <v>888</v>
      </c>
      <c r="C363" s="4" t="s">
        <v>435</v>
      </c>
      <c r="D363" s="4" t="s">
        <v>3510</v>
      </c>
      <c r="E363" s="4"/>
      <c r="F363" s="4" t="s">
        <v>667</v>
      </c>
    </row>
    <row r="364" customFormat="false" ht="28.35" hidden="false" customHeight="false" outlineLevel="0" collapsed="false">
      <c r="A364" s="4" t="n">
        <v>19</v>
      </c>
      <c r="B364" s="4" t="s">
        <v>888</v>
      </c>
      <c r="C364" s="4" t="s">
        <v>436</v>
      </c>
      <c r="D364" s="4" t="s">
        <v>3471</v>
      </c>
      <c r="E364" s="4"/>
      <c r="F364" s="4" t="s">
        <v>908</v>
      </c>
    </row>
    <row r="365" customFormat="false" ht="68.65" hidden="false" customHeight="false" outlineLevel="0" collapsed="false">
      <c r="A365" s="4" t="n">
        <v>19</v>
      </c>
      <c r="B365" s="4" t="s">
        <v>888</v>
      </c>
      <c r="C365" s="4" t="s">
        <v>438</v>
      </c>
      <c r="D365" s="4" t="s">
        <v>3511</v>
      </c>
      <c r="E365" s="4"/>
      <c r="F365" s="4" t="s">
        <v>909</v>
      </c>
    </row>
    <row r="366" customFormat="false" ht="28.35" hidden="false" customHeight="false" outlineLevel="0" collapsed="false">
      <c r="A366" s="4" t="n">
        <v>20</v>
      </c>
      <c r="B366" s="4" t="s">
        <v>910</v>
      </c>
      <c r="C366" s="4" t="s">
        <v>369</v>
      </c>
      <c r="D366" s="4" t="s">
        <v>3503</v>
      </c>
      <c r="E366" s="4" t="s">
        <v>780</v>
      </c>
      <c r="F366" s="4" t="s">
        <v>643</v>
      </c>
    </row>
    <row r="367" customFormat="false" ht="229.85" hidden="false" customHeight="false" outlineLevel="0" collapsed="false">
      <c r="A367" s="4" t="n">
        <v>20</v>
      </c>
      <c r="B367" s="4" t="s">
        <v>910</v>
      </c>
      <c r="C367" s="4" t="s">
        <v>372</v>
      </c>
      <c r="D367" s="4" t="s">
        <v>3504</v>
      </c>
      <c r="E367" s="4" t="s">
        <v>996</v>
      </c>
      <c r="F367" s="4" t="s">
        <v>915</v>
      </c>
    </row>
    <row r="368" customFormat="false" ht="108.95" hidden="false" customHeight="false" outlineLevel="0" collapsed="false">
      <c r="A368" s="4" t="n">
        <v>20</v>
      </c>
      <c r="B368" s="4" t="s">
        <v>910</v>
      </c>
      <c r="C368" s="4" t="s">
        <v>380</v>
      </c>
      <c r="D368" s="4" t="s">
        <v>3474</v>
      </c>
      <c r="E368" s="4" t="s">
        <v>924</v>
      </c>
      <c r="F368" s="4" t="s">
        <v>917</v>
      </c>
    </row>
    <row r="369" customFormat="false" ht="41.75" hidden="false" customHeight="false" outlineLevel="0" collapsed="false">
      <c r="A369" s="4" t="n">
        <v>20</v>
      </c>
      <c r="B369" s="4" t="s">
        <v>910</v>
      </c>
      <c r="C369" s="4" t="s">
        <v>390</v>
      </c>
      <c r="D369" s="4" t="s">
        <v>3479</v>
      </c>
      <c r="E369" s="4" t="s">
        <v>473</v>
      </c>
      <c r="F369" s="4" t="s">
        <v>918</v>
      </c>
    </row>
    <row r="370" customFormat="false" ht="41.75" hidden="false" customHeight="false" outlineLevel="0" collapsed="false">
      <c r="A370" s="4" t="n">
        <v>20</v>
      </c>
      <c r="B370" s="4" t="s">
        <v>910</v>
      </c>
      <c r="C370" s="4" t="s">
        <v>395</v>
      </c>
      <c r="D370" s="4" t="s">
        <v>3507</v>
      </c>
      <c r="E370" s="4" t="s">
        <v>474</v>
      </c>
      <c r="F370" s="4" t="s">
        <v>919</v>
      </c>
    </row>
    <row r="371" customFormat="false" ht="28.35" hidden="false" customHeight="false" outlineLevel="0" collapsed="false">
      <c r="A371" s="4" t="n">
        <v>20</v>
      </c>
      <c r="B371" s="4" t="s">
        <v>910</v>
      </c>
      <c r="C371" s="4" t="s">
        <v>402</v>
      </c>
      <c r="D371" s="4" t="s">
        <v>3508</v>
      </c>
      <c r="E371" s="4" t="s">
        <v>475</v>
      </c>
      <c r="F371" s="4" t="s">
        <v>704</v>
      </c>
    </row>
    <row r="372" customFormat="false" ht="55.2" hidden="false" customHeight="false" outlineLevel="0" collapsed="false">
      <c r="A372" s="4" t="n">
        <v>20</v>
      </c>
      <c r="B372" s="4" t="s">
        <v>910</v>
      </c>
      <c r="C372" s="4" t="s">
        <v>403</v>
      </c>
      <c r="D372" s="4" t="s">
        <v>3481</v>
      </c>
      <c r="E372" s="4" t="s">
        <v>1095</v>
      </c>
      <c r="F372" s="4" t="s">
        <v>920</v>
      </c>
    </row>
    <row r="373" customFormat="false" ht="82.05" hidden="false" customHeight="false" outlineLevel="0" collapsed="false">
      <c r="A373" s="4" t="n">
        <v>20</v>
      </c>
      <c r="B373" s="4" t="s">
        <v>910</v>
      </c>
      <c r="C373" s="4" t="s">
        <v>407</v>
      </c>
      <c r="D373" s="4" t="s">
        <v>3485</v>
      </c>
      <c r="E373" s="4" t="s">
        <v>3545</v>
      </c>
      <c r="F373" s="4" t="s">
        <v>921</v>
      </c>
    </row>
    <row r="374" customFormat="false" ht="15" hidden="false" customHeight="false" outlineLevel="0" collapsed="false">
      <c r="A374" s="4" t="n">
        <v>20</v>
      </c>
      <c r="B374" s="4" t="s">
        <v>910</v>
      </c>
      <c r="C374" s="4" t="s">
        <v>427</v>
      </c>
      <c r="D374" s="4" t="s">
        <v>3464</v>
      </c>
      <c r="E374" s="4"/>
      <c r="F374" s="4" t="s">
        <v>24</v>
      </c>
    </row>
    <row r="375" customFormat="false" ht="15" hidden="false" customHeight="false" outlineLevel="0" collapsed="false">
      <c r="A375" s="4" t="n">
        <v>20</v>
      </c>
      <c r="B375" s="4" t="s">
        <v>910</v>
      </c>
      <c r="C375" s="4" t="s">
        <v>428</v>
      </c>
      <c r="D375" s="4" t="s">
        <v>3465</v>
      </c>
      <c r="E375" s="4"/>
      <c r="F375" s="4" t="s">
        <v>31</v>
      </c>
    </row>
    <row r="376" customFormat="false" ht="15" hidden="false" customHeight="false" outlineLevel="0" collapsed="false">
      <c r="A376" s="4" t="n">
        <v>20</v>
      </c>
      <c r="B376" s="4" t="s">
        <v>910</v>
      </c>
      <c r="C376" s="4" t="s">
        <v>429</v>
      </c>
      <c r="D376" s="4" t="s">
        <v>3466</v>
      </c>
      <c r="E376" s="4"/>
      <c r="F376" s="4" t="s">
        <v>38</v>
      </c>
    </row>
    <row r="377" customFormat="false" ht="15" hidden="false" customHeight="false" outlineLevel="0" collapsed="false">
      <c r="A377" s="4" t="n">
        <v>20</v>
      </c>
      <c r="B377" s="4" t="s">
        <v>910</v>
      </c>
      <c r="C377" s="4" t="s">
        <v>431</v>
      </c>
      <c r="D377" s="4" t="s">
        <v>3468</v>
      </c>
      <c r="E377" s="4"/>
      <c r="F377" s="4" t="s">
        <v>484</v>
      </c>
    </row>
    <row r="378" customFormat="false" ht="15" hidden="false" customHeight="false" outlineLevel="0" collapsed="false">
      <c r="A378" s="4" t="n">
        <v>20</v>
      </c>
      <c r="B378" s="4" t="s">
        <v>910</v>
      </c>
      <c r="C378" s="4" t="s">
        <v>432</v>
      </c>
      <c r="D378" s="4" t="s">
        <v>3469</v>
      </c>
      <c r="E378" s="4"/>
      <c r="F378" s="4" t="s">
        <v>524</v>
      </c>
    </row>
    <row r="379" customFormat="false" ht="41.75" hidden="false" customHeight="false" outlineLevel="0" collapsed="false">
      <c r="A379" s="4" t="n">
        <v>20</v>
      </c>
      <c r="B379" s="4" t="s">
        <v>910</v>
      </c>
      <c r="C379" s="4" t="s">
        <v>433</v>
      </c>
      <c r="D379" s="4" t="s">
        <v>3470</v>
      </c>
      <c r="E379" s="4"/>
      <c r="F379" s="4" t="s">
        <v>665</v>
      </c>
    </row>
    <row r="380" customFormat="false" ht="15" hidden="false" customHeight="false" outlineLevel="0" collapsed="false">
      <c r="A380" s="4" t="n">
        <v>20</v>
      </c>
      <c r="B380" s="4" t="s">
        <v>910</v>
      </c>
      <c r="C380" s="4" t="s">
        <v>434</v>
      </c>
      <c r="D380" s="4" t="s">
        <v>3482</v>
      </c>
      <c r="E380" s="4"/>
      <c r="F380" s="4" t="s">
        <v>666</v>
      </c>
    </row>
    <row r="381" customFormat="false" ht="28.35" hidden="false" customHeight="false" outlineLevel="0" collapsed="false">
      <c r="A381" s="4" t="n">
        <v>20</v>
      </c>
      <c r="B381" s="4" t="s">
        <v>910</v>
      </c>
      <c r="C381" s="4" t="s">
        <v>435</v>
      </c>
      <c r="D381" s="4" t="s">
        <v>3510</v>
      </c>
      <c r="E381" s="4"/>
      <c r="F381" s="4" t="s">
        <v>667</v>
      </c>
    </row>
    <row r="382" customFormat="false" ht="15" hidden="false" customHeight="false" outlineLevel="0" collapsed="false">
      <c r="A382" s="4" t="n">
        <v>20</v>
      </c>
      <c r="B382" s="4" t="s">
        <v>910</v>
      </c>
      <c r="C382" s="4" t="s">
        <v>436</v>
      </c>
      <c r="D382" s="4" t="s">
        <v>3471</v>
      </c>
      <c r="E382" s="4"/>
      <c r="F382" s="4" t="s">
        <v>925</v>
      </c>
    </row>
    <row r="383" customFormat="false" ht="68.65" hidden="false" customHeight="false" outlineLevel="0" collapsed="false">
      <c r="A383" s="4" t="n">
        <v>20</v>
      </c>
      <c r="B383" s="4" t="s">
        <v>910</v>
      </c>
      <c r="C383" s="4" t="s">
        <v>438</v>
      </c>
      <c r="D383" s="4" t="s">
        <v>3511</v>
      </c>
      <c r="E383" s="4"/>
      <c r="F383" s="4" t="s">
        <v>926</v>
      </c>
    </row>
    <row r="384" customFormat="false" ht="28.35" hidden="false" customHeight="false" outlineLevel="0" collapsed="false">
      <c r="A384" s="4" t="n">
        <v>21</v>
      </c>
      <c r="B384" s="4" t="s">
        <v>927</v>
      </c>
      <c r="C384" s="4" t="s">
        <v>369</v>
      </c>
      <c r="D384" s="4" t="s">
        <v>3503</v>
      </c>
      <c r="E384" s="4" t="s">
        <v>780</v>
      </c>
      <c r="F384" s="4" t="s">
        <v>643</v>
      </c>
    </row>
    <row r="385" customFormat="false" ht="176.1" hidden="false" customHeight="false" outlineLevel="0" collapsed="false">
      <c r="A385" s="4" t="n">
        <v>21</v>
      </c>
      <c r="B385" s="4" t="s">
        <v>927</v>
      </c>
      <c r="C385" s="4" t="s">
        <v>372</v>
      </c>
      <c r="D385" s="4" t="s">
        <v>3504</v>
      </c>
      <c r="E385" s="4" t="s">
        <v>996</v>
      </c>
      <c r="F385" s="4" t="s">
        <v>933</v>
      </c>
    </row>
    <row r="386" customFormat="false" ht="55.2" hidden="false" customHeight="false" outlineLevel="0" collapsed="false">
      <c r="A386" s="4" t="n">
        <v>21</v>
      </c>
      <c r="B386" s="4" t="s">
        <v>927</v>
      </c>
      <c r="C386" s="4" t="s">
        <v>380</v>
      </c>
      <c r="D386" s="4" t="s">
        <v>3474</v>
      </c>
      <c r="E386" s="4" t="s">
        <v>949</v>
      </c>
      <c r="F386" s="4" t="s">
        <v>938</v>
      </c>
    </row>
    <row r="387" customFormat="false" ht="41.75" hidden="false" customHeight="false" outlineLevel="0" collapsed="false">
      <c r="A387" s="4" t="n">
        <v>21</v>
      </c>
      <c r="B387" s="4" t="s">
        <v>927</v>
      </c>
      <c r="C387" s="4" t="s">
        <v>390</v>
      </c>
      <c r="D387" s="4" t="s">
        <v>3479</v>
      </c>
      <c r="E387" s="4" t="s">
        <v>473</v>
      </c>
      <c r="F387" s="4" t="s">
        <v>939</v>
      </c>
    </row>
    <row r="388" customFormat="false" ht="28.35" hidden="false" customHeight="false" outlineLevel="0" collapsed="false">
      <c r="A388" s="4" t="n">
        <v>21</v>
      </c>
      <c r="B388" s="4" t="s">
        <v>927</v>
      </c>
      <c r="C388" s="4" t="s">
        <v>395</v>
      </c>
      <c r="D388" s="4" t="s">
        <v>3507</v>
      </c>
      <c r="E388" s="4" t="s">
        <v>474</v>
      </c>
      <c r="F388" s="4" t="s">
        <v>940</v>
      </c>
    </row>
    <row r="389" customFormat="false" ht="28.35" hidden="false" customHeight="false" outlineLevel="0" collapsed="false">
      <c r="A389" s="4" t="n">
        <v>21</v>
      </c>
      <c r="B389" s="4" t="s">
        <v>927</v>
      </c>
      <c r="C389" s="4" t="s">
        <v>402</v>
      </c>
      <c r="D389" s="4" t="s">
        <v>3508</v>
      </c>
      <c r="E389" s="4" t="s">
        <v>475</v>
      </c>
      <c r="F389" s="4" t="s">
        <v>941</v>
      </c>
    </row>
    <row r="390" customFormat="false" ht="55.2" hidden="false" customHeight="false" outlineLevel="0" collapsed="false">
      <c r="A390" s="4" t="n">
        <v>21</v>
      </c>
      <c r="B390" s="4" t="s">
        <v>927</v>
      </c>
      <c r="C390" s="4" t="s">
        <v>403</v>
      </c>
      <c r="D390" s="4" t="s">
        <v>3481</v>
      </c>
      <c r="E390" s="4" t="s">
        <v>1095</v>
      </c>
      <c r="F390" s="4" t="s">
        <v>942</v>
      </c>
    </row>
    <row r="391" customFormat="false" ht="82.05" hidden="false" customHeight="false" outlineLevel="0" collapsed="false">
      <c r="A391" s="4" t="n">
        <v>21</v>
      </c>
      <c r="B391" s="4" t="s">
        <v>927</v>
      </c>
      <c r="C391" s="4" t="s">
        <v>407</v>
      </c>
      <c r="D391" s="4" t="s">
        <v>3485</v>
      </c>
      <c r="E391" s="4" t="s">
        <v>3546</v>
      </c>
      <c r="F391" s="4" t="s">
        <v>943</v>
      </c>
    </row>
    <row r="392" customFormat="false" ht="15" hidden="false" customHeight="false" outlineLevel="0" collapsed="false">
      <c r="A392" s="4" t="n">
        <v>21</v>
      </c>
      <c r="B392" s="4" t="s">
        <v>927</v>
      </c>
      <c r="C392" s="4" t="s">
        <v>427</v>
      </c>
      <c r="D392" s="4" t="s">
        <v>3464</v>
      </c>
      <c r="E392" s="4"/>
      <c r="F392" s="4" t="s">
        <v>24</v>
      </c>
    </row>
    <row r="393" customFormat="false" ht="15" hidden="false" customHeight="false" outlineLevel="0" collapsed="false">
      <c r="A393" s="4" t="n">
        <v>21</v>
      </c>
      <c r="B393" s="4" t="s">
        <v>927</v>
      </c>
      <c r="C393" s="4" t="s">
        <v>428</v>
      </c>
      <c r="D393" s="4" t="s">
        <v>3465</v>
      </c>
      <c r="E393" s="4"/>
      <c r="F393" s="4" t="s">
        <v>31</v>
      </c>
    </row>
    <row r="394" customFormat="false" ht="15" hidden="false" customHeight="false" outlineLevel="0" collapsed="false">
      <c r="A394" s="4" t="n">
        <v>21</v>
      </c>
      <c r="B394" s="4" t="s">
        <v>927</v>
      </c>
      <c r="C394" s="4" t="s">
        <v>429</v>
      </c>
      <c r="D394" s="4" t="s">
        <v>3466</v>
      </c>
      <c r="E394" s="4"/>
      <c r="F394" s="4" t="s">
        <v>38</v>
      </c>
    </row>
    <row r="395" customFormat="false" ht="15" hidden="false" customHeight="false" outlineLevel="0" collapsed="false">
      <c r="A395" s="4" t="n">
        <v>21</v>
      </c>
      <c r="B395" s="4" t="s">
        <v>927</v>
      </c>
      <c r="C395" s="4" t="s">
        <v>431</v>
      </c>
      <c r="D395" s="4" t="s">
        <v>3468</v>
      </c>
      <c r="E395" s="4"/>
      <c r="F395" s="4" t="s">
        <v>484</v>
      </c>
    </row>
    <row r="396" customFormat="false" ht="15" hidden="false" customHeight="false" outlineLevel="0" collapsed="false">
      <c r="A396" s="4" t="n">
        <v>21</v>
      </c>
      <c r="B396" s="4" t="s">
        <v>927</v>
      </c>
      <c r="C396" s="4" t="s">
        <v>432</v>
      </c>
      <c r="D396" s="4" t="s">
        <v>3469</v>
      </c>
      <c r="E396" s="4"/>
      <c r="F396" s="4" t="s">
        <v>713</v>
      </c>
    </row>
    <row r="397" customFormat="false" ht="41.75" hidden="false" customHeight="false" outlineLevel="0" collapsed="false">
      <c r="A397" s="4" t="n">
        <v>21</v>
      </c>
      <c r="B397" s="4" t="s">
        <v>927</v>
      </c>
      <c r="C397" s="4" t="s">
        <v>433</v>
      </c>
      <c r="D397" s="4" t="s">
        <v>3470</v>
      </c>
      <c r="E397" s="4"/>
      <c r="F397" s="4" t="s">
        <v>665</v>
      </c>
    </row>
    <row r="398" customFormat="false" ht="15" hidden="false" customHeight="false" outlineLevel="0" collapsed="false">
      <c r="A398" s="4" t="n">
        <v>21</v>
      </c>
      <c r="B398" s="4" t="s">
        <v>927</v>
      </c>
      <c r="C398" s="4" t="s">
        <v>434</v>
      </c>
      <c r="D398" s="4" t="s">
        <v>3482</v>
      </c>
      <c r="E398" s="4"/>
      <c r="F398" s="4" t="s">
        <v>666</v>
      </c>
    </row>
    <row r="399" customFormat="false" ht="28.35" hidden="false" customHeight="false" outlineLevel="0" collapsed="false">
      <c r="A399" s="4" t="n">
        <v>21</v>
      </c>
      <c r="B399" s="4" t="s">
        <v>927</v>
      </c>
      <c r="C399" s="4" t="s">
        <v>435</v>
      </c>
      <c r="D399" s="4" t="s">
        <v>3510</v>
      </c>
      <c r="E399" s="4"/>
      <c r="F399" s="4" t="s">
        <v>667</v>
      </c>
    </row>
    <row r="400" customFormat="false" ht="15" hidden="false" customHeight="false" outlineLevel="0" collapsed="false">
      <c r="A400" s="4" t="n">
        <v>21</v>
      </c>
      <c r="B400" s="4" t="s">
        <v>927</v>
      </c>
      <c r="C400" s="4" t="s">
        <v>436</v>
      </c>
      <c r="D400" s="4" t="s">
        <v>3471</v>
      </c>
      <c r="E400" s="4"/>
      <c r="F400" s="4" t="s">
        <v>950</v>
      </c>
    </row>
    <row r="401" customFormat="false" ht="55.2" hidden="false" customHeight="false" outlineLevel="0" collapsed="false">
      <c r="A401" s="4" t="n">
        <v>21</v>
      </c>
      <c r="B401" s="4" t="s">
        <v>927</v>
      </c>
      <c r="C401" s="4" t="s">
        <v>438</v>
      </c>
      <c r="D401" s="4" t="s">
        <v>3511</v>
      </c>
      <c r="E401" s="4"/>
      <c r="F401" s="4" t="s">
        <v>951</v>
      </c>
    </row>
    <row r="402" customFormat="false" ht="15" hidden="false" customHeight="false" outlineLevel="0" collapsed="false">
      <c r="A402" s="4" t="n">
        <v>22</v>
      </c>
      <c r="B402" s="4" t="s">
        <v>952</v>
      </c>
      <c r="C402" s="4" t="s">
        <v>365</v>
      </c>
      <c r="D402" s="4" t="s">
        <v>3547</v>
      </c>
      <c r="E402" s="4"/>
      <c r="F402" s="4" t="n">
        <v>2.027433</v>
      </c>
    </row>
    <row r="403" customFormat="false" ht="15" hidden="false" customHeight="false" outlineLevel="0" collapsed="false">
      <c r="A403" s="4" t="n">
        <v>22</v>
      </c>
      <c r="B403" s="4" t="s">
        <v>952</v>
      </c>
      <c r="C403" s="4" t="s">
        <v>366</v>
      </c>
      <c r="D403" s="4" t="s">
        <v>3548</v>
      </c>
      <c r="E403" s="4"/>
      <c r="F403" s="4" t="n">
        <v>2025</v>
      </c>
    </row>
    <row r="404" customFormat="false" ht="15" hidden="false" customHeight="false" outlineLevel="0" collapsed="false">
      <c r="A404" s="4" t="n">
        <v>22</v>
      </c>
      <c r="B404" s="4" t="s">
        <v>952</v>
      </c>
      <c r="C404" s="4" t="s">
        <v>367</v>
      </c>
      <c r="D404" s="4" t="s">
        <v>3549</v>
      </c>
      <c r="E404" s="4"/>
      <c r="F404" s="4" t="s">
        <v>6</v>
      </c>
    </row>
    <row r="405" customFormat="false" ht="15" hidden="false" customHeight="false" outlineLevel="0" collapsed="false">
      <c r="A405" s="4" t="n">
        <v>22</v>
      </c>
      <c r="B405" s="4" t="s">
        <v>952</v>
      </c>
      <c r="C405" s="4" t="s">
        <v>368</v>
      </c>
      <c r="D405" s="4" t="s">
        <v>3550</v>
      </c>
      <c r="E405" s="4"/>
      <c r="F405" s="4" t="s">
        <v>958</v>
      </c>
    </row>
    <row r="406" customFormat="false" ht="15" hidden="false" customHeight="false" outlineLevel="0" collapsed="false">
      <c r="A406" s="4" t="n">
        <v>22</v>
      </c>
      <c r="B406" s="4" t="s">
        <v>952</v>
      </c>
      <c r="C406" s="4" t="s">
        <v>369</v>
      </c>
      <c r="D406" s="4" t="s">
        <v>3503</v>
      </c>
      <c r="E406" s="4" t="s">
        <v>780</v>
      </c>
      <c r="F406" s="4" t="s">
        <v>959</v>
      </c>
    </row>
    <row r="407" customFormat="false" ht="229.85" hidden="false" customHeight="false" outlineLevel="0" collapsed="false">
      <c r="A407" s="4" t="n">
        <v>22</v>
      </c>
      <c r="B407" s="4" t="s">
        <v>952</v>
      </c>
      <c r="C407" s="4" t="s">
        <v>372</v>
      </c>
      <c r="D407" s="4" t="s">
        <v>3504</v>
      </c>
      <c r="E407" s="4" t="s">
        <v>3551</v>
      </c>
      <c r="F407" s="4" t="s">
        <v>960</v>
      </c>
    </row>
    <row r="408" customFormat="false" ht="162.65" hidden="false" customHeight="false" outlineLevel="0" collapsed="false">
      <c r="A408" s="4" t="n">
        <v>22</v>
      </c>
      <c r="B408" s="4" t="s">
        <v>952</v>
      </c>
      <c r="C408" s="4" t="s">
        <v>380</v>
      </c>
      <c r="D408" s="4" t="s">
        <v>3474</v>
      </c>
      <c r="E408" s="4" t="s">
        <v>3552</v>
      </c>
      <c r="F408" s="4" t="s">
        <v>963</v>
      </c>
    </row>
    <row r="409" customFormat="false" ht="15" hidden="false" customHeight="false" outlineLevel="0" collapsed="false">
      <c r="A409" s="4" t="n">
        <v>22</v>
      </c>
      <c r="B409" s="4" t="s">
        <v>952</v>
      </c>
      <c r="C409" s="4" t="s">
        <v>387</v>
      </c>
      <c r="D409" s="4" t="s">
        <v>3476</v>
      </c>
      <c r="E409" s="4"/>
      <c r="F409" s="4" t="n">
        <v>8</v>
      </c>
    </row>
    <row r="410" customFormat="false" ht="15" hidden="false" customHeight="false" outlineLevel="0" collapsed="false">
      <c r="A410" s="4" t="n">
        <v>22</v>
      </c>
      <c r="B410" s="4" t="s">
        <v>952</v>
      </c>
      <c r="C410" s="4" t="s">
        <v>388</v>
      </c>
      <c r="D410" s="4" t="s">
        <v>3477</v>
      </c>
      <c r="E410" s="4"/>
      <c r="F410" s="4" t="s">
        <v>966</v>
      </c>
    </row>
    <row r="411" customFormat="false" ht="82.05" hidden="false" customHeight="false" outlineLevel="0" collapsed="false">
      <c r="A411" s="4" t="n">
        <v>22</v>
      </c>
      <c r="B411" s="4" t="s">
        <v>952</v>
      </c>
      <c r="C411" s="4" t="s">
        <v>389</v>
      </c>
      <c r="D411" s="4" t="s">
        <v>3478</v>
      </c>
      <c r="E411" s="4" t="s">
        <v>472</v>
      </c>
      <c r="F411" s="4" t="s">
        <v>967</v>
      </c>
    </row>
    <row r="412" customFormat="false" ht="28.35" hidden="false" customHeight="false" outlineLevel="0" collapsed="false">
      <c r="A412" s="4" t="n">
        <v>22</v>
      </c>
      <c r="B412" s="4" t="s">
        <v>952</v>
      </c>
      <c r="C412" s="4" t="s">
        <v>390</v>
      </c>
      <c r="D412" s="4" t="s">
        <v>3479</v>
      </c>
      <c r="E412" s="4" t="s">
        <v>473</v>
      </c>
      <c r="F412" s="4" t="s">
        <v>503</v>
      </c>
    </row>
    <row r="413" customFormat="false" ht="41.75" hidden="false" customHeight="false" outlineLevel="0" collapsed="false">
      <c r="A413" s="4" t="n">
        <v>22</v>
      </c>
      <c r="B413" s="4" t="s">
        <v>952</v>
      </c>
      <c r="C413" s="4" t="s">
        <v>391</v>
      </c>
      <c r="D413" s="4" t="s">
        <v>3480</v>
      </c>
      <c r="E413" s="4"/>
      <c r="F413" s="4" t="s">
        <v>968</v>
      </c>
    </row>
    <row r="414" customFormat="false" ht="15" hidden="false" customHeight="false" outlineLevel="0" collapsed="false">
      <c r="A414" s="4" t="n">
        <v>22</v>
      </c>
      <c r="B414" s="4" t="s">
        <v>952</v>
      </c>
      <c r="C414" s="4" t="s">
        <v>392</v>
      </c>
      <c r="D414" s="4" t="s">
        <v>3530</v>
      </c>
      <c r="E414" s="4"/>
      <c r="F414" s="4" t="n">
        <v>0.48</v>
      </c>
    </row>
    <row r="415" customFormat="false" ht="15" hidden="false" customHeight="false" outlineLevel="0" collapsed="false">
      <c r="A415" s="4" t="n">
        <v>22</v>
      </c>
      <c r="B415" s="4" t="s">
        <v>952</v>
      </c>
      <c r="C415" s="4" t="s">
        <v>393</v>
      </c>
      <c r="D415" s="4" t="s">
        <v>3531</v>
      </c>
      <c r="E415" s="4"/>
      <c r="F415" s="4" t="n">
        <v>2025</v>
      </c>
    </row>
    <row r="416" customFormat="false" ht="41.75" hidden="false" customHeight="false" outlineLevel="0" collapsed="false">
      <c r="A416" s="4" t="n">
        <v>22</v>
      </c>
      <c r="B416" s="4" t="s">
        <v>952</v>
      </c>
      <c r="C416" s="4" t="s">
        <v>394</v>
      </c>
      <c r="D416" s="4" t="s">
        <v>3532</v>
      </c>
      <c r="E416" s="4"/>
      <c r="F416" s="4" t="s">
        <v>969</v>
      </c>
    </row>
    <row r="417" customFormat="false" ht="28.35" hidden="false" customHeight="false" outlineLevel="0" collapsed="false">
      <c r="A417" s="4" t="n">
        <v>22</v>
      </c>
      <c r="B417" s="4" t="s">
        <v>952</v>
      </c>
      <c r="C417" s="4" t="s">
        <v>395</v>
      </c>
      <c r="D417" s="4" t="s">
        <v>3507</v>
      </c>
      <c r="E417" s="4" t="s">
        <v>474</v>
      </c>
      <c r="F417" s="4" t="s">
        <v>970</v>
      </c>
    </row>
    <row r="418" customFormat="false" ht="28.35" hidden="false" customHeight="false" outlineLevel="0" collapsed="false">
      <c r="A418" s="4" t="n">
        <v>22</v>
      </c>
      <c r="B418" s="4" t="s">
        <v>952</v>
      </c>
      <c r="C418" s="4" t="s">
        <v>396</v>
      </c>
      <c r="D418" s="4" t="s">
        <v>3533</v>
      </c>
      <c r="E418" s="4"/>
      <c r="F418" s="4" t="s">
        <v>971</v>
      </c>
    </row>
    <row r="419" customFormat="false" ht="28.35" hidden="false" customHeight="false" outlineLevel="0" collapsed="false">
      <c r="A419" s="4" t="n">
        <v>22</v>
      </c>
      <c r="B419" s="4" t="s">
        <v>952</v>
      </c>
      <c r="C419" s="4" t="s">
        <v>397</v>
      </c>
      <c r="D419" s="4" t="s">
        <v>3553</v>
      </c>
      <c r="E419" s="4"/>
      <c r="F419" s="4" t="n">
        <v>0.452388</v>
      </c>
    </row>
    <row r="420" customFormat="false" ht="15" hidden="false" customHeight="false" outlineLevel="0" collapsed="false">
      <c r="A420" s="4" t="n">
        <v>22</v>
      </c>
      <c r="B420" s="4" t="s">
        <v>952</v>
      </c>
      <c r="C420" s="4" t="s">
        <v>398</v>
      </c>
      <c r="D420" s="4" t="s">
        <v>3554</v>
      </c>
      <c r="E420" s="4"/>
      <c r="F420" s="4" t="n">
        <v>2025</v>
      </c>
    </row>
    <row r="421" customFormat="false" ht="15" hidden="false" customHeight="false" outlineLevel="0" collapsed="false">
      <c r="A421" s="4" t="n">
        <v>22</v>
      </c>
      <c r="B421" s="4" t="s">
        <v>952</v>
      </c>
      <c r="C421" s="4" t="s">
        <v>399</v>
      </c>
      <c r="D421" s="4" t="s">
        <v>3555</v>
      </c>
      <c r="E421" s="4"/>
      <c r="F421" s="4" t="s">
        <v>972</v>
      </c>
    </row>
    <row r="422" customFormat="false" ht="55.2" hidden="false" customHeight="false" outlineLevel="0" collapsed="false">
      <c r="A422" s="4" t="n">
        <v>22</v>
      </c>
      <c r="B422" s="4" t="s">
        <v>952</v>
      </c>
      <c r="C422" s="4" t="s">
        <v>400</v>
      </c>
      <c r="D422" s="4" t="s">
        <v>3556</v>
      </c>
      <c r="E422" s="4"/>
      <c r="F422" s="4" t="s">
        <v>973</v>
      </c>
    </row>
    <row r="423" customFormat="false" ht="41.75" hidden="false" customHeight="false" outlineLevel="0" collapsed="false">
      <c r="A423" s="4" t="n">
        <v>22</v>
      </c>
      <c r="B423" s="4" t="s">
        <v>952</v>
      </c>
      <c r="C423" s="4" t="s">
        <v>401</v>
      </c>
      <c r="D423" s="4" t="s">
        <v>3557</v>
      </c>
      <c r="E423" s="4"/>
      <c r="F423" s="4" t="s">
        <v>968</v>
      </c>
    </row>
    <row r="424" customFormat="false" ht="28.35" hidden="false" customHeight="false" outlineLevel="0" collapsed="false">
      <c r="A424" s="4" t="n">
        <v>22</v>
      </c>
      <c r="B424" s="4" t="s">
        <v>952</v>
      </c>
      <c r="C424" s="4" t="s">
        <v>402</v>
      </c>
      <c r="D424" s="4" t="s">
        <v>3508</v>
      </c>
      <c r="E424" s="4" t="s">
        <v>475</v>
      </c>
      <c r="F424" s="4" t="s">
        <v>974</v>
      </c>
    </row>
    <row r="425" customFormat="false" ht="55.2" hidden="false" customHeight="false" outlineLevel="0" collapsed="false">
      <c r="A425" s="4" t="n">
        <v>22</v>
      </c>
      <c r="B425" s="4" t="s">
        <v>952</v>
      </c>
      <c r="C425" s="4" t="s">
        <v>403</v>
      </c>
      <c r="D425" s="4" t="s">
        <v>3481</v>
      </c>
      <c r="E425" s="4" t="s">
        <v>1095</v>
      </c>
      <c r="F425" s="4" t="s">
        <v>975</v>
      </c>
    </row>
    <row r="426" customFormat="false" ht="95.5" hidden="false" customHeight="false" outlineLevel="0" collapsed="false">
      <c r="A426" s="4" t="n">
        <v>22</v>
      </c>
      <c r="B426" s="4" t="s">
        <v>952</v>
      </c>
      <c r="C426" s="4" t="s">
        <v>407</v>
      </c>
      <c r="D426" s="4" t="s">
        <v>3485</v>
      </c>
      <c r="E426" s="4"/>
      <c r="F426" s="4" t="s">
        <v>976</v>
      </c>
    </row>
    <row r="427" customFormat="false" ht="28.35" hidden="false" customHeight="false" outlineLevel="0" collapsed="false">
      <c r="A427" s="4" t="n">
        <v>22</v>
      </c>
      <c r="B427" s="4" t="s">
        <v>952</v>
      </c>
      <c r="C427" s="4" t="s">
        <v>421</v>
      </c>
      <c r="D427" s="4" t="s">
        <v>3558</v>
      </c>
      <c r="E427" s="4"/>
      <c r="F427" s="4" t="n">
        <v>0.452388</v>
      </c>
    </row>
    <row r="428" customFormat="false" ht="15" hidden="false" customHeight="false" outlineLevel="0" collapsed="false">
      <c r="A428" s="4" t="n">
        <v>22</v>
      </c>
      <c r="B428" s="4" t="s">
        <v>952</v>
      </c>
      <c r="C428" s="4" t="s">
        <v>423</v>
      </c>
      <c r="D428" s="4" t="s">
        <v>3559</v>
      </c>
      <c r="E428" s="4"/>
      <c r="F428" s="4" t="s">
        <v>519</v>
      </c>
    </row>
    <row r="429" customFormat="false" ht="41.75" hidden="false" customHeight="false" outlineLevel="0" collapsed="false">
      <c r="A429" s="4" t="n">
        <v>22</v>
      </c>
      <c r="B429" s="4" t="s">
        <v>952</v>
      </c>
      <c r="C429" s="4" t="s">
        <v>424</v>
      </c>
      <c r="D429" s="4" t="s">
        <v>3560</v>
      </c>
      <c r="E429" s="4"/>
      <c r="F429" s="4" t="s">
        <v>981</v>
      </c>
    </row>
    <row r="430" customFormat="false" ht="41.75" hidden="false" customHeight="false" outlineLevel="0" collapsed="false">
      <c r="A430" s="4" t="n">
        <v>22</v>
      </c>
      <c r="B430" s="4" t="s">
        <v>952</v>
      </c>
      <c r="C430" s="4" t="s">
        <v>425</v>
      </c>
      <c r="D430" s="4" t="s">
        <v>3561</v>
      </c>
      <c r="E430" s="4"/>
      <c r="F430" s="4" t="s">
        <v>968</v>
      </c>
    </row>
    <row r="431" customFormat="false" ht="68.65" hidden="false" customHeight="false" outlineLevel="0" collapsed="false">
      <c r="A431" s="4" t="n">
        <v>22</v>
      </c>
      <c r="B431" s="4" t="s">
        <v>952</v>
      </c>
      <c r="C431" s="4" t="s">
        <v>426</v>
      </c>
      <c r="D431" s="4" t="s">
        <v>3562</v>
      </c>
      <c r="E431" s="4"/>
      <c r="F431" s="4" t="s">
        <v>982</v>
      </c>
    </row>
    <row r="432" customFormat="false" ht="15" hidden="false" customHeight="false" outlineLevel="0" collapsed="false">
      <c r="A432" s="4" t="n">
        <v>22</v>
      </c>
      <c r="B432" s="4" t="s">
        <v>952</v>
      </c>
      <c r="C432" s="4" t="s">
        <v>427</v>
      </c>
      <c r="D432" s="4" t="s">
        <v>3464</v>
      </c>
      <c r="E432" s="4"/>
      <c r="F432" s="4" t="s">
        <v>24</v>
      </c>
    </row>
    <row r="433" customFormat="false" ht="15" hidden="false" customHeight="false" outlineLevel="0" collapsed="false">
      <c r="A433" s="4" t="n">
        <v>22</v>
      </c>
      <c r="B433" s="4" t="s">
        <v>952</v>
      </c>
      <c r="C433" s="4" t="s">
        <v>428</v>
      </c>
      <c r="D433" s="4" t="s">
        <v>3465</v>
      </c>
      <c r="E433" s="4"/>
      <c r="F433" s="4" t="s">
        <v>31</v>
      </c>
    </row>
    <row r="434" customFormat="false" ht="15" hidden="false" customHeight="false" outlineLevel="0" collapsed="false">
      <c r="A434" s="4" t="n">
        <v>22</v>
      </c>
      <c r="B434" s="4" t="s">
        <v>952</v>
      </c>
      <c r="C434" s="4" t="s">
        <v>429</v>
      </c>
      <c r="D434" s="4" t="s">
        <v>3466</v>
      </c>
      <c r="E434" s="4"/>
      <c r="F434" s="4" t="s">
        <v>36</v>
      </c>
    </row>
    <row r="435" customFormat="false" ht="15" hidden="false" customHeight="false" outlineLevel="0" collapsed="false">
      <c r="A435" s="4" t="n">
        <v>22</v>
      </c>
      <c r="B435" s="4" t="s">
        <v>952</v>
      </c>
      <c r="C435" s="4" t="s">
        <v>431</v>
      </c>
      <c r="D435" s="4" t="s">
        <v>3468</v>
      </c>
      <c r="E435" s="4"/>
      <c r="F435" s="4" t="s">
        <v>484</v>
      </c>
    </row>
    <row r="436" customFormat="false" ht="15" hidden="false" customHeight="false" outlineLevel="0" collapsed="false">
      <c r="A436" s="4" t="n">
        <v>22</v>
      </c>
      <c r="B436" s="4" t="s">
        <v>952</v>
      </c>
      <c r="C436" s="4" t="s">
        <v>432</v>
      </c>
      <c r="D436" s="4" t="s">
        <v>3469</v>
      </c>
      <c r="E436" s="4"/>
      <c r="F436" s="4" t="s">
        <v>524</v>
      </c>
    </row>
    <row r="437" customFormat="false" ht="41.75" hidden="false" customHeight="false" outlineLevel="0" collapsed="false">
      <c r="A437" s="4" t="n">
        <v>22</v>
      </c>
      <c r="B437" s="4" t="s">
        <v>952</v>
      </c>
      <c r="C437" s="4" t="s">
        <v>433</v>
      </c>
      <c r="D437" s="4" t="s">
        <v>3470</v>
      </c>
      <c r="E437" s="4"/>
      <c r="F437" s="4" t="s">
        <v>983</v>
      </c>
    </row>
    <row r="438" customFormat="false" ht="15" hidden="false" customHeight="false" outlineLevel="0" collapsed="false">
      <c r="A438" s="4" t="n">
        <v>22</v>
      </c>
      <c r="B438" s="4" t="s">
        <v>952</v>
      </c>
      <c r="C438" s="4" t="s">
        <v>434</v>
      </c>
      <c r="D438" s="4" t="s">
        <v>3482</v>
      </c>
      <c r="E438" s="4"/>
      <c r="F438" s="4" t="s">
        <v>984</v>
      </c>
    </row>
    <row r="439" customFormat="false" ht="15" hidden="false" customHeight="false" outlineLevel="0" collapsed="false">
      <c r="A439" s="4" t="n">
        <v>22</v>
      </c>
      <c r="B439" s="4" t="s">
        <v>952</v>
      </c>
      <c r="C439" s="4" t="s">
        <v>436</v>
      </c>
      <c r="D439" s="4" t="s">
        <v>3471</v>
      </c>
      <c r="E439" s="4"/>
      <c r="F439" s="4" t="s">
        <v>985</v>
      </c>
    </row>
    <row r="440" customFormat="false" ht="28.35" hidden="false" customHeight="false" outlineLevel="0" collapsed="false">
      <c r="A440" s="4" t="n">
        <v>22</v>
      </c>
      <c r="B440" s="4" t="s">
        <v>952</v>
      </c>
      <c r="C440" s="4" t="s">
        <v>440</v>
      </c>
      <c r="D440" s="4" t="s">
        <v>3491</v>
      </c>
      <c r="E440" s="4"/>
      <c r="F440" s="4" t="n">
        <v>2</v>
      </c>
    </row>
    <row r="441" customFormat="false" ht="28.35" hidden="false" customHeight="false" outlineLevel="0" collapsed="false">
      <c r="A441" s="4" t="n">
        <v>22</v>
      </c>
      <c r="B441" s="4" t="s">
        <v>952</v>
      </c>
      <c r="C441" s="4" t="s">
        <v>441</v>
      </c>
      <c r="D441" s="4" t="s">
        <v>3492</v>
      </c>
      <c r="E441" s="4"/>
      <c r="F441" s="4" t="n">
        <v>4</v>
      </c>
    </row>
    <row r="442" customFormat="false" ht="15" hidden="false" customHeight="false" outlineLevel="0" collapsed="false">
      <c r="A442" s="4" t="n">
        <v>22</v>
      </c>
      <c r="B442" s="4" t="s">
        <v>952</v>
      </c>
      <c r="C442" s="4" t="s">
        <v>442</v>
      </c>
      <c r="D442" s="4" t="s">
        <v>3493</v>
      </c>
      <c r="E442" s="4"/>
      <c r="F442" s="4" t="n">
        <v>1</v>
      </c>
    </row>
    <row r="443" customFormat="false" ht="15" hidden="false" customHeight="false" outlineLevel="0" collapsed="false">
      <c r="A443" s="4" t="n">
        <v>22</v>
      </c>
      <c r="B443" s="4" t="s">
        <v>952</v>
      </c>
      <c r="C443" s="4" t="s">
        <v>443</v>
      </c>
      <c r="D443" s="4" t="s">
        <v>3494</v>
      </c>
      <c r="E443" s="4"/>
      <c r="F443" s="4" t="n">
        <v>7</v>
      </c>
    </row>
    <row r="444" customFormat="false" ht="68.65" hidden="false" customHeight="false" outlineLevel="0" collapsed="false">
      <c r="A444" s="4" t="n">
        <v>22</v>
      </c>
      <c r="B444" s="4" t="s">
        <v>952</v>
      </c>
      <c r="C444" s="4" t="s">
        <v>447</v>
      </c>
      <c r="D444" s="4" t="s">
        <v>3498</v>
      </c>
      <c r="E444" s="4"/>
      <c r="F444" s="4" t="s">
        <v>986</v>
      </c>
    </row>
    <row r="445" customFormat="false" ht="95.5" hidden="false" customHeight="false" outlineLevel="0" collapsed="false">
      <c r="A445" s="4" t="n">
        <v>22</v>
      </c>
      <c r="B445" s="4" t="s">
        <v>952</v>
      </c>
      <c r="C445" s="4" t="s">
        <v>448</v>
      </c>
      <c r="D445" s="4" t="s">
        <v>3499</v>
      </c>
      <c r="E445" s="4"/>
      <c r="F445" s="4" t="s">
        <v>987</v>
      </c>
    </row>
    <row r="446" customFormat="false" ht="15" hidden="false" customHeight="false" outlineLevel="0" collapsed="false">
      <c r="A446" s="4" t="n">
        <v>22</v>
      </c>
      <c r="B446" s="4" t="s">
        <v>952</v>
      </c>
      <c r="C446" s="4" t="s">
        <v>449</v>
      </c>
      <c r="D446" s="4" t="s">
        <v>3500</v>
      </c>
      <c r="E446" s="4"/>
      <c r="F446" s="4" t="s">
        <v>988</v>
      </c>
    </row>
    <row r="447" customFormat="false" ht="176.1" hidden="false" customHeight="false" outlineLevel="0" collapsed="false">
      <c r="A447" s="4" t="n">
        <v>22</v>
      </c>
      <c r="B447" s="4" t="s">
        <v>952</v>
      </c>
      <c r="C447" s="4" t="s">
        <v>450</v>
      </c>
      <c r="D447" s="4" t="s">
        <v>3501</v>
      </c>
      <c r="E447" s="4"/>
      <c r="F447" s="4" t="s">
        <v>989</v>
      </c>
    </row>
    <row r="448" customFormat="false" ht="55.2" hidden="false" customHeight="false" outlineLevel="0" collapsed="false">
      <c r="A448" s="4" t="n">
        <v>23</v>
      </c>
      <c r="B448" s="4" t="s">
        <v>990</v>
      </c>
      <c r="C448" s="4" t="s">
        <v>380</v>
      </c>
      <c r="D448" s="4" t="s">
        <v>3474</v>
      </c>
      <c r="E448" s="4" t="s">
        <v>3563</v>
      </c>
      <c r="F448" s="4" t="s">
        <v>999</v>
      </c>
    </row>
    <row r="449" customFormat="false" ht="122.35" hidden="false" customHeight="false" outlineLevel="0" collapsed="false">
      <c r="A449" s="4" t="n">
        <v>23</v>
      </c>
      <c r="B449" s="4" t="s">
        <v>990</v>
      </c>
      <c r="C449" s="4" t="s">
        <v>407</v>
      </c>
      <c r="D449" s="4" t="s">
        <v>3485</v>
      </c>
      <c r="E449" s="4"/>
      <c r="F449" s="4" t="s">
        <v>1005</v>
      </c>
    </row>
    <row r="450" customFormat="false" ht="41.75" hidden="false" customHeight="false" outlineLevel="0" collapsed="false">
      <c r="A450" s="4" t="n">
        <v>23</v>
      </c>
      <c r="B450" s="4" t="s">
        <v>990</v>
      </c>
      <c r="C450" s="4" t="s">
        <v>419</v>
      </c>
      <c r="D450" s="4" t="s">
        <v>3534</v>
      </c>
      <c r="E450" s="4"/>
      <c r="F450" s="4" t="s">
        <v>1010</v>
      </c>
    </row>
    <row r="451" customFormat="false" ht="28.35" hidden="false" customHeight="false" outlineLevel="0" collapsed="false">
      <c r="A451" s="4" t="n">
        <v>23</v>
      </c>
      <c r="B451" s="4" t="s">
        <v>990</v>
      </c>
      <c r="C451" s="4" t="s">
        <v>427</v>
      </c>
      <c r="D451" s="4" t="s">
        <v>3464</v>
      </c>
      <c r="E451" s="4"/>
      <c r="F451" s="4" t="s">
        <v>23</v>
      </c>
    </row>
    <row r="452" customFormat="false" ht="28.35" hidden="false" customHeight="false" outlineLevel="0" collapsed="false">
      <c r="A452" s="4" t="n">
        <v>23</v>
      </c>
      <c r="B452" s="4" t="s">
        <v>990</v>
      </c>
      <c r="C452" s="4" t="s">
        <v>428</v>
      </c>
      <c r="D452" s="4" t="s">
        <v>3465</v>
      </c>
      <c r="E452" s="4"/>
      <c r="F452" s="4" t="s">
        <v>28</v>
      </c>
    </row>
    <row r="453" customFormat="false" ht="28.35" hidden="false" customHeight="false" outlineLevel="0" collapsed="false">
      <c r="A453" s="4" t="n">
        <v>23</v>
      </c>
      <c r="B453" s="4" t="s">
        <v>990</v>
      </c>
      <c r="C453" s="4" t="s">
        <v>429</v>
      </c>
      <c r="D453" s="4" t="s">
        <v>3466</v>
      </c>
      <c r="E453" s="4"/>
      <c r="F453" s="4" t="s">
        <v>37</v>
      </c>
    </row>
    <row r="454" customFormat="false" ht="28.35" hidden="false" customHeight="false" outlineLevel="0" collapsed="false">
      <c r="A454" s="4" t="n">
        <v>23</v>
      </c>
      <c r="B454" s="4" t="s">
        <v>990</v>
      </c>
      <c r="C454" s="4" t="s">
        <v>431</v>
      </c>
      <c r="D454" s="4" t="s">
        <v>3468</v>
      </c>
      <c r="E454" s="4"/>
      <c r="F454" s="4" t="s">
        <v>484</v>
      </c>
    </row>
    <row r="455" customFormat="false" ht="28.35" hidden="false" customHeight="false" outlineLevel="0" collapsed="false">
      <c r="A455" s="4" t="n">
        <v>23</v>
      </c>
      <c r="B455" s="4" t="s">
        <v>990</v>
      </c>
      <c r="C455" s="4" t="s">
        <v>432</v>
      </c>
      <c r="D455" s="4" t="s">
        <v>3469</v>
      </c>
      <c r="E455" s="4"/>
      <c r="F455" s="4" t="s">
        <v>524</v>
      </c>
    </row>
    <row r="456" customFormat="false" ht="28.35" hidden="false" customHeight="false" outlineLevel="0" collapsed="false">
      <c r="A456" s="4" t="n">
        <v>23</v>
      </c>
      <c r="B456" s="4" t="s">
        <v>990</v>
      </c>
      <c r="C456" s="4" t="s">
        <v>433</v>
      </c>
      <c r="D456" s="4" t="s">
        <v>3470</v>
      </c>
      <c r="E456" s="4"/>
      <c r="F456" s="4" t="s">
        <v>1011</v>
      </c>
    </row>
    <row r="457" customFormat="false" ht="28.35" hidden="false" customHeight="false" outlineLevel="0" collapsed="false">
      <c r="A457" s="4" t="n">
        <v>23</v>
      </c>
      <c r="B457" s="4" t="s">
        <v>990</v>
      </c>
      <c r="C457" s="4" t="s">
        <v>434</v>
      </c>
      <c r="D457" s="4" t="s">
        <v>3482</v>
      </c>
      <c r="E457" s="4"/>
      <c r="F457" s="4" t="s">
        <v>1012</v>
      </c>
    </row>
    <row r="458" customFormat="false" ht="28.35" hidden="false" customHeight="false" outlineLevel="0" collapsed="false">
      <c r="A458" s="4" t="n">
        <v>23</v>
      </c>
      <c r="B458" s="4" t="s">
        <v>990</v>
      </c>
      <c r="C458" s="4" t="s">
        <v>436</v>
      </c>
      <c r="D458" s="4" t="s">
        <v>3471</v>
      </c>
      <c r="E458" s="4"/>
      <c r="F458" s="4" t="s">
        <v>1013</v>
      </c>
    </row>
    <row r="459" customFormat="false" ht="28.35" hidden="false" customHeight="false" outlineLevel="0" collapsed="false">
      <c r="A459" s="4" t="n">
        <v>23</v>
      </c>
      <c r="B459" s="4" t="s">
        <v>990</v>
      </c>
      <c r="C459" s="4" t="s">
        <v>440</v>
      </c>
      <c r="D459" s="4" t="s">
        <v>3491</v>
      </c>
      <c r="E459" s="4"/>
      <c r="F459" s="4" t="n">
        <v>27</v>
      </c>
    </row>
    <row r="460" customFormat="false" ht="28.35" hidden="false" customHeight="false" outlineLevel="0" collapsed="false">
      <c r="A460" s="4" t="n">
        <v>23</v>
      </c>
      <c r="B460" s="4" t="s">
        <v>990</v>
      </c>
      <c r="C460" s="4" t="s">
        <v>441</v>
      </c>
      <c r="D460" s="4" t="s">
        <v>3492</v>
      </c>
      <c r="E460" s="4"/>
      <c r="F460" s="4" t="n">
        <v>3</v>
      </c>
    </row>
    <row r="461" customFormat="false" ht="28.35" hidden="false" customHeight="false" outlineLevel="0" collapsed="false">
      <c r="A461" s="4" t="n">
        <v>23</v>
      </c>
      <c r="B461" s="4" t="s">
        <v>990</v>
      </c>
      <c r="C461" s="4" t="s">
        <v>442</v>
      </c>
      <c r="D461" s="4" t="s">
        <v>3493</v>
      </c>
      <c r="E461" s="4"/>
      <c r="F461" s="4" t="n">
        <v>0</v>
      </c>
    </row>
    <row r="462" customFormat="false" ht="28.35" hidden="false" customHeight="false" outlineLevel="0" collapsed="false">
      <c r="A462" s="4" t="n">
        <v>23</v>
      </c>
      <c r="B462" s="4" t="s">
        <v>990</v>
      </c>
      <c r="C462" s="4" t="s">
        <v>443</v>
      </c>
      <c r="D462" s="4" t="s">
        <v>3494</v>
      </c>
      <c r="E462" s="4"/>
      <c r="F462" s="4" t="n">
        <v>30</v>
      </c>
    </row>
    <row r="463" customFormat="false" ht="41.75" hidden="false" customHeight="false" outlineLevel="0" collapsed="false">
      <c r="A463" s="4" t="n">
        <v>23</v>
      </c>
      <c r="B463" s="4" t="s">
        <v>990</v>
      </c>
      <c r="C463" s="4" t="s">
        <v>447</v>
      </c>
      <c r="D463" s="4" t="s">
        <v>3498</v>
      </c>
      <c r="E463" s="4"/>
      <c r="F463" s="4" t="s">
        <v>1014</v>
      </c>
    </row>
    <row r="464" customFormat="false" ht="55.2" hidden="false" customHeight="false" outlineLevel="0" collapsed="false">
      <c r="A464" s="4" t="n">
        <v>23</v>
      </c>
      <c r="B464" s="4" t="s">
        <v>990</v>
      </c>
      <c r="C464" s="4" t="s">
        <v>448</v>
      </c>
      <c r="D464" s="4" t="s">
        <v>3499</v>
      </c>
      <c r="E464" s="4"/>
      <c r="F464" s="4" t="s">
        <v>1015</v>
      </c>
    </row>
    <row r="465" customFormat="false" ht="28.35" hidden="false" customHeight="false" outlineLevel="0" collapsed="false">
      <c r="A465" s="4" t="n">
        <v>23</v>
      </c>
      <c r="B465" s="4" t="s">
        <v>990</v>
      </c>
      <c r="C465" s="4" t="s">
        <v>449</v>
      </c>
      <c r="D465" s="4" t="s">
        <v>3500</v>
      </c>
      <c r="E465" s="4"/>
      <c r="F465" s="4" t="s">
        <v>1002</v>
      </c>
    </row>
    <row r="466" customFormat="false" ht="95.5" hidden="false" customHeight="false" outlineLevel="0" collapsed="false">
      <c r="A466" s="4" t="n">
        <v>23</v>
      </c>
      <c r="B466" s="4" t="s">
        <v>990</v>
      </c>
      <c r="C466" s="4" t="s">
        <v>450</v>
      </c>
      <c r="D466" s="4" t="s">
        <v>3501</v>
      </c>
      <c r="E466" s="4"/>
      <c r="F466" s="4" t="s">
        <v>1016</v>
      </c>
    </row>
    <row r="467" customFormat="false" ht="28.35" hidden="false" customHeight="false" outlineLevel="0" collapsed="false">
      <c r="A467" s="4" t="n">
        <v>24</v>
      </c>
      <c r="B467" s="4" t="s">
        <v>121</v>
      </c>
      <c r="C467" s="4" t="s">
        <v>427</v>
      </c>
      <c r="D467" s="4" t="s">
        <v>3464</v>
      </c>
      <c r="E467" s="4"/>
      <c r="F467" s="4" t="s">
        <v>23</v>
      </c>
    </row>
    <row r="468" customFormat="false" ht="28.35" hidden="false" customHeight="false" outlineLevel="0" collapsed="false">
      <c r="A468" s="4" t="n">
        <v>24</v>
      </c>
      <c r="B468" s="4" t="s">
        <v>121</v>
      </c>
      <c r="C468" s="4" t="s">
        <v>428</v>
      </c>
      <c r="D468" s="4" t="s">
        <v>3465</v>
      </c>
      <c r="E468" s="4"/>
      <c r="F468" s="4" t="s">
        <v>28</v>
      </c>
    </row>
    <row r="469" customFormat="false" ht="28.35" hidden="false" customHeight="false" outlineLevel="0" collapsed="false">
      <c r="A469" s="4" t="n">
        <v>24</v>
      </c>
      <c r="B469" s="4" t="s">
        <v>121</v>
      </c>
      <c r="C469" s="4" t="s">
        <v>429</v>
      </c>
      <c r="D469" s="4" t="s">
        <v>3466</v>
      </c>
      <c r="E469" s="4"/>
      <c r="F469" s="4" t="s">
        <v>35</v>
      </c>
    </row>
    <row r="470" customFormat="false" ht="41.75" hidden="false" customHeight="false" outlineLevel="0" collapsed="false">
      <c r="A470" s="4" t="n">
        <v>24</v>
      </c>
      <c r="B470" s="4" t="s">
        <v>121</v>
      </c>
      <c r="C470" s="4" t="s">
        <v>430</v>
      </c>
      <c r="D470" s="4" t="s">
        <v>3467</v>
      </c>
      <c r="E470" s="4"/>
      <c r="F470" s="4" t="s">
        <v>1040</v>
      </c>
    </row>
    <row r="471" customFormat="false" ht="28.35" hidden="false" customHeight="false" outlineLevel="0" collapsed="false">
      <c r="A471" s="4" t="n">
        <v>24</v>
      </c>
      <c r="B471" s="4" t="s">
        <v>121</v>
      </c>
      <c r="C471" s="4" t="s">
        <v>431</v>
      </c>
      <c r="D471" s="4" t="s">
        <v>3468</v>
      </c>
      <c r="E471" s="4"/>
      <c r="F471" s="4" t="s">
        <v>1041</v>
      </c>
    </row>
    <row r="472" customFormat="false" ht="28.35" hidden="false" customHeight="false" outlineLevel="0" collapsed="false">
      <c r="A472" s="4" t="n">
        <v>24</v>
      </c>
      <c r="B472" s="4" t="s">
        <v>121</v>
      </c>
      <c r="C472" s="4" t="s">
        <v>432</v>
      </c>
      <c r="D472" s="4" t="s">
        <v>3469</v>
      </c>
      <c r="E472" s="4"/>
      <c r="F472" s="4" t="s">
        <v>524</v>
      </c>
    </row>
    <row r="473" customFormat="false" ht="28.35" hidden="false" customHeight="false" outlineLevel="0" collapsed="false">
      <c r="A473" s="4" t="n">
        <v>24</v>
      </c>
      <c r="B473" s="4" t="s">
        <v>121</v>
      </c>
      <c r="C473" s="4" t="s">
        <v>433</v>
      </c>
      <c r="D473" s="4" t="s">
        <v>3470</v>
      </c>
      <c r="E473" s="4"/>
      <c r="F473" s="4" t="s">
        <v>1042</v>
      </c>
    </row>
    <row r="474" customFormat="false" ht="28.35" hidden="false" customHeight="false" outlineLevel="0" collapsed="false">
      <c r="A474" s="4" t="n">
        <v>24</v>
      </c>
      <c r="B474" s="4" t="s">
        <v>121</v>
      </c>
      <c r="C474" s="4" t="s">
        <v>434</v>
      </c>
      <c r="D474" s="4" t="s">
        <v>3482</v>
      </c>
      <c r="E474" s="4"/>
      <c r="F474" s="4" t="s">
        <v>1043</v>
      </c>
    </row>
    <row r="475" customFormat="false" ht="28.35" hidden="false" customHeight="false" outlineLevel="0" collapsed="false">
      <c r="A475" s="4" t="n">
        <v>24</v>
      </c>
      <c r="B475" s="4" t="s">
        <v>121</v>
      </c>
      <c r="C475" s="4" t="s">
        <v>436</v>
      </c>
      <c r="D475" s="4" t="s">
        <v>3471</v>
      </c>
      <c r="E475" s="4"/>
      <c r="F475" s="4" t="s">
        <v>120</v>
      </c>
    </row>
    <row r="476" customFormat="false" ht="28.35" hidden="false" customHeight="false" outlineLevel="0" collapsed="false">
      <c r="A476" s="4" t="n">
        <v>24</v>
      </c>
      <c r="B476" s="4" t="s">
        <v>121</v>
      </c>
      <c r="C476" s="4" t="s">
        <v>437</v>
      </c>
      <c r="D476" s="4" t="s">
        <v>3472</v>
      </c>
      <c r="E476" s="4"/>
      <c r="F476" s="4" t="n">
        <v>10</v>
      </c>
    </row>
    <row r="477" customFormat="false" ht="15" hidden="false" customHeight="false" outlineLevel="0" collapsed="false">
      <c r="A477" s="4" t="n">
        <v>25</v>
      </c>
      <c r="B477" s="4" t="s">
        <v>1044</v>
      </c>
      <c r="C477" s="4" t="s">
        <v>427</v>
      </c>
      <c r="D477" s="4" t="s">
        <v>3464</v>
      </c>
      <c r="E477" s="4"/>
      <c r="F477" s="4" t="s">
        <v>26</v>
      </c>
    </row>
    <row r="478" customFormat="false" ht="15" hidden="false" customHeight="false" outlineLevel="0" collapsed="false">
      <c r="A478" s="4" t="n">
        <v>25</v>
      </c>
      <c r="B478" s="4" t="s">
        <v>1044</v>
      </c>
      <c r="C478" s="4" t="s">
        <v>428</v>
      </c>
      <c r="D478" s="4" t="s">
        <v>3465</v>
      </c>
      <c r="E478" s="4"/>
      <c r="F478" s="4" t="s">
        <v>26</v>
      </c>
    </row>
    <row r="479" customFormat="false" ht="15" hidden="false" customHeight="false" outlineLevel="0" collapsed="false">
      <c r="A479" s="4" t="n">
        <v>25</v>
      </c>
      <c r="B479" s="4" t="s">
        <v>1044</v>
      </c>
      <c r="C479" s="4" t="s">
        <v>429</v>
      </c>
      <c r="D479" s="4" t="s">
        <v>3466</v>
      </c>
      <c r="E479" s="4"/>
      <c r="F479" s="4" t="s">
        <v>39</v>
      </c>
    </row>
    <row r="480" customFormat="false" ht="28.35" hidden="false" customHeight="false" outlineLevel="0" collapsed="false">
      <c r="A480" s="4" t="n">
        <v>25</v>
      </c>
      <c r="B480" s="4" t="s">
        <v>1044</v>
      </c>
      <c r="C480" s="4" t="s">
        <v>430</v>
      </c>
      <c r="D480" s="4" t="s">
        <v>3467</v>
      </c>
      <c r="E480" s="4"/>
      <c r="F480" s="4" t="s">
        <v>1063</v>
      </c>
    </row>
    <row r="481" customFormat="false" ht="15" hidden="false" customHeight="false" outlineLevel="0" collapsed="false">
      <c r="A481" s="4" t="n">
        <v>25</v>
      </c>
      <c r="B481" s="4" t="s">
        <v>1044</v>
      </c>
      <c r="C481" s="4" t="s">
        <v>431</v>
      </c>
      <c r="D481" s="4" t="s">
        <v>3468</v>
      </c>
      <c r="E481" s="4"/>
      <c r="F481" s="4" t="s">
        <v>484</v>
      </c>
    </row>
    <row r="482" customFormat="false" ht="15" hidden="false" customHeight="false" outlineLevel="0" collapsed="false">
      <c r="A482" s="4" t="n">
        <v>25</v>
      </c>
      <c r="B482" s="4" t="s">
        <v>1044</v>
      </c>
      <c r="C482" s="4" t="s">
        <v>432</v>
      </c>
      <c r="D482" s="4" t="s">
        <v>3469</v>
      </c>
      <c r="E482" s="4"/>
      <c r="F482" s="4" t="s">
        <v>485</v>
      </c>
    </row>
    <row r="483" customFormat="false" ht="15" hidden="false" customHeight="false" outlineLevel="0" collapsed="false">
      <c r="A483" s="4" t="n">
        <v>25</v>
      </c>
      <c r="B483" s="4" t="s">
        <v>1044</v>
      </c>
      <c r="C483" s="4" t="s">
        <v>433</v>
      </c>
      <c r="D483" s="4" t="s">
        <v>3470</v>
      </c>
      <c r="E483" s="4"/>
      <c r="F483" s="4" t="s">
        <v>1064</v>
      </c>
    </row>
    <row r="484" customFormat="false" ht="15" hidden="false" customHeight="false" outlineLevel="0" collapsed="false">
      <c r="A484" s="4" t="n">
        <v>25</v>
      </c>
      <c r="B484" s="4" t="s">
        <v>1044</v>
      </c>
      <c r="C484" s="4" t="s">
        <v>436</v>
      </c>
      <c r="D484" s="4" t="s">
        <v>3471</v>
      </c>
      <c r="E484" s="4"/>
      <c r="F484" s="4" t="s">
        <v>120</v>
      </c>
    </row>
    <row r="485" customFormat="false" ht="28.35" hidden="false" customHeight="false" outlineLevel="0" collapsed="false">
      <c r="A485" s="4" t="n">
        <v>25</v>
      </c>
      <c r="B485" s="4" t="s">
        <v>1044</v>
      </c>
      <c r="C485" s="4" t="s">
        <v>437</v>
      </c>
      <c r="D485" s="4" t="s">
        <v>3472</v>
      </c>
      <c r="E485" s="4"/>
      <c r="F485" s="4" t="n">
        <v>10</v>
      </c>
    </row>
    <row r="486" customFormat="false" ht="15" hidden="false" customHeight="false" outlineLevel="0" collapsed="false">
      <c r="A486" s="4" t="n">
        <v>26</v>
      </c>
      <c r="B486" s="4" t="s">
        <v>1065</v>
      </c>
      <c r="C486" s="4" t="s">
        <v>427</v>
      </c>
      <c r="D486" s="4" t="s">
        <v>3464</v>
      </c>
      <c r="E486" s="4"/>
      <c r="F486" s="4" t="s">
        <v>26</v>
      </c>
    </row>
    <row r="487" customFormat="false" ht="15" hidden="false" customHeight="false" outlineLevel="0" collapsed="false">
      <c r="A487" s="4" t="n">
        <v>26</v>
      </c>
      <c r="B487" s="4" t="s">
        <v>1065</v>
      </c>
      <c r="C487" s="4" t="s">
        <v>428</v>
      </c>
      <c r="D487" s="4" t="s">
        <v>3465</v>
      </c>
      <c r="E487" s="4"/>
      <c r="F487" s="4" t="s">
        <v>26</v>
      </c>
    </row>
    <row r="488" customFormat="false" ht="15" hidden="false" customHeight="false" outlineLevel="0" collapsed="false">
      <c r="A488" s="4" t="n">
        <v>26</v>
      </c>
      <c r="B488" s="4" t="s">
        <v>1065</v>
      </c>
      <c r="C488" s="4" t="s">
        <v>429</v>
      </c>
      <c r="D488" s="4" t="s">
        <v>3466</v>
      </c>
      <c r="E488" s="4"/>
      <c r="F488" s="4" t="s">
        <v>39</v>
      </c>
    </row>
    <row r="489" customFormat="false" ht="15" hidden="false" customHeight="false" outlineLevel="0" collapsed="false">
      <c r="A489" s="4" t="n">
        <v>26</v>
      </c>
      <c r="B489" s="4" t="s">
        <v>1065</v>
      </c>
      <c r="C489" s="4" t="s">
        <v>431</v>
      </c>
      <c r="D489" s="4" t="s">
        <v>3468</v>
      </c>
      <c r="E489" s="4"/>
      <c r="F489" s="4" t="s">
        <v>484</v>
      </c>
    </row>
    <row r="490" customFormat="false" ht="15" hidden="false" customHeight="false" outlineLevel="0" collapsed="false">
      <c r="A490" s="4" t="n">
        <v>26</v>
      </c>
      <c r="B490" s="4" t="s">
        <v>1065</v>
      </c>
      <c r="C490" s="4" t="s">
        <v>432</v>
      </c>
      <c r="D490" s="4" t="s">
        <v>3469</v>
      </c>
      <c r="E490" s="4"/>
      <c r="F490" s="4" t="s">
        <v>485</v>
      </c>
    </row>
    <row r="491" customFormat="false" ht="15" hidden="false" customHeight="false" outlineLevel="0" collapsed="false">
      <c r="A491" s="4" t="n">
        <v>26</v>
      </c>
      <c r="B491" s="4" t="s">
        <v>1065</v>
      </c>
      <c r="C491" s="4" t="s">
        <v>433</v>
      </c>
      <c r="D491" s="4" t="s">
        <v>3470</v>
      </c>
      <c r="E491" s="4"/>
      <c r="F491" s="4" t="s">
        <v>1064</v>
      </c>
    </row>
    <row r="492" customFormat="false" ht="15" hidden="false" customHeight="false" outlineLevel="0" collapsed="false">
      <c r="A492" s="4" t="n">
        <v>26</v>
      </c>
      <c r="B492" s="4" t="s">
        <v>1065</v>
      </c>
      <c r="C492" s="4" t="s">
        <v>436</v>
      </c>
      <c r="D492" s="4" t="s">
        <v>3471</v>
      </c>
      <c r="E492" s="4"/>
      <c r="F492" s="4" t="s">
        <v>1081</v>
      </c>
    </row>
    <row r="493" customFormat="false" ht="95.5" hidden="false" customHeight="false" outlineLevel="0" collapsed="false">
      <c r="A493" s="4" t="n">
        <v>27</v>
      </c>
      <c r="B493" s="4" t="s">
        <v>1082</v>
      </c>
      <c r="C493" s="4" t="s">
        <v>380</v>
      </c>
      <c r="D493" s="4" t="s">
        <v>3474</v>
      </c>
      <c r="E493" s="4" t="s">
        <v>3564</v>
      </c>
      <c r="F493" s="4" t="s">
        <v>1092</v>
      </c>
    </row>
    <row r="494" customFormat="false" ht="68.65" hidden="false" customHeight="false" outlineLevel="0" collapsed="false">
      <c r="A494" s="4" t="n">
        <v>27</v>
      </c>
      <c r="B494" s="4" t="s">
        <v>1082</v>
      </c>
      <c r="C494" s="4" t="s">
        <v>407</v>
      </c>
      <c r="D494" s="4" t="s">
        <v>3485</v>
      </c>
      <c r="E494" s="4"/>
      <c r="F494" s="4" t="s">
        <v>1096</v>
      </c>
    </row>
    <row r="495" customFormat="false" ht="28.35" hidden="false" customHeight="false" outlineLevel="0" collapsed="false">
      <c r="A495" s="4" t="n">
        <v>27</v>
      </c>
      <c r="B495" s="4" t="s">
        <v>1082</v>
      </c>
      <c r="C495" s="4" t="s">
        <v>427</v>
      </c>
      <c r="D495" s="4" t="s">
        <v>3464</v>
      </c>
      <c r="E495" s="4"/>
      <c r="F495" s="4" t="s">
        <v>26</v>
      </c>
    </row>
    <row r="496" customFormat="false" ht="28.35" hidden="false" customHeight="false" outlineLevel="0" collapsed="false">
      <c r="A496" s="4" t="n">
        <v>27</v>
      </c>
      <c r="B496" s="4" t="s">
        <v>1082</v>
      </c>
      <c r="C496" s="4" t="s">
        <v>428</v>
      </c>
      <c r="D496" s="4" t="s">
        <v>3465</v>
      </c>
      <c r="E496" s="4"/>
      <c r="F496" s="4" t="s">
        <v>26</v>
      </c>
    </row>
    <row r="497" customFormat="false" ht="28.35" hidden="false" customHeight="false" outlineLevel="0" collapsed="false">
      <c r="A497" s="4" t="n">
        <v>27</v>
      </c>
      <c r="B497" s="4" t="s">
        <v>1082</v>
      </c>
      <c r="C497" s="4" t="s">
        <v>429</v>
      </c>
      <c r="D497" s="4" t="s">
        <v>3466</v>
      </c>
      <c r="E497" s="4"/>
      <c r="F497" s="4" t="s">
        <v>39</v>
      </c>
    </row>
    <row r="498" customFormat="false" ht="28.35" hidden="false" customHeight="false" outlineLevel="0" collapsed="false">
      <c r="A498" s="4" t="n">
        <v>27</v>
      </c>
      <c r="B498" s="4" t="s">
        <v>1082</v>
      </c>
      <c r="C498" s="4" t="s">
        <v>431</v>
      </c>
      <c r="D498" s="4" t="s">
        <v>3468</v>
      </c>
      <c r="E498" s="4"/>
      <c r="F498" s="4" t="s">
        <v>484</v>
      </c>
    </row>
    <row r="499" customFormat="false" ht="28.35" hidden="false" customHeight="false" outlineLevel="0" collapsed="false">
      <c r="A499" s="4" t="n">
        <v>27</v>
      </c>
      <c r="B499" s="4" t="s">
        <v>1082</v>
      </c>
      <c r="C499" s="4" t="s">
        <v>432</v>
      </c>
      <c r="D499" s="4" t="s">
        <v>3469</v>
      </c>
      <c r="E499" s="4"/>
      <c r="F499" s="4" t="s">
        <v>485</v>
      </c>
    </row>
    <row r="500" customFormat="false" ht="28.35" hidden="false" customHeight="false" outlineLevel="0" collapsed="false">
      <c r="A500" s="4" t="n">
        <v>27</v>
      </c>
      <c r="B500" s="4" t="s">
        <v>1082</v>
      </c>
      <c r="C500" s="4" t="s">
        <v>433</v>
      </c>
      <c r="D500" s="4" t="s">
        <v>3470</v>
      </c>
      <c r="E500" s="4"/>
      <c r="F500" s="4" t="s">
        <v>1104</v>
      </c>
    </row>
    <row r="501" customFormat="false" ht="28.35" hidden="false" customHeight="false" outlineLevel="0" collapsed="false">
      <c r="A501" s="4" t="n">
        <v>27</v>
      </c>
      <c r="B501" s="4" t="s">
        <v>1082</v>
      </c>
      <c r="C501" s="4" t="s">
        <v>436</v>
      </c>
      <c r="D501" s="4" t="s">
        <v>3471</v>
      </c>
      <c r="E501" s="4"/>
      <c r="F501" s="4" t="s">
        <v>1105</v>
      </c>
    </row>
    <row r="502" customFormat="false" ht="41.75" hidden="false" customHeight="false" outlineLevel="0" collapsed="false">
      <c r="A502" s="4" t="n">
        <v>28</v>
      </c>
      <c r="B502" s="4" t="s">
        <v>1106</v>
      </c>
      <c r="C502" s="4" t="s">
        <v>375</v>
      </c>
      <c r="D502" s="4" t="s">
        <v>3473</v>
      </c>
      <c r="E502" s="4" t="s">
        <v>579</v>
      </c>
      <c r="F502" s="4" t="s">
        <v>497</v>
      </c>
    </row>
    <row r="503" customFormat="false" ht="122.35" hidden="false" customHeight="false" outlineLevel="0" collapsed="false">
      <c r="A503" s="4" t="n">
        <v>28</v>
      </c>
      <c r="B503" s="4" t="s">
        <v>1106</v>
      </c>
      <c r="C503" s="4" t="s">
        <v>380</v>
      </c>
      <c r="D503" s="4" t="s">
        <v>3474</v>
      </c>
      <c r="E503" s="4" t="s">
        <v>3565</v>
      </c>
      <c r="F503" s="4" t="s">
        <v>1117</v>
      </c>
    </row>
    <row r="504" customFormat="false" ht="28.35" hidden="false" customHeight="false" outlineLevel="0" collapsed="false">
      <c r="A504" s="4" t="n">
        <v>28</v>
      </c>
      <c r="B504" s="4" t="s">
        <v>1106</v>
      </c>
      <c r="C504" s="4" t="s">
        <v>387</v>
      </c>
      <c r="D504" s="4" t="s">
        <v>3476</v>
      </c>
      <c r="E504" s="4"/>
      <c r="F504" s="4" t="n">
        <v>81</v>
      </c>
    </row>
    <row r="505" customFormat="false" ht="28.35" hidden="false" customHeight="false" outlineLevel="0" collapsed="false">
      <c r="A505" s="4" t="n">
        <v>28</v>
      </c>
      <c r="B505" s="4" t="s">
        <v>1106</v>
      </c>
      <c r="C505" s="4" t="s">
        <v>388</v>
      </c>
      <c r="D505" s="4" t="s">
        <v>3477</v>
      </c>
      <c r="E505" s="4"/>
      <c r="F505" s="4" t="s">
        <v>501</v>
      </c>
    </row>
    <row r="506" customFormat="false" ht="68.65" hidden="false" customHeight="false" outlineLevel="0" collapsed="false">
      <c r="A506" s="4" t="n">
        <v>28</v>
      </c>
      <c r="B506" s="4" t="s">
        <v>1106</v>
      </c>
      <c r="C506" s="4" t="s">
        <v>389</v>
      </c>
      <c r="D506" s="4" t="s">
        <v>3478</v>
      </c>
      <c r="E506" s="4" t="s">
        <v>472</v>
      </c>
      <c r="F506" s="4" t="s">
        <v>1118</v>
      </c>
    </row>
    <row r="507" customFormat="false" ht="28.35" hidden="false" customHeight="false" outlineLevel="0" collapsed="false">
      <c r="A507" s="4" t="n">
        <v>28</v>
      </c>
      <c r="B507" s="4" t="s">
        <v>1106</v>
      </c>
      <c r="C507" s="4" t="s">
        <v>390</v>
      </c>
      <c r="D507" s="4" t="s">
        <v>3479</v>
      </c>
      <c r="E507" s="4" t="s">
        <v>473</v>
      </c>
      <c r="F507" s="4" t="s">
        <v>503</v>
      </c>
    </row>
    <row r="508" customFormat="false" ht="41.75" hidden="false" customHeight="false" outlineLevel="0" collapsed="false">
      <c r="A508" s="4" t="n">
        <v>28</v>
      </c>
      <c r="B508" s="4" t="s">
        <v>1106</v>
      </c>
      <c r="C508" s="4" t="s">
        <v>391</v>
      </c>
      <c r="D508" s="4" t="s">
        <v>3480</v>
      </c>
      <c r="E508" s="4"/>
      <c r="F508" s="4" t="s">
        <v>504</v>
      </c>
    </row>
    <row r="509" customFormat="false" ht="41.75" hidden="false" customHeight="false" outlineLevel="0" collapsed="false">
      <c r="A509" s="4" t="n">
        <v>28</v>
      </c>
      <c r="B509" s="4" t="s">
        <v>1106</v>
      </c>
      <c r="C509" s="4" t="s">
        <v>403</v>
      </c>
      <c r="D509" s="4" t="s">
        <v>3481</v>
      </c>
      <c r="E509" s="4" t="s">
        <v>1032</v>
      </c>
      <c r="F509" s="4" t="s">
        <v>511</v>
      </c>
    </row>
    <row r="510" customFormat="false" ht="28.35" hidden="false" customHeight="false" outlineLevel="0" collapsed="false">
      <c r="A510" s="4" t="n">
        <v>28</v>
      </c>
      <c r="B510" s="4" t="s">
        <v>1106</v>
      </c>
      <c r="C510" s="4" t="s">
        <v>427</v>
      </c>
      <c r="D510" s="4" t="s">
        <v>3464</v>
      </c>
      <c r="E510" s="4"/>
      <c r="F510" s="4" t="s">
        <v>23</v>
      </c>
    </row>
    <row r="511" customFormat="false" ht="28.35" hidden="false" customHeight="false" outlineLevel="0" collapsed="false">
      <c r="A511" s="4" t="n">
        <v>28</v>
      </c>
      <c r="B511" s="4" t="s">
        <v>1106</v>
      </c>
      <c r="C511" s="4" t="s">
        <v>428</v>
      </c>
      <c r="D511" s="4" t="s">
        <v>3465</v>
      </c>
      <c r="E511" s="4"/>
      <c r="F511" s="4" t="s">
        <v>28</v>
      </c>
    </row>
    <row r="512" customFormat="false" ht="28.35" hidden="false" customHeight="false" outlineLevel="0" collapsed="false">
      <c r="A512" s="4" t="n">
        <v>28</v>
      </c>
      <c r="B512" s="4" t="s">
        <v>1106</v>
      </c>
      <c r="C512" s="4" t="s">
        <v>429</v>
      </c>
      <c r="D512" s="4" t="s">
        <v>3466</v>
      </c>
      <c r="E512" s="4"/>
      <c r="F512" s="4" t="s">
        <v>35</v>
      </c>
    </row>
    <row r="513" customFormat="false" ht="28.35" hidden="false" customHeight="false" outlineLevel="0" collapsed="false">
      <c r="A513" s="4" t="n">
        <v>28</v>
      </c>
      <c r="B513" s="4" t="s">
        <v>1106</v>
      </c>
      <c r="C513" s="4" t="s">
        <v>431</v>
      </c>
      <c r="D513" s="4" t="s">
        <v>3468</v>
      </c>
      <c r="E513" s="4"/>
      <c r="F513" s="4" t="s">
        <v>1124</v>
      </c>
    </row>
    <row r="514" customFormat="false" ht="28.35" hidden="false" customHeight="false" outlineLevel="0" collapsed="false">
      <c r="A514" s="4" t="n">
        <v>28</v>
      </c>
      <c r="B514" s="4" t="s">
        <v>1106</v>
      </c>
      <c r="C514" s="4" t="s">
        <v>432</v>
      </c>
      <c r="D514" s="4" t="s">
        <v>3469</v>
      </c>
      <c r="E514" s="4"/>
      <c r="F514" s="4" t="s">
        <v>524</v>
      </c>
    </row>
    <row r="515" customFormat="false" ht="41.75" hidden="false" customHeight="false" outlineLevel="0" collapsed="false">
      <c r="A515" s="4" t="n">
        <v>28</v>
      </c>
      <c r="B515" s="4" t="s">
        <v>1106</v>
      </c>
      <c r="C515" s="4" t="s">
        <v>433</v>
      </c>
      <c r="D515" s="4" t="s">
        <v>3470</v>
      </c>
      <c r="E515" s="4"/>
      <c r="F515" s="4" t="s">
        <v>1125</v>
      </c>
    </row>
    <row r="516" customFormat="false" ht="28.35" hidden="false" customHeight="false" outlineLevel="0" collapsed="false">
      <c r="A516" s="4" t="n">
        <v>28</v>
      </c>
      <c r="B516" s="4" t="s">
        <v>1106</v>
      </c>
      <c r="C516" s="4" t="s">
        <v>434</v>
      </c>
      <c r="D516" s="4" t="s">
        <v>3482</v>
      </c>
      <c r="E516" s="4"/>
      <c r="F516" s="4" t="s">
        <v>1126</v>
      </c>
    </row>
    <row r="517" customFormat="false" ht="28.35" hidden="false" customHeight="false" outlineLevel="0" collapsed="false">
      <c r="A517" s="4" t="n">
        <v>28</v>
      </c>
      <c r="B517" s="4" t="s">
        <v>1106</v>
      </c>
      <c r="C517" s="4" t="s">
        <v>436</v>
      </c>
      <c r="D517" s="4" t="s">
        <v>3471</v>
      </c>
      <c r="E517" s="4"/>
      <c r="F517" s="4" t="s">
        <v>1127</v>
      </c>
    </row>
    <row r="518" customFormat="false" ht="28.35" hidden="false" customHeight="false" outlineLevel="0" collapsed="false">
      <c r="A518" s="4" t="n">
        <v>29</v>
      </c>
      <c r="B518" s="4" t="s">
        <v>1128</v>
      </c>
      <c r="C518" s="4" t="s">
        <v>369</v>
      </c>
      <c r="D518" s="4" t="s">
        <v>3503</v>
      </c>
      <c r="E518" s="4" t="s">
        <v>780</v>
      </c>
      <c r="F518" s="4" t="s">
        <v>643</v>
      </c>
    </row>
    <row r="519" customFormat="false" ht="202.95" hidden="false" customHeight="false" outlineLevel="0" collapsed="false">
      <c r="A519" s="4" t="n">
        <v>29</v>
      </c>
      <c r="B519" s="4" t="s">
        <v>1128</v>
      </c>
      <c r="C519" s="4" t="s">
        <v>372</v>
      </c>
      <c r="D519" s="4" t="s">
        <v>3504</v>
      </c>
      <c r="E519" s="4" t="s">
        <v>996</v>
      </c>
      <c r="F519" s="4" t="s">
        <v>1133</v>
      </c>
    </row>
    <row r="520" customFormat="false" ht="95.5" hidden="false" customHeight="false" outlineLevel="0" collapsed="false">
      <c r="A520" s="4" t="n">
        <v>29</v>
      </c>
      <c r="B520" s="4" t="s">
        <v>1128</v>
      </c>
      <c r="C520" s="4" t="s">
        <v>380</v>
      </c>
      <c r="D520" s="4" t="s">
        <v>3474</v>
      </c>
      <c r="E520" s="4" t="s">
        <v>3566</v>
      </c>
      <c r="F520" s="4" t="s">
        <v>1136</v>
      </c>
    </row>
    <row r="521" customFormat="false" ht="41.75" hidden="false" customHeight="false" outlineLevel="0" collapsed="false">
      <c r="A521" s="4" t="n">
        <v>29</v>
      </c>
      <c r="B521" s="4" t="s">
        <v>1128</v>
      </c>
      <c r="C521" s="4" t="s">
        <v>390</v>
      </c>
      <c r="D521" s="4" t="s">
        <v>3479</v>
      </c>
      <c r="E521" s="4" t="s">
        <v>473</v>
      </c>
      <c r="F521" s="4" t="s">
        <v>1137</v>
      </c>
    </row>
    <row r="522" customFormat="false" ht="41.75" hidden="false" customHeight="false" outlineLevel="0" collapsed="false">
      <c r="A522" s="4" t="n">
        <v>29</v>
      </c>
      <c r="B522" s="4" t="s">
        <v>1128</v>
      </c>
      <c r="C522" s="4" t="s">
        <v>395</v>
      </c>
      <c r="D522" s="4" t="s">
        <v>3507</v>
      </c>
      <c r="E522" s="4" t="s">
        <v>474</v>
      </c>
      <c r="F522" s="4" t="s">
        <v>1138</v>
      </c>
    </row>
    <row r="523" customFormat="false" ht="28.35" hidden="false" customHeight="false" outlineLevel="0" collapsed="false">
      <c r="A523" s="4" t="n">
        <v>29</v>
      </c>
      <c r="B523" s="4" t="s">
        <v>1128</v>
      </c>
      <c r="C523" s="4" t="s">
        <v>402</v>
      </c>
      <c r="D523" s="4" t="s">
        <v>3508</v>
      </c>
      <c r="E523" s="4" t="s">
        <v>475</v>
      </c>
      <c r="F523" s="4" t="s">
        <v>1139</v>
      </c>
    </row>
    <row r="524" customFormat="false" ht="55.2" hidden="false" customHeight="false" outlineLevel="0" collapsed="false">
      <c r="A524" s="4" t="n">
        <v>29</v>
      </c>
      <c r="B524" s="4" t="s">
        <v>1128</v>
      </c>
      <c r="C524" s="4" t="s">
        <v>403</v>
      </c>
      <c r="D524" s="4" t="s">
        <v>3481</v>
      </c>
      <c r="E524" s="4" t="s">
        <v>1095</v>
      </c>
      <c r="F524" s="4" t="s">
        <v>1140</v>
      </c>
    </row>
    <row r="525" customFormat="false" ht="82.05" hidden="false" customHeight="false" outlineLevel="0" collapsed="false">
      <c r="A525" s="4" t="n">
        <v>29</v>
      </c>
      <c r="B525" s="4" t="s">
        <v>1128</v>
      </c>
      <c r="C525" s="4" t="s">
        <v>407</v>
      </c>
      <c r="D525" s="4" t="s">
        <v>3485</v>
      </c>
      <c r="E525" s="4" t="s">
        <v>3567</v>
      </c>
      <c r="F525" s="4" t="s">
        <v>1141</v>
      </c>
    </row>
    <row r="526" customFormat="false" ht="15" hidden="false" customHeight="false" outlineLevel="0" collapsed="false">
      <c r="A526" s="4" t="n">
        <v>29</v>
      </c>
      <c r="B526" s="4" t="s">
        <v>1128</v>
      </c>
      <c r="C526" s="4" t="s">
        <v>427</v>
      </c>
      <c r="D526" s="4" t="s">
        <v>3464</v>
      </c>
      <c r="E526" s="4"/>
      <c r="F526" s="4" t="s">
        <v>24</v>
      </c>
    </row>
    <row r="527" customFormat="false" ht="15" hidden="false" customHeight="false" outlineLevel="0" collapsed="false">
      <c r="A527" s="4" t="n">
        <v>29</v>
      </c>
      <c r="B527" s="4" t="s">
        <v>1128</v>
      </c>
      <c r="C527" s="4" t="s">
        <v>428</v>
      </c>
      <c r="D527" s="4" t="s">
        <v>3465</v>
      </c>
      <c r="E527" s="4"/>
      <c r="F527" s="4" t="s">
        <v>31</v>
      </c>
    </row>
    <row r="528" customFormat="false" ht="15" hidden="false" customHeight="false" outlineLevel="0" collapsed="false">
      <c r="A528" s="4" t="n">
        <v>29</v>
      </c>
      <c r="B528" s="4" t="s">
        <v>1128</v>
      </c>
      <c r="C528" s="4" t="s">
        <v>429</v>
      </c>
      <c r="D528" s="4" t="s">
        <v>3466</v>
      </c>
      <c r="E528" s="4"/>
      <c r="F528" s="4" t="s">
        <v>38</v>
      </c>
    </row>
    <row r="529" customFormat="false" ht="15" hidden="false" customHeight="false" outlineLevel="0" collapsed="false">
      <c r="A529" s="4" t="n">
        <v>29</v>
      </c>
      <c r="B529" s="4" t="s">
        <v>1128</v>
      </c>
      <c r="C529" s="4" t="s">
        <v>431</v>
      </c>
      <c r="D529" s="4" t="s">
        <v>3468</v>
      </c>
      <c r="E529" s="4"/>
      <c r="F529" s="4" t="s">
        <v>484</v>
      </c>
    </row>
    <row r="530" customFormat="false" ht="15" hidden="false" customHeight="false" outlineLevel="0" collapsed="false">
      <c r="A530" s="4" t="n">
        <v>29</v>
      </c>
      <c r="B530" s="4" t="s">
        <v>1128</v>
      </c>
      <c r="C530" s="4" t="s">
        <v>432</v>
      </c>
      <c r="D530" s="4" t="s">
        <v>3469</v>
      </c>
      <c r="E530" s="4"/>
      <c r="F530" s="4" t="s">
        <v>524</v>
      </c>
    </row>
    <row r="531" customFormat="false" ht="41.75" hidden="false" customHeight="false" outlineLevel="0" collapsed="false">
      <c r="A531" s="4" t="n">
        <v>29</v>
      </c>
      <c r="B531" s="4" t="s">
        <v>1128</v>
      </c>
      <c r="C531" s="4" t="s">
        <v>433</v>
      </c>
      <c r="D531" s="4" t="s">
        <v>3470</v>
      </c>
      <c r="E531" s="4"/>
      <c r="F531" s="4" t="s">
        <v>665</v>
      </c>
    </row>
    <row r="532" customFormat="false" ht="15" hidden="false" customHeight="false" outlineLevel="0" collapsed="false">
      <c r="A532" s="4" t="n">
        <v>29</v>
      </c>
      <c r="B532" s="4" t="s">
        <v>1128</v>
      </c>
      <c r="C532" s="4" t="s">
        <v>434</v>
      </c>
      <c r="D532" s="4" t="s">
        <v>3482</v>
      </c>
      <c r="E532" s="4"/>
      <c r="F532" s="4" t="s">
        <v>666</v>
      </c>
    </row>
    <row r="533" customFormat="false" ht="28.35" hidden="false" customHeight="false" outlineLevel="0" collapsed="false">
      <c r="A533" s="4" t="n">
        <v>29</v>
      </c>
      <c r="B533" s="4" t="s">
        <v>1128</v>
      </c>
      <c r="C533" s="4" t="s">
        <v>435</v>
      </c>
      <c r="D533" s="4" t="s">
        <v>3510</v>
      </c>
      <c r="E533" s="4"/>
      <c r="F533" s="4" t="s">
        <v>667</v>
      </c>
    </row>
    <row r="534" customFormat="false" ht="15" hidden="false" customHeight="false" outlineLevel="0" collapsed="false">
      <c r="A534" s="4" t="n">
        <v>29</v>
      </c>
      <c r="B534" s="4" t="s">
        <v>1128</v>
      </c>
      <c r="C534" s="4" t="s">
        <v>436</v>
      </c>
      <c r="D534" s="4" t="s">
        <v>3471</v>
      </c>
      <c r="E534" s="4"/>
      <c r="F534" s="4" t="s">
        <v>1127</v>
      </c>
    </row>
    <row r="535" customFormat="false" ht="82.05" hidden="false" customHeight="false" outlineLevel="0" collapsed="false">
      <c r="A535" s="4" t="n">
        <v>29</v>
      </c>
      <c r="B535" s="4" t="s">
        <v>1128</v>
      </c>
      <c r="C535" s="4" t="s">
        <v>438</v>
      </c>
      <c r="D535" s="4" t="s">
        <v>3511</v>
      </c>
      <c r="E535" s="4"/>
      <c r="F535" s="4" t="s">
        <v>1145</v>
      </c>
    </row>
    <row r="536" customFormat="false" ht="41.75" hidden="false" customHeight="false" outlineLevel="0" collapsed="false">
      <c r="A536" s="4" t="n">
        <v>30</v>
      </c>
      <c r="B536" s="4" t="s">
        <v>1146</v>
      </c>
      <c r="C536" s="4" t="s">
        <v>375</v>
      </c>
      <c r="D536" s="4" t="s">
        <v>3473</v>
      </c>
      <c r="E536" s="4" t="s">
        <v>579</v>
      </c>
      <c r="F536" s="4" t="s">
        <v>497</v>
      </c>
    </row>
    <row r="537" customFormat="false" ht="162.65" hidden="false" customHeight="false" outlineLevel="0" collapsed="false">
      <c r="A537" s="4" t="n">
        <v>30</v>
      </c>
      <c r="B537" s="4" t="s">
        <v>1146</v>
      </c>
      <c r="C537" s="4" t="s">
        <v>380</v>
      </c>
      <c r="D537" s="4" t="s">
        <v>3474</v>
      </c>
      <c r="E537" s="4" t="s">
        <v>3568</v>
      </c>
      <c r="F537" s="4" t="s">
        <v>1154</v>
      </c>
    </row>
    <row r="538" customFormat="false" ht="28.35" hidden="false" customHeight="false" outlineLevel="0" collapsed="false">
      <c r="A538" s="4" t="n">
        <v>30</v>
      </c>
      <c r="B538" s="4" t="s">
        <v>1146</v>
      </c>
      <c r="C538" s="4" t="s">
        <v>387</v>
      </c>
      <c r="D538" s="4" t="s">
        <v>3476</v>
      </c>
      <c r="E538" s="4"/>
      <c r="F538" s="4" t="n">
        <v>3596</v>
      </c>
    </row>
    <row r="539" customFormat="false" ht="28.35" hidden="false" customHeight="false" outlineLevel="0" collapsed="false">
      <c r="A539" s="4" t="n">
        <v>30</v>
      </c>
      <c r="B539" s="4" t="s">
        <v>1146</v>
      </c>
      <c r="C539" s="4" t="s">
        <v>388</v>
      </c>
      <c r="D539" s="4" t="s">
        <v>3477</v>
      </c>
      <c r="E539" s="4"/>
      <c r="F539" s="4" t="s">
        <v>501</v>
      </c>
    </row>
    <row r="540" customFormat="false" ht="68.65" hidden="false" customHeight="false" outlineLevel="0" collapsed="false">
      <c r="A540" s="4" t="n">
        <v>30</v>
      </c>
      <c r="B540" s="4" t="s">
        <v>1146</v>
      </c>
      <c r="C540" s="4" t="s">
        <v>389</v>
      </c>
      <c r="D540" s="4" t="s">
        <v>3478</v>
      </c>
      <c r="E540" s="4" t="s">
        <v>472</v>
      </c>
      <c r="F540" s="4" t="s">
        <v>1155</v>
      </c>
    </row>
    <row r="541" customFormat="false" ht="28.35" hidden="false" customHeight="false" outlineLevel="0" collapsed="false">
      <c r="A541" s="4" t="n">
        <v>30</v>
      </c>
      <c r="B541" s="4" t="s">
        <v>1146</v>
      </c>
      <c r="C541" s="4" t="s">
        <v>390</v>
      </c>
      <c r="D541" s="4" t="s">
        <v>3479</v>
      </c>
      <c r="E541" s="4" t="s">
        <v>473</v>
      </c>
      <c r="F541" s="4" t="s">
        <v>503</v>
      </c>
    </row>
    <row r="542" customFormat="false" ht="41.75" hidden="false" customHeight="false" outlineLevel="0" collapsed="false">
      <c r="A542" s="4" t="n">
        <v>30</v>
      </c>
      <c r="B542" s="4" t="s">
        <v>1146</v>
      </c>
      <c r="C542" s="4" t="s">
        <v>391</v>
      </c>
      <c r="D542" s="4" t="s">
        <v>3480</v>
      </c>
      <c r="E542" s="4"/>
      <c r="F542" s="4" t="s">
        <v>504</v>
      </c>
    </row>
    <row r="543" customFormat="false" ht="41.75" hidden="false" customHeight="false" outlineLevel="0" collapsed="false">
      <c r="A543" s="4" t="n">
        <v>30</v>
      </c>
      <c r="B543" s="4" t="s">
        <v>1146</v>
      </c>
      <c r="C543" s="4" t="s">
        <v>403</v>
      </c>
      <c r="D543" s="4" t="s">
        <v>3481</v>
      </c>
      <c r="E543" s="4" t="s">
        <v>1032</v>
      </c>
      <c r="F543" s="4" t="s">
        <v>511</v>
      </c>
    </row>
    <row r="544" customFormat="false" ht="135.8" hidden="false" customHeight="false" outlineLevel="0" collapsed="false">
      <c r="A544" s="4" t="n">
        <v>30</v>
      </c>
      <c r="B544" s="4" t="s">
        <v>1146</v>
      </c>
      <c r="C544" s="4" t="s">
        <v>407</v>
      </c>
      <c r="D544" s="4" t="s">
        <v>3485</v>
      </c>
      <c r="E544" s="4"/>
      <c r="F544" s="4" t="s">
        <v>1156</v>
      </c>
    </row>
    <row r="545" customFormat="false" ht="28.35" hidden="false" customHeight="false" outlineLevel="0" collapsed="false">
      <c r="A545" s="4" t="n">
        <v>30</v>
      </c>
      <c r="B545" s="4" t="s">
        <v>1146</v>
      </c>
      <c r="C545" s="4" t="s">
        <v>427</v>
      </c>
      <c r="D545" s="4" t="s">
        <v>3464</v>
      </c>
      <c r="E545" s="4"/>
      <c r="F545" s="4" t="s">
        <v>23</v>
      </c>
    </row>
    <row r="546" customFormat="false" ht="28.35" hidden="false" customHeight="false" outlineLevel="0" collapsed="false">
      <c r="A546" s="4" t="n">
        <v>30</v>
      </c>
      <c r="B546" s="4" t="s">
        <v>1146</v>
      </c>
      <c r="C546" s="4" t="s">
        <v>428</v>
      </c>
      <c r="D546" s="4" t="s">
        <v>3465</v>
      </c>
      <c r="E546" s="4"/>
      <c r="F546" s="4" t="s">
        <v>28</v>
      </c>
    </row>
    <row r="547" customFormat="false" ht="28.35" hidden="false" customHeight="false" outlineLevel="0" collapsed="false">
      <c r="A547" s="4" t="n">
        <v>30</v>
      </c>
      <c r="B547" s="4" t="s">
        <v>1146</v>
      </c>
      <c r="C547" s="4" t="s">
        <v>429</v>
      </c>
      <c r="D547" s="4" t="s">
        <v>3466</v>
      </c>
      <c r="E547" s="4"/>
      <c r="F547" s="4" t="s">
        <v>35</v>
      </c>
    </row>
    <row r="548" customFormat="false" ht="28.35" hidden="false" customHeight="false" outlineLevel="0" collapsed="false">
      <c r="A548" s="4" t="n">
        <v>30</v>
      </c>
      <c r="B548" s="4" t="s">
        <v>1146</v>
      </c>
      <c r="C548" s="4" t="s">
        <v>431</v>
      </c>
      <c r="D548" s="4" t="s">
        <v>3468</v>
      </c>
      <c r="E548" s="4"/>
      <c r="F548" s="4" t="s">
        <v>484</v>
      </c>
    </row>
    <row r="549" customFormat="false" ht="28.35" hidden="false" customHeight="false" outlineLevel="0" collapsed="false">
      <c r="A549" s="4" t="n">
        <v>30</v>
      </c>
      <c r="B549" s="4" t="s">
        <v>1146</v>
      </c>
      <c r="C549" s="4" t="s">
        <v>432</v>
      </c>
      <c r="D549" s="4" t="s">
        <v>3469</v>
      </c>
      <c r="E549" s="4"/>
      <c r="F549" s="4" t="s">
        <v>524</v>
      </c>
    </row>
    <row r="550" customFormat="false" ht="28.35" hidden="false" customHeight="false" outlineLevel="0" collapsed="false">
      <c r="A550" s="4" t="n">
        <v>30</v>
      </c>
      <c r="B550" s="4" t="s">
        <v>1146</v>
      </c>
      <c r="C550" s="4" t="s">
        <v>433</v>
      </c>
      <c r="D550" s="4" t="s">
        <v>3470</v>
      </c>
      <c r="E550" s="4"/>
      <c r="F550" s="4" t="s">
        <v>1163</v>
      </c>
    </row>
    <row r="551" customFormat="false" ht="28.35" hidden="false" customHeight="false" outlineLevel="0" collapsed="false">
      <c r="A551" s="4" t="n">
        <v>30</v>
      </c>
      <c r="B551" s="4" t="s">
        <v>1146</v>
      </c>
      <c r="C551" s="4" t="s">
        <v>434</v>
      </c>
      <c r="D551" s="4" t="s">
        <v>3482</v>
      </c>
      <c r="E551" s="4"/>
      <c r="F551" s="4" t="s">
        <v>1164</v>
      </c>
    </row>
    <row r="552" customFormat="false" ht="28.35" hidden="false" customHeight="false" outlineLevel="0" collapsed="false">
      <c r="A552" s="4" t="n">
        <v>30</v>
      </c>
      <c r="B552" s="4" t="s">
        <v>1146</v>
      </c>
      <c r="C552" s="4" t="s">
        <v>436</v>
      </c>
      <c r="D552" s="4" t="s">
        <v>3471</v>
      </c>
      <c r="E552" s="4"/>
      <c r="F552" s="4" t="s">
        <v>1165</v>
      </c>
    </row>
    <row r="553" customFormat="false" ht="28.35" hidden="false" customHeight="false" outlineLevel="0" collapsed="false">
      <c r="A553" s="4" t="n">
        <v>30</v>
      </c>
      <c r="B553" s="4" t="s">
        <v>1146</v>
      </c>
      <c r="C553" s="4" t="s">
        <v>440</v>
      </c>
      <c r="D553" s="4" t="s">
        <v>3491</v>
      </c>
      <c r="E553" s="4"/>
      <c r="F553" s="4" t="n">
        <v>2211</v>
      </c>
    </row>
    <row r="554" customFormat="false" ht="28.35" hidden="false" customHeight="false" outlineLevel="0" collapsed="false">
      <c r="A554" s="4" t="n">
        <v>30</v>
      </c>
      <c r="B554" s="4" t="s">
        <v>1146</v>
      </c>
      <c r="C554" s="4" t="s">
        <v>441</v>
      </c>
      <c r="D554" s="4" t="s">
        <v>3492</v>
      </c>
      <c r="E554" s="4"/>
      <c r="F554" s="4" t="n">
        <v>1150</v>
      </c>
    </row>
    <row r="555" customFormat="false" ht="28.35" hidden="false" customHeight="false" outlineLevel="0" collapsed="false">
      <c r="A555" s="4" t="n">
        <v>30</v>
      </c>
      <c r="B555" s="4" t="s">
        <v>1146</v>
      </c>
      <c r="C555" s="4" t="s">
        <v>442</v>
      </c>
      <c r="D555" s="4" t="s">
        <v>3493</v>
      </c>
      <c r="E555" s="4"/>
      <c r="F555" s="4" t="n">
        <v>0</v>
      </c>
    </row>
    <row r="556" customFormat="false" ht="28.35" hidden="false" customHeight="false" outlineLevel="0" collapsed="false">
      <c r="A556" s="4" t="n">
        <v>30</v>
      </c>
      <c r="B556" s="4" t="s">
        <v>1146</v>
      </c>
      <c r="C556" s="4" t="s">
        <v>443</v>
      </c>
      <c r="D556" s="4" t="s">
        <v>3494</v>
      </c>
      <c r="E556" s="4"/>
      <c r="F556" s="4" t="n">
        <v>3361</v>
      </c>
    </row>
    <row r="557" customFormat="false" ht="68.65" hidden="false" customHeight="false" outlineLevel="0" collapsed="false">
      <c r="A557" s="4" t="n">
        <v>30</v>
      </c>
      <c r="B557" s="4" t="s">
        <v>1146</v>
      </c>
      <c r="C557" s="4" t="s">
        <v>447</v>
      </c>
      <c r="D557" s="4" t="s">
        <v>3498</v>
      </c>
      <c r="E557" s="4"/>
      <c r="F557" s="4" t="s">
        <v>1166</v>
      </c>
    </row>
    <row r="558" customFormat="false" ht="95.5" hidden="false" customHeight="false" outlineLevel="0" collapsed="false">
      <c r="A558" s="4" t="n">
        <v>30</v>
      </c>
      <c r="B558" s="4" t="s">
        <v>1146</v>
      </c>
      <c r="C558" s="4" t="s">
        <v>448</v>
      </c>
      <c r="D558" s="4" t="s">
        <v>3499</v>
      </c>
      <c r="E558" s="4"/>
      <c r="F558" s="4" t="s">
        <v>1167</v>
      </c>
    </row>
    <row r="559" customFormat="false" ht="28.35" hidden="false" customHeight="false" outlineLevel="0" collapsed="false">
      <c r="A559" s="4" t="n">
        <v>30</v>
      </c>
      <c r="B559" s="4" t="s">
        <v>1146</v>
      </c>
      <c r="C559" s="4" t="s">
        <v>449</v>
      </c>
      <c r="D559" s="4" t="s">
        <v>3500</v>
      </c>
      <c r="E559" s="4"/>
      <c r="F559" s="4" t="s">
        <v>1168</v>
      </c>
    </row>
    <row r="560" customFormat="false" ht="108.95" hidden="false" customHeight="false" outlineLevel="0" collapsed="false">
      <c r="A560" s="4" t="n">
        <v>30</v>
      </c>
      <c r="B560" s="4" t="s">
        <v>1146</v>
      </c>
      <c r="C560" s="4" t="s">
        <v>450</v>
      </c>
      <c r="D560" s="4" t="s">
        <v>3501</v>
      </c>
      <c r="E560" s="4"/>
      <c r="F560" s="4" t="s">
        <v>1169</v>
      </c>
    </row>
    <row r="561" customFormat="false" ht="41.75" hidden="false" customHeight="false" outlineLevel="0" collapsed="false">
      <c r="A561" s="4" t="n">
        <v>31</v>
      </c>
      <c r="B561" s="4" t="s">
        <v>258</v>
      </c>
      <c r="C561" s="4" t="s">
        <v>375</v>
      </c>
      <c r="D561" s="4" t="s">
        <v>3473</v>
      </c>
      <c r="E561" s="4" t="s">
        <v>579</v>
      </c>
      <c r="F561" s="4" t="s">
        <v>497</v>
      </c>
    </row>
    <row r="562" customFormat="false" ht="28.35" hidden="false" customHeight="false" outlineLevel="0" collapsed="false">
      <c r="A562" s="4" t="n">
        <v>31</v>
      </c>
      <c r="B562" s="4" t="s">
        <v>258</v>
      </c>
      <c r="C562" s="4" t="s">
        <v>427</v>
      </c>
      <c r="D562" s="4" t="s">
        <v>3464</v>
      </c>
      <c r="E562" s="4"/>
      <c r="F562" s="4" t="s">
        <v>23</v>
      </c>
    </row>
    <row r="563" customFormat="false" ht="28.35" hidden="false" customHeight="false" outlineLevel="0" collapsed="false">
      <c r="A563" s="4" t="n">
        <v>31</v>
      </c>
      <c r="B563" s="4" t="s">
        <v>258</v>
      </c>
      <c r="C563" s="4" t="s">
        <v>428</v>
      </c>
      <c r="D563" s="4" t="s">
        <v>3465</v>
      </c>
      <c r="E563" s="4"/>
      <c r="F563" s="4" t="s">
        <v>29</v>
      </c>
    </row>
    <row r="564" customFormat="false" ht="28.35" hidden="false" customHeight="false" outlineLevel="0" collapsed="false">
      <c r="A564" s="4" t="n">
        <v>31</v>
      </c>
      <c r="B564" s="4" t="s">
        <v>258</v>
      </c>
      <c r="C564" s="4" t="s">
        <v>429</v>
      </c>
      <c r="D564" s="4" t="s">
        <v>3466</v>
      </c>
      <c r="E564" s="4"/>
      <c r="F564" s="4" t="s">
        <v>36</v>
      </c>
    </row>
    <row r="565" customFormat="false" ht="41.75" hidden="false" customHeight="false" outlineLevel="0" collapsed="false">
      <c r="A565" s="4" t="n">
        <v>31</v>
      </c>
      <c r="B565" s="4" t="s">
        <v>258</v>
      </c>
      <c r="C565" s="4" t="s">
        <v>430</v>
      </c>
      <c r="D565" s="4" t="s">
        <v>3467</v>
      </c>
      <c r="E565" s="4"/>
      <c r="F565" s="4" t="s">
        <v>1189</v>
      </c>
    </row>
    <row r="566" customFormat="false" ht="28.35" hidden="false" customHeight="false" outlineLevel="0" collapsed="false">
      <c r="A566" s="4" t="n">
        <v>31</v>
      </c>
      <c r="B566" s="4" t="s">
        <v>258</v>
      </c>
      <c r="C566" s="4" t="s">
        <v>431</v>
      </c>
      <c r="D566" s="4" t="s">
        <v>3468</v>
      </c>
      <c r="E566" s="4"/>
      <c r="F566" s="4" t="s">
        <v>484</v>
      </c>
    </row>
    <row r="567" customFormat="false" ht="28.35" hidden="false" customHeight="false" outlineLevel="0" collapsed="false">
      <c r="A567" s="4" t="n">
        <v>31</v>
      </c>
      <c r="B567" s="4" t="s">
        <v>258</v>
      </c>
      <c r="C567" s="4" t="s">
        <v>432</v>
      </c>
      <c r="D567" s="4" t="s">
        <v>3469</v>
      </c>
      <c r="E567" s="4"/>
      <c r="F567" s="4" t="s">
        <v>524</v>
      </c>
    </row>
    <row r="568" customFormat="false" ht="41.75" hidden="false" customHeight="false" outlineLevel="0" collapsed="false">
      <c r="A568" s="4" t="n">
        <v>31</v>
      </c>
      <c r="B568" s="4" t="s">
        <v>258</v>
      </c>
      <c r="C568" s="4" t="s">
        <v>433</v>
      </c>
      <c r="D568" s="4" t="s">
        <v>3470</v>
      </c>
      <c r="E568" s="4"/>
      <c r="F568" s="4" t="s">
        <v>1190</v>
      </c>
    </row>
    <row r="569" customFormat="false" ht="28.35" hidden="false" customHeight="false" outlineLevel="0" collapsed="false">
      <c r="A569" s="4" t="n">
        <v>31</v>
      </c>
      <c r="B569" s="4" t="s">
        <v>258</v>
      </c>
      <c r="C569" s="4" t="s">
        <v>434</v>
      </c>
      <c r="D569" s="4" t="s">
        <v>3482</v>
      </c>
      <c r="E569" s="4"/>
      <c r="F569" s="4" t="s">
        <v>1191</v>
      </c>
    </row>
    <row r="570" customFormat="false" ht="28.35" hidden="false" customHeight="false" outlineLevel="0" collapsed="false">
      <c r="A570" s="4" t="n">
        <v>31</v>
      </c>
      <c r="B570" s="4" t="s">
        <v>258</v>
      </c>
      <c r="C570" s="4" t="s">
        <v>436</v>
      </c>
      <c r="D570" s="4" t="s">
        <v>3471</v>
      </c>
      <c r="E570" s="4"/>
      <c r="F570" s="4" t="s">
        <v>257</v>
      </c>
    </row>
    <row r="571" customFormat="false" ht="28.35" hidden="false" customHeight="false" outlineLevel="0" collapsed="false">
      <c r="A571" s="4" t="n">
        <v>31</v>
      </c>
      <c r="B571" s="4" t="s">
        <v>258</v>
      </c>
      <c r="C571" s="4" t="s">
        <v>437</v>
      </c>
      <c r="D571" s="4" t="s">
        <v>3472</v>
      </c>
      <c r="E571" s="4"/>
      <c r="F571" s="4" t="n">
        <v>6</v>
      </c>
    </row>
    <row r="572" customFormat="false" ht="41.75" hidden="false" customHeight="false" outlineLevel="0" collapsed="false">
      <c r="A572" s="4" t="n">
        <v>32</v>
      </c>
      <c r="B572" s="4" t="s">
        <v>1192</v>
      </c>
      <c r="C572" s="4" t="s">
        <v>375</v>
      </c>
      <c r="D572" s="4" t="s">
        <v>3473</v>
      </c>
      <c r="E572" s="4" t="s">
        <v>579</v>
      </c>
      <c r="F572" s="4" t="s">
        <v>497</v>
      </c>
    </row>
    <row r="573" customFormat="false" ht="149.25" hidden="false" customHeight="false" outlineLevel="0" collapsed="false">
      <c r="A573" s="4" t="n">
        <v>32</v>
      </c>
      <c r="B573" s="4" t="s">
        <v>1192</v>
      </c>
      <c r="C573" s="4" t="s">
        <v>380</v>
      </c>
      <c r="D573" s="4" t="s">
        <v>3474</v>
      </c>
      <c r="E573" s="4" t="s">
        <v>3569</v>
      </c>
      <c r="F573" s="4" t="s">
        <v>1197</v>
      </c>
    </row>
    <row r="574" customFormat="false" ht="15" hidden="false" customHeight="false" outlineLevel="0" collapsed="false">
      <c r="A574" s="4" t="n">
        <v>32</v>
      </c>
      <c r="B574" s="4" t="s">
        <v>1192</v>
      </c>
      <c r="C574" s="4" t="s">
        <v>387</v>
      </c>
      <c r="D574" s="4" t="s">
        <v>3476</v>
      </c>
      <c r="E574" s="4"/>
      <c r="F574" s="4" t="n">
        <v>270</v>
      </c>
    </row>
    <row r="575" customFormat="false" ht="15" hidden="false" customHeight="false" outlineLevel="0" collapsed="false">
      <c r="A575" s="4" t="n">
        <v>32</v>
      </c>
      <c r="B575" s="4" t="s">
        <v>1192</v>
      </c>
      <c r="C575" s="4" t="s">
        <v>388</v>
      </c>
      <c r="D575" s="4" t="s">
        <v>3477</v>
      </c>
      <c r="E575" s="4"/>
      <c r="F575" s="4" t="s">
        <v>1198</v>
      </c>
    </row>
    <row r="576" customFormat="false" ht="55.2" hidden="false" customHeight="false" outlineLevel="0" collapsed="false">
      <c r="A576" s="4" t="n">
        <v>32</v>
      </c>
      <c r="B576" s="4" t="s">
        <v>1192</v>
      </c>
      <c r="C576" s="4" t="s">
        <v>389</v>
      </c>
      <c r="D576" s="4" t="s">
        <v>3478</v>
      </c>
      <c r="E576" s="4" t="s">
        <v>472</v>
      </c>
      <c r="F576" s="4" t="s">
        <v>1199</v>
      </c>
    </row>
    <row r="577" customFormat="false" ht="28.35" hidden="false" customHeight="false" outlineLevel="0" collapsed="false">
      <c r="A577" s="4" t="n">
        <v>32</v>
      </c>
      <c r="B577" s="4" t="s">
        <v>1192</v>
      </c>
      <c r="C577" s="4" t="s">
        <v>390</v>
      </c>
      <c r="D577" s="4" t="s">
        <v>3479</v>
      </c>
      <c r="E577" s="4" t="s">
        <v>473</v>
      </c>
      <c r="F577" s="4" t="s">
        <v>503</v>
      </c>
    </row>
    <row r="578" customFormat="false" ht="28.35" hidden="false" customHeight="false" outlineLevel="0" collapsed="false">
      <c r="A578" s="4" t="n">
        <v>32</v>
      </c>
      <c r="B578" s="4" t="s">
        <v>1192</v>
      </c>
      <c r="C578" s="4" t="s">
        <v>391</v>
      </c>
      <c r="D578" s="4" t="s">
        <v>3480</v>
      </c>
      <c r="E578" s="4"/>
      <c r="F578" s="4" t="s">
        <v>1200</v>
      </c>
    </row>
    <row r="579" customFormat="false" ht="41.75" hidden="false" customHeight="false" outlineLevel="0" collapsed="false">
      <c r="A579" s="4" t="n">
        <v>32</v>
      </c>
      <c r="B579" s="4" t="s">
        <v>1192</v>
      </c>
      <c r="C579" s="4" t="s">
        <v>403</v>
      </c>
      <c r="D579" s="4" t="s">
        <v>3481</v>
      </c>
      <c r="E579" s="4" t="s">
        <v>1032</v>
      </c>
      <c r="F579" s="4" t="s">
        <v>1201</v>
      </c>
    </row>
    <row r="580" customFormat="false" ht="41.75" hidden="false" customHeight="false" outlineLevel="0" collapsed="false">
      <c r="A580" s="4" t="n">
        <v>32</v>
      </c>
      <c r="B580" s="4" t="s">
        <v>1192</v>
      </c>
      <c r="C580" s="4" t="s">
        <v>407</v>
      </c>
      <c r="D580" s="4" t="s">
        <v>3485</v>
      </c>
      <c r="E580" s="4"/>
      <c r="F580" s="4" t="s">
        <v>1202</v>
      </c>
    </row>
    <row r="581" customFormat="false" ht="15" hidden="false" customHeight="false" outlineLevel="0" collapsed="false">
      <c r="A581" s="4" t="n">
        <v>32</v>
      </c>
      <c r="B581" s="4" t="s">
        <v>1192</v>
      </c>
      <c r="C581" s="4" t="s">
        <v>427</v>
      </c>
      <c r="D581" s="4" t="s">
        <v>3464</v>
      </c>
      <c r="E581" s="4"/>
      <c r="F581" s="4" t="s">
        <v>23</v>
      </c>
    </row>
    <row r="582" customFormat="false" ht="15" hidden="false" customHeight="false" outlineLevel="0" collapsed="false">
      <c r="A582" s="4" t="n">
        <v>32</v>
      </c>
      <c r="B582" s="4" t="s">
        <v>1192</v>
      </c>
      <c r="C582" s="4" t="s">
        <v>428</v>
      </c>
      <c r="D582" s="4" t="s">
        <v>3465</v>
      </c>
      <c r="E582" s="4"/>
      <c r="F582" s="4" t="s">
        <v>28</v>
      </c>
    </row>
    <row r="583" customFormat="false" ht="15" hidden="false" customHeight="false" outlineLevel="0" collapsed="false">
      <c r="A583" s="4" t="n">
        <v>32</v>
      </c>
      <c r="B583" s="4" t="s">
        <v>1192</v>
      </c>
      <c r="C583" s="4" t="s">
        <v>429</v>
      </c>
      <c r="D583" s="4" t="s">
        <v>3466</v>
      </c>
      <c r="E583" s="4"/>
      <c r="F583" s="4" t="s">
        <v>34</v>
      </c>
    </row>
    <row r="584" customFormat="false" ht="15" hidden="false" customHeight="false" outlineLevel="0" collapsed="false">
      <c r="A584" s="4" t="n">
        <v>32</v>
      </c>
      <c r="B584" s="4" t="s">
        <v>1192</v>
      </c>
      <c r="C584" s="4" t="s">
        <v>431</v>
      </c>
      <c r="D584" s="4" t="s">
        <v>3468</v>
      </c>
      <c r="E584" s="4"/>
      <c r="F584" s="4" t="s">
        <v>484</v>
      </c>
    </row>
    <row r="585" customFormat="false" ht="15" hidden="false" customHeight="false" outlineLevel="0" collapsed="false">
      <c r="A585" s="4" t="n">
        <v>32</v>
      </c>
      <c r="B585" s="4" t="s">
        <v>1192</v>
      </c>
      <c r="C585" s="4" t="s">
        <v>432</v>
      </c>
      <c r="D585" s="4" t="s">
        <v>3469</v>
      </c>
      <c r="E585" s="4"/>
      <c r="F585" s="4" t="s">
        <v>524</v>
      </c>
    </row>
    <row r="586" customFormat="false" ht="15" hidden="false" customHeight="false" outlineLevel="0" collapsed="false">
      <c r="A586" s="4" t="n">
        <v>32</v>
      </c>
      <c r="B586" s="4" t="s">
        <v>1192</v>
      </c>
      <c r="C586" s="4" t="s">
        <v>433</v>
      </c>
      <c r="D586" s="4" t="s">
        <v>3470</v>
      </c>
      <c r="E586" s="4"/>
      <c r="F586" s="4" t="s">
        <v>1207</v>
      </c>
    </row>
    <row r="587" customFormat="false" ht="15" hidden="false" customHeight="false" outlineLevel="0" collapsed="false">
      <c r="A587" s="4" t="n">
        <v>32</v>
      </c>
      <c r="B587" s="4" t="s">
        <v>1192</v>
      </c>
      <c r="C587" s="4" t="s">
        <v>434</v>
      </c>
      <c r="D587" s="4" t="s">
        <v>3482</v>
      </c>
      <c r="E587" s="4"/>
      <c r="F587" s="4" t="s">
        <v>1208</v>
      </c>
    </row>
    <row r="588" customFormat="false" ht="15" hidden="false" customHeight="false" outlineLevel="0" collapsed="false">
      <c r="A588" s="4" t="n">
        <v>32</v>
      </c>
      <c r="B588" s="4" t="s">
        <v>1192</v>
      </c>
      <c r="C588" s="4" t="s">
        <v>436</v>
      </c>
      <c r="D588" s="4" t="s">
        <v>3471</v>
      </c>
      <c r="E588" s="4"/>
      <c r="F588" s="4" t="s">
        <v>1209</v>
      </c>
    </row>
    <row r="589" customFormat="false" ht="41.75" hidden="false" customHeight="false" outlineLevel="0" collapsed="false">
      <c r="A589" s="4" t="n">
        <v>33</v>
      </c>
      <c r="B589" s="4" t="s">
        <v>1210</v>
      </c>
      <c r="C589" s="4" t="s">
        <v>375</v>
      </c>
      <c r="D589" s="4" t="s">
        <v>3473</v>
      </c>
      <c r="E589" s="4" t="s">
        <v>579</v>
      </c>
      <c r="F589" s="4" t="s">
        <v>497</v>
      </c>
    </row>
    <row r="590" customFormat="false" ht="122.35" hidden="false" customHeight="false" outlineLevel="0" collapsed="false">
      <c r="A590" s="4" t="n">
        <v>33</v>
      </c>
      <c r="B590" s="4" t="s">
        <v>1210</v>
      </c>
      <c r="C590" s="4" t="s">
        <v>380</v>
      </c>
      <c r="D590" s="4" t="s">
        <v>3474</v>
      </c>
      <c r="E590" s="4" t="s">
        <v>3570</v>
      </c>
      <c r="F590" s="4" t="s">
        <v>1216</v>
      </c>
    </row>
    <row r="591" customFormat="false" ht="28.35" hidden="false" customHeight="false" outlineLevel="0" collapsed="false">
      <c r="A591" s="4" t="n">
        <v>33</v>
      </c>
      <c r="B591" s="4" t="s">
        <v>1210</v>
      </c>
      <c r="C591" s="4" t="s">
        <v>387</v>
      </c>
      <c r="D591" s="4" t="s">
        <v>3476</v>
      </c>
      <c r="E591" s="4"/>
      <c r="F591" s="4" t="n">
        <v>17130</v>
      </c>
    </row>
    <row r="592" customFormat="false" ht="28.35" hidden="false" customHeight="false" outlineLevel="0" collapsed="false">
      <c r="A592" s="4" t="n">
        <v>33</v>
      </c>
      <c r="B592" s="4" t="s">
        <v>1210</v>
      </c>
      <c r="C592" s="4" t="s">
        <v>388</v>
      </c>
      <c r="D592" s="4" t="s">
        <v>3477</v>
      </c>
      <c r="E592" s="4"/>
      <c r="F592" s="4" t="s">
        <v>501</v>
      </c>
    </row>
    <row r="593" customFormat="false" ht="68.65" hidden="false" customHeight="false" outlineLevel="0" collapsed="false">
      <c r="A593" s="4" t="n">
        <v>33</v>
      </c>
      <c r="B593" s="4" t="s">
        <v>1210</v>
      </c>
      <c r="C593" s="4" t="s">
        <v>389</v>
      </c>
      <c r="D593" s="4" t="s">
        <v>3478</v>
      </c>
      <c r="E593" s="4" t="s">
        <v>472</v>
      </c>
      <c r="F593" s="4" t="s">
        <v>1217</v>
      </c>
    </row>
    <row r="594" customFormat="false" ht="28.35" hidden="false" customHeight="false" outlineLevel="0" collapsed="false">
      <c r="A594" s="4" t="n">
        <v>33</v>
      </c>
      <c r="B594" s="4" t="s">
        <v>1210</v>
      </c>
      <c r="C594" s="4" t="s">
        <v>390</v>
      </c>
      <c r="D594" s="4" t="s">
        <v>3479</v>
      </c>
      <c r="E594" s="4" t="s">
        <v>473</v>
      </c>
      <c r="F594" s="4" t="s">
        <v>503</v>
      </c>
    </row>
    <row r="595" customFormat="false" ht="41.75" hidden="false" customHeight="false" outlineLevel="0" collapsed="false">
      <c r="A595" s="4" t="n">
        <v>33</v>
      </c>
      <c r="B595" s="4" t="s">
        <v>1210</v>
      </c>
      <c r="C595" s="4" t="s">
        <v>391</v>
      </c>
      <c r="D595" s="4" t="s">
        <v>3480</v>
      </c>
      <c r="E595" s="4"/>
      <c r="F595" s="4" t="s">
        <v>504</v>
      </c>
    </row>
    <row r="596" customFormat="false" ht="41.75" hidden="false" customHeight="false" outlineLevel="0" collapsed="false">
      <c r="A596" s="4" t="n">
        <v>33</v>
      </c>
      <c r="B596" s="4" t="s">
        <v>1210</v>
      </c>
      <c r="C596" s="4" t="s">
        <v>403</v>
      </c>
      <c r="D596" s="4" t="s">
        <v>3481</v>
      </c>
      <c r="E596" s="4" t="s">
        <v>1032</v>
      </c>
      <c r="F596" s="4" t="s">
        <v>511</v>
      </c>
    </row>
    <row r="597" customFormat="false" ht="28.35" hidden="false" customHeight="false" outlineLevel="0" collapsed="false">
      <c r="A597" s="4" t="n">
        <v>33</v>
      </c>
      <c r="B597" s="4" t="s">
        <v>1210</v>
      </c>
      <c r="C597" s="4" t="s">
        <v>427</v>
      </c>
      <c r="D597" s="4" t="s">
        <v>3464</v>
      </c>
      <c r="E597" s="4"/>
      <c r="F597" s="4" t="s">
        <v>23</v>
      </c>
    </row>
    <row r="598" customFormat="false" ht="28.35" hidden="false" customHeight="false" outlineLevel="0" collapsed="false">
      <c r="A598" s="4" t="n">
        <v>33</v>
      </c>
      <c r="B598" s="4" t="s">
        <v>1210</v>
      </c>
      <c r="C598" s="4" t="s">
        <v>428</v>
      </c>
      <c r="D598" s="4" t="s">
        <v>3465</v>
      </c>
      <c r="E598" s="4"/>
      <c r="F598" s="4" t="s">
        <v>28</v>
      </c>
    </row>
    <row r="599" customFormat="false" ht="28.35" hidden="false" customHeight="false" outlineLevel="0" collapsed="false">
      <c r="A599" s="4" t="n">
        <v>33</v>
      </c>
      <c r="B599" s="4" t="s">
        <v>1210</v>
      </c>
      <c r="C599" s="4" t="s">
        <v>429</v>
      </c>
      <c r="D599" s="4" t="s">
        <v>3466</v>
      </c>
      <c r="E599" s="4"/>
      <c r="F599" s="4" t="s">
        <v>34</v>
      </c>
    </row>
    <row r="600" customFormat="false" ht="28.35" hidden="false" customHeight="false" outlineLevel="0" collapsed="false">
      <c r="A600" s="4" t="n">
        <v>33</v>
      </c>
      <c r="B600" s="4" t="s">
        <v>1210</v>
      </c>
      <c r="C600" s="4" t="s">
        <v>431</v>
      </c>
      <c r="D600" s="4" t="s">
        <v>3468</v>
      </c>
      <c r="E600" s="4"/>
      <c r="F600" s="4" t="s">
        <v>484</v>
      </c>
    </row>
    <row r="601" customFormat="false" ht="28.35" hidden="false" customHeight="false" outlineLevel="0" collapsed="false">
      <c r="A601" s="4" t="n">
        <v>33</v>
      </c>
      <c r="B601" s="4" t="s">
        <v>1210</v>
      </c>
      <c r="C601" s="4" t="s">
        <v>432</v>
      </c>
      <c r="D601" s="4" t="s">
        <v>3469</v>
      </c>
      <c r="E601" s="4"/>
      <c r="F601" s="4" t="s">
        <v>524</v>
      </c>
    </row>
    <row r="602" customFormat="false" ht="28.35" hidden="false" customHeight="false" outlineLevel="0" collapsed="false">
      <c r="A602" s="4" t="n">
        <v>33</v>
      </c>
      <c r="B602" s="4" t="s">
        <v>1210</v>
      </c>
      <c r="C602" s="4" t="s">
        <v>433</v>
      </c>
      <c r="D602" s="4" t="s">
        <v>3470</v>
      </c>
      <c r="E602" s="4"/>
      <c r="F602" s="4" t="s">
        <v>1223</v>
      </c>
    </row>
    <row r="603" customFormat="false" ht="28.35" hidden="false" customHeight="false" outlineLevel="0" collapsed="false">
      <c r="A603" s="4" t="n">
        <v>33</v>
      </c>
      <c r="B603" s="4" t="s">
        <v>1210</v>
      </c>
      <c r="C603" s="4" t="s">
        <v>434</v>
      </c>
      <c r="D603" s="4" t="s">
        <v>3482</v>
      </c>
      <c r="E603" s="4"/>
      <c r="F603" s="4" t="s">
        <v>1208</v>
      </c>
    </row>
    <row r="604" customFormat="false" ht="28.35" hidden="false" customHeight="false" outlineLevel="0" collapsed="false">
      <c r="A604" s="4" t="n">
        <v>33</v>
      </c>
      <c r="B604" s="4" t="s">
        <v>1210</v>
      </c>
      <c r="C604" s="4" t="s">
        <v>436</v>
      </c>
      <c r="D604" s="4" t="s">
        <v>3471</v>
      </c>
      <c r="E604" s="4"/>
      <c r="F604" s="4" t="s">
        <v>1224</v>
      </c>
    </row>
    <row r="605" customFormat="false" ht="28.35" hidden="false" customHeight="false" outlineLevel="0" collapsed="false">
      <c r="A605" s="4" t="n">
        <v>33</v>
      </c>
      <c r="B605" s="4" t="s">
        <v>1210</v>
      </c>
      <c r="C605" s="4" t="s">
        <v>440</v>
      </c>
      <c r="D605" s="4" t="s">
        <v>3491</v>
      </c>
      <c r="E605" s="4"/>
      <c r="F605" s="4" t="n">
        <v>15216</v>
      </c>
    </row>
    <row r="606" customFormat="false" ht="28.35" hidden="false" customHeight="false" outlineLevel="0" collapsed="false">
      <c r="A606" s="4" t="n">
        <v>33</v>
      </c>
      <c r="B606" s="4" t="s">
        <v>1210</v>
      </c>
      <c r="C606" s="4" t="s">
        <v>441</v>
      </c>
      <c r="D606" s="4" t="s">
        <v>3492</v>
      </c>
      <c r="E606" s="4"/>
      <c r="F606" s="4" t="n">
        <v>1139</v>
      </c>
    </row>
    <row r="607" customFormat="false" ht="28.35" hidden="false" customHeight="false" outlineLevel="0" collapsed="false">
      <c r="A607" s="4" t="n">
        <v>33</v>
      </c>
      <c r="B607" s="4" t="s">
        <v>1210</v>
      </c>
      <c r="C607" s="4" t="s">
        <v>442</v>
      </c>
      <c r="D607" s="4" t="s">
        <v>3493</v>
      </c>
      <c r="E607" s="4"/>
      <c r="F607" s="4" t="n">
        <v>1116</v>
      </c>
    </row>
    <row r="608" customFormat="false" ht="28.35" hidden="false" customHeight="false" outlineLevel="0" collapsed="false">
      <c r="A608" s="4" t="n">
        <v>33</v>
      </c>
      <c r="B608" s="4" t="s">
        <v>1210</v>
      </c>
      <c r="C608" s="4" t="s">
        <v>443</v>
      </c>
      <c r="D608" s="4" t="s">
        <v>3494</v>
      </c>
      <c r="E608" s="4"/>
      <c r="F608" s="4" t="n">
        <v>17471</v>
      </c>
    </row>
    <row r="609" customFormat="false" ht="41.75" hidden="false" customHeight="false" outlineLevel="0" collapsed="false">
      <c r="A609" s="4" t="n">
        <v>33</v>
      </c>
      <c r="B609" s="4" t="s">
        <v>1210</v>
      </c>
      <c r="C609" s="4" t="s">
        <v>447</v>
      </c>
      <c r="D609" s="4" t="s">
        <v>3498</v>
      </c>
      <c r="E609" s="4"/>
      <c r="F609" s="4" t="s">
        <v>1225</v>
      </c>
    </row>
    <row r="610" customFormat="false" ht="162.65" hidden="false" customHeight="false" outlineLevel="0" collapsed="false">
      <c r="A610" s="4" t="n">
        <v>33</v>
      </c>
      <c r="B610" s="4" t="s">
        <v>1210</v>
      </c>
      <c r="C610" s="4" t="s">
        <v>448</v>
      </c>
      <c r="D610" s="4" t="s">
        <v>3499</v>
      </c>
      <c r="E610" s="4"/>
      <c r="F610" s="4" t="s">
        <v>1226</v>
      </c>
    </row>
    <row r="611" customFormat="false" ht="28.35" hidden="false" customHeight="false" outlineLevel="0" collapsed="false">
      <c r="A611" s="4" t="n">
        <v>33</v>
      </c>
      <c r="B611" s="4" t="s">
        <v>1210</v>
      </c>
      <c r="C611" s="4" t="s">
        <v>449</v>
      </c>
      <c r="D611" s="4" t="s">
        <v>3500</v>
      </c>
      <c r="E611" s="4"/>
      <c r="F611" s="4" t="s">
        <v>1227</v>
      </c>
    </row>
    <row r="612" customFormat="false" ht="605.95" hidden="false" customHeight="false" outlineLevel="0" collapsed="false">
      <c r="A612" s="4" t="n">
        <v>33</v>
      </c>
      <c r="B612" s="4" t="s">
        <v>1210</v>
      </c>
      <c r="C612" s="4" t="s">
        <v>450</v>
      </c>
      <c r="D612" s="4" t="s">
        <v>3501</v>
      </c>
      <c r="E612" s="4"/>
      <c r="F612" s="4" t="s">
        <v>1228</v>
      </c>
    </row>
    <row r="613" customFormat="false" ht="41.75" hidden="false" customHeight="false" outlineLevel="0" collapsed="false">
      <c r="A613" s="4" t="n">
        <v>34</v>
      </c>
      <c r="B613" s="4" t="s">
        <v>1229</v>
      </c>
      <c r="C613" s="4" t="s">
        <v>375</v>
      </c>
      <c r="D613" s="4" t="s">
        <v>3473</v>
      </c>
      <c r="E613" s="4" t="s">
        <v>579</v>
      </c>
      <c r="F613" s="4" t="s">
        <v>497</v>
      </c>
    </row>
    <row r="614" customFormat="false" ht="122.35" hidden="false" customHeight="false" outlineLevel="0" collapsed="false">
      <c r="A614" s="4" t="n">
        <v>34</v>
      </c>
      <c r="B614" s="4" t="s">
        <v>1229</v>
      </c>
      <c r="C614" s="4" t="s">
        <v>380</v>
      </c>
      <c r="D614" s="4" t="s">
        <v>3474</v>
      </c>
      <c r="E614" s="4" t="s">
        <v>3571</v>
      </c>
      <c r="F614" s="4" t="s">
        <v>1233</v>
      </c>
    </row>
    <row r="615" customFormat="false" ht="15" hidden="false" customHeight="false" outlineLevel="0" collapsed="false">
      <c r="A615" s="4" t="n">
        <v>34</v>
      </c>
      <c r="B615" s="4" t="s">
        <v>1229</v>
      </c>
      <c r="C615" s="4" t="s">
        <v>387</v>
      </c>
      <c r="D615" s="4" t="s">
        <v>3476</v>
      </c>
      <c r="E615" s="4"/>
      <c r="F615" s="4" t="n">
        <v>1058</v>
      </c>
    </row>
    <row r="616" customFormat="false" ht="15" hidden="false" customHeight="false" outlineLevel="0" collapsed="false">
      <c r="A616" s="4" t="n">
        <v>34</v>
      </c>
      <c r="B616" s="4" t="s">
        <v>1229</v>
      </c>
      <c r="C616" s="4" t="s">
        <v>388</v>
      </c>
      <c r="D616" s="4" t="s">
        <v>3477</v>
      </c>
      <c r="E616" s="4"/>
      <c r="F616" s="4" t="s">
        <v>501</v>
      </c>
    </row>
    <row r="617" customFormat="false" ht="68.65" hidden="false" customHeight="false" outlineLevel="0" collapsed="false">
      <c r="A617" s="4" t="n">
        <v>34</v>
      </c>
      <c r="B617" s="4" t="s">
        <v>1229</v>
      </c>
      <c r="C617" s="4" t="s">
        <v>389</v>
      </c>
      <c r="D617" s="4" t="s">
        <v>3478</v>
      </c>
      <c r="E617" s="4" t="s">
        <v>472</v>
      </c>
      <c r="F617" s="4" t="s">
        <v>1234</v>
      </c>
    </row>
    <row r="618" customFormat="false" ht="28.35" hidden="false" customHeight="false" outlineLevel="0" collapsed="false">
      <c r="A618" s="4" t="n">
        <v>34</v>
      </c>
      <c r="B618" s="4" t="s">
        <v>1229</v>
      </c>
      <c r="C618" s="4" t="s">
        <v>390</v>
      </c>
      <c r="D618" s="4" t="s">
        <v>3479</v>
      </c>
      <c r="E618" s="4" t="s">
        <v>473</v>
      </c>
      <c r="F618" s="4" t="s">
        <v>503</v>
      </c>
    </row>
    <row r="619" customFormat="false" ht="41.75" hidden="false" customHeight="false" outlineLevel="0" collapsed="false">
      <c r="A619" s="4" t="n">
        <v>34</v>
      </c>
      <c r="B619" s="4" t="s">
        <v>1229</v>
      </c>
      <c r="C619" s="4" t="s">
        <v>391</v>
      </c>
      <c r="D619" s="4" t="s">
        <v>3480</v>
      </c>
      <c r="E619" s="4"/>
      <c r="F619" s="4" t="s">
        <v>504</v>
      </c>
    </row>
    <row r="620" customFormat="false" ht="41.75" hidden="false" customHeight="false" outlineLevel="0" collapsed="false">
      <c r="A620" s="4" t="n">
        <v>34</v>
      </c>
      <c r="B620" s="4" t="s">
        <v>1229</v>
      </c>
      <c r="C620" s="4" t="s">
        <v>403</v>
      </c>
      <c r="D620" s="4" t="s">
        <v>3481</v>
      </c>
      <c r="E620" s="4" t="s">
        <v>1032</v>
      </c>
      <c r="F620" s="4" t="s">
        <v>511</v>
      </c>
    </row>
    <row r="621" customFormat="false" ht="68.65" hidden="false" customHeight="false" outlineLevel="0" collapsed="false">
      <c r="A621" s="4" t="n">
        <v>34</v>
      </c>
      <c r="B621" s="4" t="s">
        <v>1229</v>
      </c>
      <c r="C621" s="4" t="s">
        <v>407</v>
      </c>
      <c r="D621" s="4" t="s">
        <v>3485</v>
      </c>
      <c r="E621" s="4" t="s">
        <v>3572</v>
      </c>
      <c r="F621" s="4" t="s">
        <v>1235</v>
      </c>
    </row>
    <row r="622" customFormat="false" ht="15" hidden="false" customHeight="false" outlineLevel="0" collapsed="false">
      <c r="A622" s="4" t="n">
        <v>34</v>
      </c>
      <c r="B622" s="4" t="s">
        <v>1229</v>
      </c>
      <c r="C622" s="4" t="s">
        <v>427</v>
      </c>
      <c r="D622" s="4" t="s">
        <v>3464</v>
      </c>
      <c r="E622" s="4"/>
      <c r="F622" s="4" t="s">
        <v>23</v>
      </c>
    </row>
    <row r="623" customFormat="false" ht="15" hidden="false" customHeight="false" outlineLevel="0" collapsed="false">
      <c r="A623" s="4" t="n">
        <v>34</v>
      </c>
      <c r="B623" s="4" t="s">
        <v>1229</v>
      </c>
      <c r="C623" s="4" t="s">
        <v>428</v>
      </c>
      <c r="D623" s="4" t="s">
        <v>3465</v>
      </c>
      <c r="E623" s="4"/>
      <c r="F623" s="4" t="s">
        <v>28</v>
      </c>
    </row>
    <row r="624" customFormat="false" ht="15" hidden="false" customHeight="false" outlineLevel="0" collapsed="false">
      <c r="A624" s="4" t="n">
        <v>34</v>
      </c>
      <c r="B624" s="4" t="s">
        <v>1229</v>
      </c>
      <c r="C624" s="4" t="s">
        <v>429</v>
      </c>
      <c r="D624" s="4" t="s">
        <v>3466</v>
      </c>
      <c r="E624" s="4"/>
      <c r="F624" s="4" t="s">
        <v>34</v>
      </c>
    </row>
    <row r="625" customFormat="false" ht="15" hidden="false" customHeight="false" outlineLevel="0" collapsed="false">
      <c r="A625" s="4" t="n">
        <v>34</v>
      </c>
      <c r="B625" s="4" t="s">
        <v>1229</v>
      </c>
      <c r="C625" s="4" t="s">
        <v>431</v>
      </c>
      <c r="D625" s="4" t="s">
        <v>3468</v>
      </c>
      <c r="E625" s="4"/>
      <c r="F625" s="4" t="s">
        <v>484</v>
      </c>
    </row>
    <row r="626" customFormat="false" ht="15" hidden="false" customHeight="false" outlineLevel="0" collapsed="false">
      <c r="A626" s="4" t="n">
        <v>34</v>
      </c>
      <c r="B626" s="4" t="s">
        <v>1229</v>
      </c>
      <c r="C626" s="4" t="s">
        <v>432</v>
      </c>
      <c r="D626" s="4" t="s">
        <v>3469</v>
      </c>
      <c r="E626" s="4"/>
      <c r="F626" s="4" t="s">
        <v>524</v>
      </c>
    </row>
    <row r="627" customFormat="false" ht="15" hidden="false" customHeight="false" outlineLevel="0" collapsed="false">
      <c r="A627" s="4" t="n">
        <v>34</v>
      </c>
      <c r="B627" s="4" t="s">
        <v>1229</v>
      </c>
      <c r="C627" s="4" t="s">
        <v>433</v>
      </c>
      <c r="D627" s="4" t="s">
        <v>3470</v>
      </c>
      <c r="E627" s="4"/>
      <c r="F627" s="4" t="s">
        <v>1243</v>
      </c>
    </row>
    <row r="628" customFormat="false" ht="15" hidden="false" customHeight="false" outlineLevel="0" collapsed="false">
      <c r="A628" s="4" t="n">
        <v>34</v>
      </c>
      <c r="B628" s="4" t="s">
        <v>1229</v>
      </c>
      <c r="C628" s="4" t="s">
        <v>434</v>
      </c>
      <c r="D628" s="4" t="s">
        <v>3482</v>
      </c>
      <c r="E628" s="4"/>
      <c r="F628" s="4" t="s">
        <v>1208</v>
      </c>
    </row>
    <row r="629" customFormat="false" ht="15" hidden="false" customHeight="false" outlineLevel="0" collapsed="false">
      <c r="A629" s="4" t="n">
        <v>34</v>
      </c>
      <c r="B629" s="4" t="s">
        <v>1229</v>
      </c>
      <c r="C629" s="4" t="s">
        <v>436</v>
      </c>
      <c r="D629" s="4" t="s">
        <v>3471</v>
      </c>
      <c r="E629" s="4"/>
      <c r="F629" s="4" t="s">
        <v>1244</v>
      </c>
    </row>
    <row r="630" customFormat="false" ht="41.75" hidden="false" customHeight="false" outlineLevel="0" collapsed="false">
      <c r="A630" s="4" t="n">
        <v>34</v>
      </c>
      <c r="B630" s="4" t="s">
        <v>1229</v>
      </c>
      <c r="C630" s="4" t="s">
        <v>449</v>
      </c>
      <c r="D630" s="4" t="s">
        <v>3500</v>
      </c>
      <c r="E630" s="4"/>
      <c r="F630" s="4" t="s">
        <v>1245</v>
      </c>
    </row>
    <row r="631" customFormat="false" ht="202.95" hidden="false" customHeight="false" outlineLevel="0" collapsed="false">
      <c r="A631" s="4" t="n">
        <v>34</v>
      </c>
      <c r="B631" s="4" t="s">
        <v>1229</v>
      </c>
      <c r="C631" s="4" t="s">
        <v>450</v>
      </c>
      <c r="D631" s="4" t="s">
        <v>3501</v>
      </c>
      <c r="E631" s="4"/>
      <c r="F631" s="4" t="s">
        <v>1246</v>
      </c>
    </row>
    <row r="632" customFormat="false" ht="41.75" hidden="false" customHeight="false" outlineLevel="0" collapsed="false">
      <c r="A632" s="4" t="n">
        <v>35</v>
      </c>
      <c r="B632" s="4" t="s">
        <v>1247</v>
      </c>
      <c r="C632" s="4" t="s">
        <v>375</v>
      </c>
      <c r="D632" s="4" t="s">
        <v>3473</v>
      </c>
      <c r="E632" s="4" t="s">
        <v>579</v>
      </c>
      <c r="F632" s="4" t="s">
        <v>497</v>
      </c>
    </row>
    <row r="633" customFormat="false" ht="135.8" hidden="false" customHeight="false" outlineLevel="0" collapsed="false">
      <c r="A633" s="4" t="n">
        <v>35</v>
      </c>
      <c r="B633" s="4" t="s">
        <v>1247</v>
      </c>
      <c r="C633" s="4" t="s">
        <v>380</v>
      </c>
      <c r="D633" s="4" t="s">
        <v>3474</v>
      </c>
      <c r="E633" s="4" t="s">
        <v>3573</v>
      </c>
      <c r="F633" s="4" t="s">
        <v>1252</v>
      </c>
    </row>
    <row r="634" customFormat="false" ht="41.75" hidden="false" customHeight="false" outlineLevel="0" collapsed="false">
      <c r="A634" s="4" t="n">
        <v>35</v>
      </c>
      <c r="B634" s="4" t="s">
        <v>1247</v>
      </c>
      <c r="C634" s="4" t="s">
        <v>387</v>
      </c>
      <c r="D634" s="4" t="s">
        <v>3476</v>
      </c>
      <c r="E634" s="4"/>
      <c r="F634" s="4" t="n">
        <v>629</v>
      </c>
    </row>
    <row r="635" customFormat="false" ht="41.75" hidden="false" customHeight="false" outlineLevel="0" collapsed="false">
      <c r="A635" s="4" t="n">
        <v>35</v>
      </c>
      <c r="B635" s="4" t="s">
        <v>1247</v>
      </c>
      <c r="C635" s="4" t="s">
        <v>388</v>
      </c>
      <c r="D635" s="4" t="s">
        <v>3477</v>
      </c>
      <c r="E635" s="4"/>
      <c r="F635" s="4" t="s">
        <v>501</v>
      </c>
    </row>
    <row r="636" customFormat="false" ht="68.65" hidden="false" customHeight="false" outlineLevel="0" collapsed="false">
      <c r="A636" s="4" t="n">
        <v>35</v>
      </c>
      <c r="B636" s="4" t="s">
        <v>1247</v>
      </c>
      <c r="C636" s="4" t="s">
        <v>389</v>
      </c>
      <c r="D636" s="4" t="s">
        <v>3478</v>
      </c>
      <c r="E636" s="4" t="s">
        <v>472</v>
      </c>
      <c r="F636" s="4" t="s">
        <v>1253</v>
      </c>
    </row>
    <row r="637" customFormat="false" ht="41.75" hidden="false" customHeight="false" outlineLevel="0" collapsed="false">
      <c r="A637" s="4" t="n">
        <v>35</v>
      </c>
      <c r="B637" s="4" t="s">
        <v>1247</v>
      </c>
      <c r="C637" s="4" t="s">
        <v>390</v>
      </c>
      <c r="D637" s="4" t="s">
        <v>3479</v>
      </c>
      <c r="E637" s="4" t="s">
        <v>473</v>
      </c>
      <c r="F637" s="4" t="s">
        <v>503</v>
      </c>
    </row>
    <row r="638" customFormat="false" ht="41.75" hidden="false" customHeight="false" outlineLevel="0" collapsed="false">
      <c r="A638" s="4" t="n">
        <v>35</v>
      </c>
      <c r="B638" s="4" t="s">
        <v>1247</v>
      </c>
      <c r="C638" s="4" t="s">
        <v>391</v>
      </c>
      <c r="D638" s="4" t="s">
        <v>3480</v>
      </c>
      <c r="E638" s="4"/>
      <c r="F638" s="4" t="s">
        <v>504</v>
      </c>
    </row>
    <row r="639" customFormat="false" ht="41.75" hidden="false" customHeight="false" outlineLevel="0" collapsed="false">
      <c r="A639" s="4" t="n">
        <v>35</v>
      </c>
      <c r="B639" s="4" t="s">
        <v>1247</v>
      </c>
      <c r="C639" s="4" t="s">
        <v>403</v>
      </c>
      <c r="D639" s="4" t="s">
        <v>3481</v>
      </c>
      <c r="E639" s="4" t="s">
        <v>1032</v>
      </c>
      <c r="F639" s="4" t="s">
        <v>511</v>
      </c>
    </row>
    <row r="640" customFormat="false" ht="68.65" hidden="false" customHeight="false" outlineLevel="0" collapsed="false">
      <c r="A640" s="4" t="n">
        <v>35</v>
      </c>
      <c r="B640" s="4" t="s">
        <v>1247</v>
      </c>
      <c r="C640" s="4" t="s">
        <v>407</v>
      </c>
      <c r="D640" s="4" t="s">
        <v>3485</v>
      </c>
      <c r="E640" s="4"/>
      <c r="F640" s="4" t="s">
        <v>1254</v>
      </c>
    </row>
    <row r="641" customFormat="false" ht="41.75" hidden="false" customHeight="false" outlineLevel="0" collapsed="false">
      <c r="A641" s="4" t="n">
        <v>35</v>
      </c>
      <c r="B641" s="4" t="s">
        <v>1247</v>
      </c>
      <c r="C641" s="4" t="s">
        <v>427</v>
      </c>
      <c r="D641" s="4" t="s">
        <v>3464</v>
      </c>
      <c r="E641" s="4"/>
      <c r="F641" s="4" t="s">
        <v>23</v>
      </c>
    </row>
    <row r="642" customFormat="false" ht="41.75" hidden="false" customHeight="false" outlineLevel="0" collapsed="false">
      <c r="A642" s="4" t="n">
        <v>35</v>
      </c>
      <c r="B642" s="4" t="s">
        <v>1247</v>
      </c>
      <c r="C642" s="4" t="s">
        <v>428</v>
      </c>
      <c r="D642" s="4" t="s">
        <v>3465</v>
      </c>
      <c r="E642" s="4"/>
      <c r="F642" s="4" t="s">
        <v>28</v>
      </c>
    </row>
    <row r="643" customFormat="false" ht="41.75" hidden="false" customHeight="false" outlineLevel="0" collapsed="false">
      <c r="A643" s="4" t="n">
        <v>35</v>
      </c>
      <c r="B643" s="4" t="s">
        <v>1247</v>
      </c>
      <c r="C643" s="4" t="s">
        <v>429</v>
      </c>
      <c r="D643" s="4" t="s">
        <v>3466</v>
      </c>
      <c r="E643" s="4"/>
      <c r="F643" s="4" t="s">
        <v>35</v>
      </c>
    </row>
    <row r="644" customFormat="false" ht="41.75" hidden="false" customHeight="false" outlineLevel="0" collapsed="false">
      <c r="A644" s="4" t="n">
        <v>35</v>
      </c>
      <c r="B644" s="4" t="s">
        <v>1247</v>
      </c>
      <c r="C644" s="4" t="s">
        <v>431</v>
      </c>
      <c r="D644" s="4" t="s">
        <v>3468</v>
      </c>
      <c r="E644" s="4"/>
      <c r="F644" s="4" t="s">
        <v>1260</v>
      </c>
    </row>
    <row r="645" customFormat="false" ht="41.75" hidden="false" customHeight="false" outlineLevel="0" collapsed="false">
      <c r="A645" s="4" t="n">
        <v>35</v>
      </c>
      <c r="B645" s="4" t="s">
        <v>1247</v>
      </c>
      <c r="C645" s="4" t="s">
        <v>432</v>
      </c>
      <c r="D645" s="4" t="s">
        <v>3469</v>
      </c>
      <c r="E645" s="4"/>
      <c r="F645" s="4" t="s">
        <v>524</v>
      </c>
    </row>
    <row r="646" customFormat="false" ht="41.75" hidden="false" customHeight="false" outlineLevel="0" collapsed="false">
      <c r="A646" s="4" t="n">
        <v>35</v>
      </c>
      <c r="B646" s="4" t="s">
        <v>1247</v>
      </c>
      <c r="C646" s="4" t="s">
        <v>433</v>
      </c>
      <c r="D646" s="4" t="s">
        <v>3470</v>
      </c>
      <c r="E646" s="4"/>
      <c r="F646" s="4" t="s">
        <v>1261</v>
      </c>
    </row>
    <row r="647" customFormat="false" ht="41.75" hidden="false" customHeight="false" outlineLevel="0" collapsed="false">
      <c r="A647" s="4" t="n">
        <v>35</v>
      </c>
      <c r="B647" s="4" t="s">
        <v>1247</v>
      </c>
      <c r="C647" s="4" t="s">
        <v>434</v>
      </c>
      <c r="D647" s="4" t="s">
        <v>3482</v>
      </c>
      <c r="E647" s="4"/>
      <c r="F647" s="4" t="s">
        <v>526</v>
      </c>
    </row>
    <row r="648" customFormat="false" ht="41.75" hidden="false" customHeight="false" outlineLevel="0" collapsed="false">
      <c r="A648" s="4" t="n">
        <v>35</v>
      </c>
      <c r="B648" s="4" t="s">
        <v>1247</v>
      </c>
      <c r="C648" s="4" t="s">
        <v>436</v>
      </c>
      <c r="D648" s="4" t="s">
        <v>3471</v>
      </c>
      <c r="E648" s="4"/>
      <c r="F648" s="4" t="s">
        <v>1262</v>
      </c>
    </row>
    <row r="649" customFormat="false" ht="41.75" hidden="false" customHeight="false" outlineLevel="0" collapsed="false">
      <c r="A649" s="4" t="n">
        <v>35</v>
      </c>
      <c r="B649" s="4" t="s">
        <v>1247</v>
      </c>
      <c r="C649" s="4" t="s">
        <v>440</v>
      </c>
      <c r="D649" s="4" t="s">
        <v>3491</v>
      </c>
      <c r="E649" s="4"/>
      <c r="F649" s="4" t="n">
        <v>525</v>
      </c>
    </row>
    <row r="650" customFormat="false" ht="41.75" hidden="false" customHeight="false" outlineLevel="0" collapsed="false">
      <c r="A650" s="4" t="n">
        <v>35</v>
      </c>
      <c r="B650" s="4" t="s">
        <v>1247</v>
      </c>
      <c r="C650" s="4" t="s">
        <v>441</v>
      </c>
      <c r="D650" s="4" t="s">
        <v>3492</v>
      </c>
      <c r="E650" s="4"/>
      <c r="F650" s="4" t="n">
        <v>108</v>
      </c>
    </row>
    <row r="651" customFormat="false" ht="41.75" hidden="false" customHeight="false" outlineLevel="0" collapsed="false">
      <c r="A651" s="4" t="n">
        <v>35</v>
      </c>
      <c r="B651" s="4" t="s">
        <v>1247</v>
      </c>
      <c r="C651" s="4" t="s">
        <v>442</v>
      </c>
      <c r="D651" s="4" t="s">
        <v>3493</v>
      </c>
      <c r="E651" s="4"/>
      <c r="F651" s="4" t="n">
        <v>22</v>
      </c>
    </row>
    <row r="652" customFormat="false" ht="41.75" hidden="false" customHeight="false" outlineLevel="0" collapsed="false">
      <c r="A652" s="4" t="n">
        <v>35</v>
      </c>
      <c r="B652" s="4" t="s">
        <v>1247</v>
      </c>
      <c r="C652" s="4" t="s">
        <v>443</v>
      </c>
      <c r="D652" s="4" t="s">
        <v>3494</v>
      </c>
      <c r="E652" s="4"/>
      <c r="F652" s="4" t="n">
        <v>655</v>
      </c>
    </row>
    <row r="653" customFormat="false" ht="55.2" hidden="false" customHeight="false" outlineLevel="0" collapsed="false">
      <c r="A653" s="4" t="n">
        <v>35</v>
      </c>
      <c r="B653" s="4" t="s">
        <v>1247</v>
      </c>
      <c r="C653" s="4" t="s">
        <v>447</v>
      </c>
      <c r="D653" s="4" t="s">
        <v>3498</v>
      </c>
      <c r="E653" s="4"/>
      <c r="F653" s="4" t="s">
        <v>1263</v>
      </c>
    </row>
    <row r="654" customFormat="false" ht="108.95" hidden="false" customHeight="false" outlineLevel="0" collapsed="false">
      <c r="A654" s="4" t="n">
        <v>35</v>
      </c>
      <c r="B654" s="4" t="s">
        <v>1247</v>
      </c>
      <c r="C654" s="4" t="s">
        <v>448</v>
      </c>
      <c r="D654" s="4" t="s">
        <v>3499</v>
      </c>
      <c r="E654" s="4"/>
      <c r="F654" s="4" t="s">
        <v>1264</v>
      </c>
    </row>
    <row r="655" customFormat="false" ht="41.75" hidden="false" customHeight="false" outlineLevel="0" collapsed="false">
      <c r="A655" s="4" t="n">
        <v>35</v>
      </c>
      <c r="B655" s="4" t="s">
        <v>1247</v>
      </c>
      <c r="C655" s="4" t="s">
        <v>449</v>
      </c>
      <c r="D655" s="4" t="s">
        <v>3500</v>
      </c>
      <c r="E655" s="4"/>
      <c r="F655" s="4" t="s">
        <v>1265</v>
      </c>
    </row>
    <row r="656" customFormat="false" ht="149.25" hidden="false" customHeight="false" outlineLevel="0" collapsed="false">
      <c r="A656" s="4" t="n">
        <v>35</v>
      </c>
      <c r="B656" s="4" t="s">
        <v>1247</v>
      </c>
      <c r="C656" s="4" t="s">
        <v>450</v>
      </c>
      <c r="D656" s="4" t="s">
        <v>3501</v>
      </c>
      <c r="E656" s="4"/>
      <c r="F656" s="4" t="s">
        <v>1266</v>
      </c>
    </row>
    <row r="657" customFormat="false" ht="41.75" hidden="false" customHeight="false" outlineLevel="0" collapsed="false">
      <c r="A657" s="4" t="n">
        <v>36</v>
      </c>
      <c r="B657" s="4" t="s">
        <v>1267</v>
      </c>
      <c r="C657" s="4" t="s">
        <v>375</v>
      </c>
      <c r="D657" s="4" t="s">
        <v>3473</v>
      </c>
      <c r="E657" s="4" t="s">
        <v>579</v>
      </c>
      <c r="F657" s="4" t="s">
        <v>497</v>
      </c>
    </row>
    <row r="658" customFormat="false" ht="28.35" hidden="false" customHeight="false" outlineLevel="0" collapsed="false">
      <c r="A658" s="4" t="n">
        <v>36</v>
      </c>
      <c r="B658" s="4" t="s">
        <v>1267</v>
      </c>
      <c r="C658" s="4" t="s">
        <v>427</v>
      </c>
      <c r="D658" s="4" t="s">
        <v>3464</v>
      </c>
      <c r="E658" s="4"/>
      <c r="F658" s="4" t="s">
        <v>23</v>
      </c>
    </row>
    <row r="659" customFormat="false" ht="28.35" hidden="false" customHeight="false" outlineLevel="0" collapsed="false">
      <c r="A659" s="4" t="n">
        <v>36</v>
      </c>
      <c r="B659" s="4" t="s">
        <v>1267</v>
      </c>
      <c r="C659" s="4" t="s">
        <v>428</v>
      </c>
      <c r="D659" s="4" t="s">
        <v>3465</v>
      </c>
      <c r="E659" s="4"/>
      <c r="F659" s="4" t="s">
        <v>29</v>
      </c>
    </row>
    <row r="660" customFormat="false" ht="28.35" hidden="false" customHeight="false" outlineLevel="0" collapsed="false">
      <c r="A660" s="4" t="n">
        <v>36</v>
      </c>
      <c r="B660" s="4" t="s">
        <v>1267</v>
      </c>
      <c r="C660" s="4" t="s">
        <v>429</v>
      </c>
      <c r="D660" s="4" t="s">
        <v>3466</v>
      </c>
      <c r="E660" s="4"/>
      <c r="F660" s="4" t="s">
        <v>34</v>
      </c>
    </row>
    <row r="661" customFormat="false" ht="28.35" hidden="false" customHeight="false" outlineLevel="0" collapsed="false">
      <c r="A661" s="4" t="n">
        <v>36</v>
      </c>
      <c r="B661" s="4" t="s">
        <v>1267</v>
      </c>
      <c r="C661" s="4" t="s">
        <v>431</v>
      </c>
      <c r="D661" s="4" t="s">
        <v>3468</v>
      </c>
      <c r="E661" s="4"/>
      <c r="F661" s="4" t="s">
        <v>484</v>
      </c>
    </row>
    <row r="662" customFormat="false" ht="28.35" hidden="false" customHeight="false" outlineLevel="0" collapsed="false">
      <c r="A662" s="4" t="n">
        <v>36</v>
      </c>
      <c r="B662" s="4" t="s">
        <v>1267</v>
      </c>
      <c r="C662" s="4" t="s">
        <v>432</v>
      </c>
      <c r="D662" s="4" t="s">
        <v>3469</v>
      </c>
      <c r="E662" s="4"/>
      <c r="F662" s="4" t="s">
        <v>524</v>
      </c>
    </row>
    <row r="663" customFormat="false" ht="28.35" hidden="false" customHeight="false" outlineLevel="0" collapsed="false">
      <c r="A663" s="4" t="n">
        <v>36</v>
      </c>
      <c r="B663" s="4" t="s">
        <v>1267</v>
      </c>
      <c r="C663" s="4" t="s">
        <v>433</v>
      </c>
      <c r="D663" s="4" t="s">
        <v>3470</v>
      </c>
      <c r="E663" s="4"/>
      <c r="F663" s="4" t="s">
        <v>1283</v>
      </c>
    </row>
    <row r="664" customFormat="false" ht="28.35" hidden="false" customHeight="false" outlineLevel="0" collapsed="false">
      <c r="A664" s="4" t="n">
        <v>36</v>
      </c>
      <c r="B664" s="4" t="s">
        <v>1267</v>
      </c>
      <c r="C664" s="4" t="s">
        <v>434</v>
      </c>
      <c r="D664" s="4" t="s">
        <v>3482</v>
      </c>
      <c r="E664" s="4"/>
      <c r="F664" s="4" t="s">
        <v>1284</v>
      </c>
    </row>
    <row r="665" customFormat="false" ht="28.35" hidden="false" customHeight="false" outlineLevel="0" collapsed="false">
      <c r="A665" s="4" t="n">
        <v>36</v>
      </c>
      <c r="B665" s="4" t="s">
        <v>1267</v>
      </c>
      <c r="C665" s="4" t="s">
        <v>436</v>
      </c>
      <c r="D665" s="4" t="s">
        <v>3471</v>
      </c>
      <c r="E665" s="4"/>
      <c r="F665" s="4" t="s">
        <v>1285</v>
      </c>
    </row>
    <row r="666" customFormat="false" ht="41.75" hidden="false" customHeight="false" outlineLevel="0" collapsed="false">
      <c r="A666" s="4" t="n">
        <v>37</v>
      </c>
      <c r="B666" s="4" t="s">
        <v>1286</v>
      </c>
      <c r="C666" s="4" t="s">
        <v>375</v>
      </c>
      <c r="D666" s="4" t="s">
        <v>3473</v>
      </c>
      <c r="E666" s="4" t="s">
        <v>579</v>
      </c>
      <c r="F666" s="4" t="s">
        <v>497</v>
      </c>
    </row>
    <row r="667" customFormat="false" ht="122.35" hidden="false" customHeight="false" outlineLevel="0" collapsed="false">
      <c r="A667" s="4" t="n">
        <v>37</v>
      </c>
      <c r="B667" s="4" t="s">
        <v>1286</v>
      </c>
      <c r="C667" s="4" t="s">
        <v>380</v>
      </c>
      <c r="D667" s="4" t="s">
        <v>3474</v>
      </c>
      <c r="E667" s="4" t="s">
        <v>3574</v>
      </c>
      <c r="F667" s="4" t="s">
        <v>1297</v>
      </c>
    </row>
    <row r="668" customFormat="false" ht="15" hidden="false" customHeight="false" outlineLevel="0" collapsed="false">
      <c r="A668" s="4" t="n">
        <v>37</v>
      </c>
      <c r="B668" s="4" t="s">
        <v>1286</v>
      </c>
      <c r="C668" s="4" t="s">
        <v>387</v>
      </c>
      <c r="D668" s="4" t="s">
        <v>3476</v>
      </c>
      <c r="E668" s="4"/>
      <c r="F668" s="4" t="n">
        <v>210</v>
      </c>
    </row>
    <row r="669" customFormat="false" ht="15" hidden="false" customHeight="false" outlineLevel="0" collapsed="false">
      <c r="A669" s="4" t="n">
        <v>37</v>
      </c>
      <c r="B669" s="4" t="s">
        <v>1286</v>
      </c>
      <c r="C669" s="4" t="s">
        <v>388</v>
      </c>
      <c r="D669" s="4" t="s">
        <v>3477</v>
      </c>
      <c r="E669" s="4"/>
      <c r="F669" s="4" t="s">
        <v>501</v>
      </c>
    </row>
    <row r="670" customFormat="false" ht="68.65" hidden="false" customHeight="false" outlineLevel="0" collapsed="false">
      <c r="A670" s="4" t="n">
        <v>37</v>
      </c>
      <c r="B670" s="4" t="s">
        <v>1286</v>
      </c>
      <c r="C670" s="4" t="s">
        <v>389</v>
      </c>
      <c r="D670" s="4" t="s">
        <v>3478</v>
      </c>
      <c r="E670" s="4" t="s">
        <v>472</v>
      </c>
      <c r="F670" s="4" t="s">
        <v>1298</v>
      </c>
    </row>
    <row r="671" customFormat="false" ht="28.35" hidden="false" customHeight="false" outlineLevel="0" collapsed="false">
      <c r="A671" s="4" t="n">
        <v>37</v>
      </c>
      <c r="B671" s="4" t="s">
        <v>1286</v>
      </c>
      <c r="C671" s="4" t="s">
        <v>390</v>
      </c>
      <c r="D671" s="4" t="s">
        <v>3479</v>
      </c>
      <c r="E671" s="4" t="s">
        <v>473</v>
      </c>
      <c r="F671" s="4" t="s">
        <v>503</v>
      </c>
    </row>
    <row r="672" customFormat="false" ht="41.75" hidden="false" customHeight="false" outlineLevel="0" collapsed="false">
      <c r="A672" s="4" t="n">
        <v>37</v>
      </c>
      <c r="B672" s="4" t="s">
        <v>1286</v>
      </c>
      <c r="C672" s="4" t="s">
        <v>391</v>
      </c>
      <c r="D672" s="4" t="s">
        <v>3480</v>
      </c>
      <c r="E672" s="4"/>
      <c r="F672" s="4" t="s">
        <v>504</v>
      </c>
    </row>
    <row r="673" customFormat="false" ht="41.75" hidden="false" customHeight="false" outlineLevel="0" collapsed="false">
      <c r="A673" s="4" t="n">
        <v>37</v>
      </c>
      <c r="B673" s="4" t="s">
        <v>1286</v>
      </c>
      <c r="C673" s="4" t="s">
        <v>403</v>
      </c>
      <c r="D673" s="4" t="s">
        <v>3481</v>
      </c>
      <c r="E673" s="4" t="s">
        <v>1032</v>
      </c>
      <c r="F673" s="4" t="s">
        <v>511</v>
      </c>
    </row>
    <row r="674" customFormat="false" ht="15" hidden="false" customHeight="false" outlineLevel="0" collapsed="false">
      <c r="A674" s="4" t="n">
        <v>37</v>
      </c>
      <c r="B674" s="4" t="s">
        <v>1286</v>
      </c>
      <c r="C674" s="4" t="s">
        <v>427</v>
      </c>
      <c r="D674" s="4" t="s">
        <v>3464</v>
      </c>
      <c r="E674" s="4"/>
      <c r="F674" s="4" t="s">
        <v>23</v>
      </c>
    </row>
    <row r="675" customFormat="false" ht="15" hidden="false" customHeight="false" outlineLevel="0" collapsed="false">
      <c r="A675" s="4" t="n">
        <v>37</v>
      </c>
      <c r="B675" s="4" t="s">
        <v>1286</v>
      </c>
      <c r="C675" s="4" t="s">
        <v>428</v>
      </c>
      <c r="D675" s="4" t="s">
        <v>3465</v>
      </c>
      <c r="E675" s="4"/>
      <c r="F675" s="4" t="s">
        <v>28</v>
      </c>
    </row>
    <row r="676" customFormat="false" ht="15" hidden="false" customHeight="false" outlineLevel="0" collapsed="false">
      <c r="A676" s="4" t="n">
        <v>37</v>
      </c>
      <c r="B676" s="4" t="s">
        <v>1286</v>
      </c>
      <c r="C676" s="4" t="s">
        <v>429</v>
      </c>
      <c r="D676" s="4" t="s">
        <v>3466</v>
      </c>
      <c r="E676" s="4"/>
      <c r="F676" s="4" t="s">
        <v>35</v>
      </c>
    </row>
    <row r="677" customFormat="false" ht="15" hidden="false" customHeight="false" outlineLevel="0" collapsed="false">
      <c r="A677" s="4" t="n">
        <v>37</v>
      </c>
      <c r="B677" s="4" t="s">
        <v>1286</v>
      </c>
      <c r="C677" s="4" t="s">
        <v>431</v>
      </c>
      <c r="D677" s="4" t="s">
        <v>3468</v>
      </c>
      <c r="E677" s="4"/>
      <c r="F677" s="4" t="s">
        <v>484</v>
      </c>
    </row>
    <row r="678" customFormat="false" ht="15" hidden="false" customHeight="false" outlineLevel="0" collapsed="false">
      <c r="A678" s="4" t="n">
        <v>37</v>
      </c>
      <c r="B678" s="4" t="s">
        <v>1286</v>
      </c>
      <c r="C678" s="4" t="s">
        <v>432</v>
      </c>
      <c r="D678" s="4" t="s">
        <v>3469</v>
      </c>
      <c r="E678" s="4"/>
      <c r="F678" s="4" t="s">
        <v>524</v>
      </c>
    </row>
    <row r="679" customFormat="false" ht="122.35" hidden="false" customHeight="false" outlineLevel="0" collapsed="false">
      <c r="A679" s="4" t="n">
        <v>37</v>
      </c>
      <c r="B679" s="4" t="s">
        <v>1286</v>
      </c>
      <c r="C679" s="4" t="s">
        <v>433</v>
      </c>
      <c r="D679" s="4" t="s">
        <v>3470</v>
      </c>
      <c r="E679" s="4"/>
      <c r="F679" s="4" t="s">
        <v>1306</v>
      </c>
    </row>
    <row r="680" customFormat="false" ht="28.35" hidden="false" customHeight="false" outlineLevel="0" collapsed="false">
      <c r="A680" s="4" t="n">
        <v>37</v>
      </c>
      <c r="B680" s="4" t="s">
        <v>1286</v>
      </c>
      <c r="C680" s="4" t="s">
        <v>434</v>
      </c>
      <c r="D680" s="4" t="s">
        <v>3482</v>
      </c>
      <c r="E680" s="4"/>
      <c r="F680" s="4" t="s">
        <v>1307</v>
      </c>
    </row>
    <row r="681" customFormat="false" ht="15" hidden="false" customHeight="false" outlineLevel="0" collapsed="false">
      <c r="A681" s="4" t="n">
        <v>37</v>
      </c>
      <c r="B681" s="4" t="s">
        <v>1286</v>
      </c>
      <c r="C681" s="4" t="s">
        <v>436</v>
      </c>
      <c r="D681" s="4" t="s">
        <v>3471</v>
      </c>
      <c r="E681" s="4"/>
      <c r="F681" s="4" t="s">
        <v>1308</v>
      </c>
    </row>
    <row r="682" customFormat="false" ht="41.75" hidden="false" customHeight="false" outlineLevel="0" collapsed="false">
      <c r="A682" s="4" t="n">
        <v>38</v>
      </c>
      <c r="B682" s="4" t="s">
        <v>1309</v>
      </c>
      <c r="C682" s="4" t="s">
        <v>375</v>
      </c>
      <c r="D682" s="4" t="s">
        <v>3473</v>
      </c>
      <c r="E682" s="4" t="s">
        <v>579</v>
      </c>
      <c r="F682" s="4" t="s">
        <v>497</v>
      </c>
    </row>
    <row r="683" customFormat="false" ht="122.35" hidden="false" customHeight="false" outlineLevel="0" collapsed="false">
      <c r="A683" s="4" t="n">
        <v>38</v>
      </c>
      <c r="B683" s="4" t="s">
        <v>1309</v>
      </c>
      <c r="C683" s="4" t="s">
        <v>380</v>
      </c>
      <c r="D683" s="4" t="s">
        <v>3474</v>
      </c>
      <c r="E683" s="4" t="s">
        <v>3574</v>
      </c>
      <c r="F683" s="4" t="s">
        <v>1297</v>
      </c>
    </row>
    <row r="684" customFormat="false" ht="15" hidden="false" customHeight="false" outlineLevel="0" collapsed="false">
      <c r="A684" s="4" t="n">
        <v>38</v>
      </c>
      <c r="B684" s="4" t="s">
        <v>1309</v>
      </c>
      <c r="C684" s="4" t="s">
        <v>387</v>
      </c>
      <c r="D684" s="4" t="s">
        <v>3476</v>
      </c>
      <c r="E684" s="4"/>
      <c r="F684" s="4" t="n">
        <v>260</v>
      </c>
    </row>
    <row r="685" customFormat="false" ht="15" hidden="false" customHeight="false" outlineLevel="0" collapsed="false">
      <c r="A685" s="4" t="n">
        <v>38</v>
      </c>
      <c r="B685" s="4" t="s">
        <v>1309</v>
      </c>
      <c r="C685" s="4" t="s">
        <v>388</v>
      </c>
      <c r="D685" s="4" t="s">
        <v>3477</v>
      </c>
      <c r="E685" s="4"/>
      <c r="F685" s="4" t="s">
        <v>501</v>
      </c>
    </row>
    <row r="686" customFormat="false" ht="68.65" hidden="false" customHeight="false" outlineLevel="0" collapsed="false">
      <c r="A686" s="4" t="n">
        <v>38</v>
      </c>
      <c r="B686" s="4" t="s">
        <v>1309</v>
      </c>
      <c r="C686" s="4" t="s">
        <v>389</v>
      </c>
      <c r="D686" s="4" t="s">
        <v>3478</v>
      </c>
      <c r="E686" s="4" t="s">
        <v>472</v>
      </c>
      <c r="F686" s="4" t="s">
        <v>1312</v>
      </c>
    </row>
    <row r="687" customFormat="false" ht="28.35" hidden="false" customHeight="false" outlineLevel="0" collapsed="false">
      <c r="A687" s="4" t="n">
        <v>38</v>
      </c>
      <c r="B687" s="4" t="s">
        <v>1309</v>
      </c>
      <c r="C687" s="4" t="s">
        <v>390</v>
      </c>
      <c r="D687" s="4" t="s">
        <v>3479</v>
      </c>
      <c r="E687" s="4" t="s">
        <v>473</v>
      </c>
      <c r="F687" s="4" t="s">
        <v>503</v>
      </c>
    </row>
    <row r="688" customFormat="false" ht="41.75" hidden="false" customHeight="false" outlineLevel="0" collapsed="false">
      <c r="A688" s="4" t="n">
        <v>38</v>
      </c>
      <c r="B688" s="4" t="s">
        <v>1309</v>
      </c>
      <c r="C688" s="4" t="s">
        <v>391</v>
      </c>
      <c r="D688" s="4" t="s">
        <v>3480</v>
      </c>
      <c r="E688" s="4"/>
      <c r="F688" s="4" t="s">
        <v>504</v>
      </c>
    </row>
    <row r="689" customFormat="false" ht="41.75" hidden="false" customHeight="false" outlineLevel="0" collapsed="false">
      <c r="A689" s="4" t="n">
        <v>38</v>
      </c>
      <c r="B689" s="4" t="s">
        <v>1309</v>
      </c>
      <c r="C689" s="4" t="s">
        <v>403</v>
      </c>
      <c r="D689" s="4" t="s">
        <v>3481</v>
      </c>
      <c r="E689" s="4" t="s">
        <v>1032</v>
      </c>
      <c r="F689" s="4" t="s">
        <v>511</v>
      </c>
    </row>
    <row r="690" customFormat="false" ht="15" hidden="false" customHeight="false" outlineLevel="0" collapsed="false">
      <c r="A690" s="4" t="n">
        <v>38</v>
      </c>
      <c r="B690" s="4" t="s">
        <v>1309</v>
      </c>
      <c r="C690" s="4" t="s">
        <v>427</v>
      </c>
      <c r="D690" s="4" t="s">
        <v>3464</v>
      </c>
      <c r="E690" s="4"/>
      <c r="F690" s="4" t="s">
        <v>23</v>
      </c>
    </row>
    <row r="691" customFormat="false" ht="15" hidden="false" customHeight="false" outlineLevel="0" collapsed="false">
      <c r="A691" s="4" t="n">
        <v>38</v>
      </c>
      <c r="B691" s="4" t="s">
        <v>1309</v>
      </c>
      <c r="C691" s="4" t="s">
        <v>428</v>
      </c>
      <c r="D691" s="4" t="s">
        <v>3465</v>
      </c>
      <c r="E691" s="4"/>
      <c r="F691" s="4" t="s">
        <v>28</v>
      </c>
    </row>
    <row r="692" customFormat="false" ht="15" hidden="false" customHeight="false" outlineLevel="0" collapsed="false">
      <c r="A692" s="4" t="n">
        <v>38</v>
      </c>
      <c r="B692" s="4" t="s">
        <v>1309</v>
      </c>
      <c r="C692" s="4" t="s">
        <v>429</v>
      </c>
      <c r="D692" s="4" t="s">
        <v>3466</v>
      </c>
      <c r="E692" s="4"/>
      <c r="F692" s="4" t="s">
        <v>35</v>
      </c>
    </row>
    <row r="693" customFormat="false" ht="15" hidden="false" customHeight="false" outlineLevel="0" collapsed="false">
      <c r="A693" s="4" t="n">
        <v>38</v>
      </c>
      <c r="B693" s="4" t="s">
        <v>1309</v>
      </c>
      <c r="C693" s="4" t="s">
        <v>431</v>
      </c>
      <c r="D693" s="4" t="s">
        <v>3468</v>
      </c>
      <c r="E693" s="4"/>
      <c r="F693" s="4" t="s">
        <v>484</v>
      </c>
    </row>
    <row r="694" customFormat="false" ht="15" hidden="false" customHeight="false" outlineLevel="0" collapsed="false">
      <c r="A694" s="4" t="n">
        <v>38</v>
      </c>
      <c r="B694" s="4" t="s">
        <v>1309</v>
      </c>
      <c r="C694" s="4" t="s">
        <v>432</v>
      </c>
      <c r="D694" s="4" t="s">
        <v>3469</v>
      </c>
      <c r="E694" s="4"/>
      <c r="F694" s="4" t="s">
        <v>524</v>
      </c>
    </row>
    <row r="695" customFormat="false" ht="122.35" hidden="false" customHeight="false" outlineLevel="0" collapsed="false">
      <c r="A695" s="4" t="n">
        <v>38</v>
      </c>
      <c r="B695" s="4" t="s">
        <v>1309</v>
      </c>
      <c r="C695" s="4" t="s">
        <v>433</v>
      </c>
      <c r="D695" s="4" t="s">
        <v>3470</v>
      </c>
      <c r="E695" s="4"/>
      <c r="F695" s="4" t="s">
        <v>1306</v>
      </c>
    </row>
    <row r="696" customFormat="false" ht="28.35" hidden="false" customHeight="false" outlineLevel="0" collapsed="false">
      <c r="A696" s="4" t="n">
        <v>38</v>
      </c>
      <c r="B696" s="4" t="s">
        <v>1309</v>
      </c>
      <c r="C696" s="4" t="s">
        <v>434</v>
      </c>
      <c r="D696" s="4" t="s">
        <v>3482</v>
      </c>
      <c r="E696" s="4"/>
      <c r="F696" s="4" t="s">
        <v>1307</v>
      </c>
    </row>
    <row r="697" customFormat="false" ht="15" hidden="false" customHeight="false" outlineLevel="0" collapsed="false">
      <c r="A697" s="4" t="n">
        <v>38</v>
      </c>
      <c r="B697" s="4" t="s">
        <v>1309</v>
      </c>
      <c r="C697" s="4" t="s">
        <v>436</v>
      </c>
      <c r="D697" s="4" t="s">
        <v>3471</v>
      </c>
      <c r="E697" s="4"/>
      <c r="F697" s="4" t="s">
        <v>1308</v>
      </c>
    </row>
    <row r="698" customFormat="false" ht="135.8" hidden="false" customHeight="false" outlineLevel="0" collapsed="false">
      <c r="A698" s="4" t="n">
        <v>39</v>
      </c>
      <c r="B698" s="4" t="s">
        <v>1314</v>
      </c>
      <c r="C698" s="4" t="s">
        <v>380</v>
      </c>
      <c r="D698" s="4" t="s">
        <v>3474</v>
      </c>
      <c r="E698" s="4" t="s">
        <v>3575</v>
      </c>
      <c r="F698" s="4" t="s">
        <v>1323</v>
      </c>
    </row>
    <row r="699" customFormat="false" ht="28.35" hidden="false" customHeight="false" outlineLevel="0" collapsed="false">
      <c r="A699" s="4" t="n">
        <v>39</v>
      </c>
      <c r="B699" s="4" t="s">
        <v>1314</v>
      </c>
      <c r="C699" s="4" t="s">
        <v>387</v>
      </c>
      <c r="D699" s="4" t="s">
        <v>3476</v>
      </c>
      <c r="E699" s="4"/>
      <c r="F699" s="4" t="n">
        <v>120</v>
      </c>
    </row>
    <row r="700" customFormat="false" ht="28.35" hidden="false" customHeight="false" outlineLevel="0" collapsed="false">
      <c r="A700" s="4" t="n">
        <v>39</v>
      </c>
      <c r="B700" s="4" t="s">
        <v>1314</v>
      </c>
      <c r="C700" s="4" t="s">
        <v>388</v>
      </c>
      <c r="D700" s="4" t="s">
        <v>3477</v>
      </c>
      <c r="E700" s="4"/>
      <c r="F700" s="4" t="s">
        <v>501</v>
      </c>
    </row>
    <row r="701" customFormat="false" ht="68.65" hidden="false" customHeight="false" outlineLevel="0" collapsed="false">
      <c r="A701" s="4" t="n">
        <v>39</v>
      </c>
      <c r="B701" s="4" t="s">
        <v>1314</v>
      </c>
      <c r="C701" s="4" t="s">
        <v>389</v>
      </c>
      <c r="D701" s="4" t="s">
        <v>3478</v>
      </c>
      <c r="E701" s="4" t="s">
        <v>472</v>
      </c>
      <c r="F701" s="4" t="s">
        <v>1324</v>
      </c>
    </row>
    <row r="702" customFormat="false" ht="28.35" hidden="false" customHeight="false" outlineLevel="0" collapsed="false">
      <c r="A702" s="4" t="n">
        <v>39</v>
      </c>
      <c r="B702" s="4" t="s">
        <v>1314</v>
      </c>
      <c r="C702" s="4" t="s">
        <v>390</v>
      </c>
      <c r="D702" s="4" t="s">
        <v>3479</v>
      </c>
      <c r="E702" s="4" t="s">
        <v>473</v>
      </c>
      <c r="F702" s="4" t="s">
        <v>503</v>
      </c>
    </row>
    <row r="703" customFormat="false" ht="41.75" hidden="false" customHeight="false" outlineLevel="0" collapsed="false">
      <c r="A703" s="4" t="n">
        <v>39</v>
      </c>
      <c r="B703" s="4" t="s">
        <v>1314</v>
      </c>
      <c r="C703" s="4" t="s">
        <v>391</v>
      </c>
      <c r="D703" s="4" t="s">
        <v>3480</v>
      </c>
      <c r="E703" s="4"/>
      <c r="F703" s="4" t="s">
        <v>504</v>
      </c>
    </row>
    <row r="704" customFormat="false" ht="41.75" hidden="false" customHeight="false" outlineLevel="0" collapsed="false">
      <c r="A704" s="4" t="n">
        <v>39</v>
      </c>
      <c r="B704" s="4" t="s">
        <v>1314</v>
      </c>
      <c r="C704" s="4" t="s">
        <v>403</v>
      </c>
      <c r="D704" s="4" t="s">
        <v>3481</v>
      </c>
      <c r="E704" s="4" t="s">
        <v>1032</v>
      </c>
      <c r="F704" s="4" t="s">
        <v>511</v>
      </c>
    </row>
    <row r="705" customFormat="false" ht="28.35" hidden="false" customHeight="false" outlineLevel="0" collapsed="false">
      <c r="A705" s="4" t="n">
        <v>39</v>
      </c>
      <c r="B705" s="4" t="s">
        <v>1314</v>
      </c>
      <c r="C705" s="4" t="s">
        <v>427</v>
      </c>
      <c r="D705" s="4" t="s">
        <v>3464</v>
      </c>
      <c r="E705" s="4"/>
      <c r="F705" s="4" t="s">
        <v>23</v>
      </c>
    </row>
    <row r="706" customFormat="false" ht="28.35" hidden="false" customHeight="false" outlineLevel="0" collapsed="false">
      <c r="A706" s="4" t="n">
        <v>39</v>
      </c>
      <c r="B706" s="4" t="s">
        <v>1314</v>
      </c>
      <c r="C706" s="4" t="s">
        <v>428</v>
      </c>
      <c r="D706" s="4" t="s">
        <v>3465</v>
      </c>
      <c r="E706" s="4"/>
      <c r="F706" s="4" t="s">
        <v>28</v>
      </c>
    </row>
    <row r="707" customFormat="false" ht="28.35" hidden="false" customHeight="false" outlineLevel="0" collapsed="false">
      <c r="A707" s="4" t="n">
        <v>39</v>
      </c>
      <c r="B707" s="4" t="s">
        <v>1314</v>
      </c>
      <c r="C707" s="4" t="s">
        <v>429</v>
      </c>
      <c r="D707" s="4" t="s">
        <v>3466</v>
      </c>
      <c r="E707" s="4"/>
      <c r="F707" s="4" t="s">
        <v>36</v>
      </c>
    </row>
    <row r="708" customFormat="false" ht="28.35" hidden="false" customHeight="false" outlineLevel="0" collapsed="false">
      <c r="A708" s="4" t="n">
        <v>39</v>
      </c>
      <c r="B708" s="4" t="s">
        <v>1314</v>
      </c>
      <c r="C708" s="4" t="s">
        <v>431</v>
      </c>
      <c r="D708" s="4" t="s">
        <v>3468</v>
      </c>
      <c r="E708" s="4"/>
      <c r="F708" s="4" t="s">
        <v>1329</v>
      </c>
    </row>
    <row r="709" customFormat="false" ht="28.35" hidden="false" customHeight="false" outlineLevel="0" collapsed="false">
      <c r="A709" s="4" t="n">
        <v>39</v>
      </c>
      <c r="B709" s="4" t="s">
        <v>1314</v>
      </c>
      <c r="C709" s="4" t="s">
        <v>432</v>
      </c>
      <c r="D709" s="4" t="s">
        <v>3469</v>
      </c>
      <c r="E709" s="4"/>
      <c r="F709" s="4" t="s">
        <v>524</v>
      </c>
    </row>
    <row r="710" customFormat="false" ht="28.35" hidden="false" customHeight="false" outlineLevel="0" collapsed="false">
      <c r="A710" s="4" t="n">
        <v>39</v>
      </c>
      <c r="B710" s="4" t="s">
        <v>1314</v>
      </c>
      <c r="C710" s="4" t="s">
        <v>433</v>
      </c>
      <c r="D710" s="4" t="s">
        <v>3470</v>
      </c>
      <c r="E710" s="4"/>
      <c r="F710" s="4" t="s">
        <v>1330</v>
      </c>
    </row>
    <row r="711" customFormat="false" ht="28.35" hidden="false" customHeight="false" outlineLevel="0" collapsed="false">
      <c r="A711" s="4" t="n">
        <v>39</v>
      </c>
      <c r="B711" s="4" t="s">
        <v>1314</v>
      </c>
      <c r="C711" s="4" t="s">
        <v>434</v>
      </c>
      <c r="D711" s="4" t="s">
        <v>3482</v>
      </c>
      <c r="E711" s="4"/>
      <c r="F711" s="4" t="s">
        <v>1331</v>
      </c>
    </row>
    <row r="712" customFormat="false" ht="28.35" hidden="false" customHeight="false" outlineLevel="0" collapsed="false">
      <c r="A712" s="4" t="n">
        <v>39</v>
      </c>
      <c r="B712" s="4" t="s">
        <v>1314</v>
      </c>
      <c r="C712" s="4" t="s">
        <v>436</v>
      </c>
      <c r="D712" s="4" t="s">
        <v>3471</v>
      </c>
      <c r="E712" s="4"/>
      <c r="F712" s="4" t="s">
        <v>1332</v>
      </c>
    </row>
    <row r="713" customFormat="false" ht="149.25" hidden="false" customHeight="false" outlineLevel="0" collapsed="false">
      <c r="A713" s="4" t="n">
        <v>40</v>
      </c>
      <c r="B713" s="4" t="s">
        <v>1334</v>
      </c>
      <c r="C713" s="4" t="s">
        <v>380</v>
      </c>
      <c r="D713" s="4" t="s">
        <v>3474</v>
      </c>
      <c r="E713" s="4" t="s">
        <v>3576</v>
      </c>
      <c r="F713" s="4" t="s">
        <v>1347</v>
      </c>
    </row>
    <row r="714" customFormat="false" ht="15" hidden="false" customHeight="false" outlineLevel="0" collapsed="false">
      <c r="A714" s="4" t="n">
        <v>40</v>
      </c>
      <c r="B714" s="4" t="s">
        <v>1334</v>
      </c>
      <c r="C714" s="4" t="s">
        <v>387</v>
      </c>
      <c r="D714" s="4" t="s">
        <v>3476</v>
      </c>
      <c r="E714" s="4"/>
      <c r="F714" s="4" t="n">
        <v>65</v>
      </c>
    </row>
    <row r="715" customFormat="false" ht="15" hidden="false" customHeight="false" outlineLevel="0" collapsed="false">
      <c r="A715" s="4" t="n">
        <v>40</v>
      </c>
      <c r="B715" s="4" t="s">
        <v>1334</v>
      </c>
      <c r="C715" s="4" t="s">
        <v>388</v>
      </c>
      <c r="D715" s="4" t="s">
        <v>3477</v>
      </c>
      <c r="E715" s="4"/>
      <c r="F715" s="4" t="s">
        <v>501</v>
      </c>
    </row>
    <row r="716" customFormat="false" ht="68.65" hidden="false" customHeight="false" outlineLevel="0" collapsed="false">
      <c r="A716" s="4" t="n">
        <v>40</v>
      </c>
      <c r="B716" s="4" t="s">
        <v>1334</v>
      </c>
      <c r="C716" s="4" t="s">
        <v>389</v>
      </c>
      <c r="D716" s="4" t="s">
        <v>3478</v>
      </c>
      <c r="E716" s="4" t="s">
        <v>472</v>
      </c>
      <c r="F716" s="4" t="s">
        <v>1348</v>
      </c>
    </row>
    <row r="717" customFormat="false" ht="28.35" hidden="false" customHeight="false" outlineLevel="0" collapsed="false">
      <c r="A717" s="4" t="n">
        <v>40</v>
      </c>
      <c r="B717" s="4" t="s">
        <v>1334</v>
      </c>
      <c r="C717" s="4" t="s">
        <v>390</v>
      </c>
      <c r="D717" s="4" t="s">
        <v>3479</v>
      </c>
      <c r="E717" s="4" t="s">
        <v>473</v>
      </c>
      <c r="F717" s="4" t="s">
        <v>503</v>
      </c>
    </row>
    <row r="718" customFormat="false" ht="41.75" hidden="false" customHeight="false" outlineLevel="0" collapsed="false">
      <c r="A718" s="4" t="n">
        <v>40</v>
      </c>
      <c r="B718" s="4" t="s">
        <v>1334</v>
      </c>
      <c r="C718" s="4" t="s">
        <v>391</v>
      </c>
      <c r="D718" s="4" t="s">
        <v>3480</v>
      </c>
      <c r="E718" s="4"/>
      <c r="F718" s="4" t="s">
        <v>504</v>
      </c>
    </row>
    <row r="719" customFormat="false" ht="41.75" hidden="false" customHeight="false" outlineLevel="0" collapsed="false">
      <c r="A719" s="4" t="n">
        <v>40</v>
      </c>
      <c r="B719" s="4" t="s">
        <v>1334</v>
      </c>
      <c r="C719" s="4" t="s">
        <v>403</v>
      </c>
      <c r="D719" s="4" t="s">
        <v>3481</v>
      </c>
      <c r="E719" s="4" t="s">
        <v>1032</v>
      </c>
      <c r="F719" s="4" t="s">
        <v>511</v>
      </c>
    </row>
    <row r="720" customFormat="false" ht="15" hidden="false" customHeight="false" outlineLevel="0" collapsed="false">
      <c r="A720" s="4" t="n">
        <v>40</v>
      </c>
      <c r="B720" s="4" t="s">
        <v>1334</v>
      </c>
      <c r="C720" s="4" t="s">
        <v>427</v>
      </c>
      <c r="D720" s="4" t="s">
        <v>3464</v>
      </c>
      <c r="E720" s="4"/>
      <c r="F720" s="4" t="s">
        <v>24</v>
      </c>
    </row>
    <row r="721" customFormat="false" ht="15" hidden="false" customHeight="false" outlineLevel="0" collapsed="false">
      <c r="A721" s="4" t="n">
        <v>40</v>
      </c>
      <c r="B721" s="4" t="s">
        <v>1334</v>
      </c>
      <c r="C721" s="4" t="s">
        <v>428</v>
      </c>
      <c r="D721" s="4" t="s">
        <v>3465</v>
      </c>
      <c r="E721" s="4"/>
      <c r="F721" s="4" t="s">
        <v>30</v>
      </c>
    </row>
    <row r="722" customFormat="false" ht="15" hidden="false" customHeight="false" outlineLevel="0" collapsed="false">
      <c r="A722" s="4" t="n">
        <v>40</v>
      </c>
      <c r="B722" s="4" t="s">
        <v>1334</v>
      </c>
      <c r="C722" s="4" t="s">
        <v>429</v>
      </c>
      <c r="D722" s="4" t="s">
        <v>3466</v>
      </c>
      <c r="E722" s="4"/>
      <c r="F722" s="4" t="s">
        <v>36</v>
      </c>
    </row>
    <row r="723" customFormat="false" ht="15" hidden="false" customHeight="false" outlineLevel="0" collapsed="false">
      <c r="A723" s="4" t="n">
        <v>40</v>
      </c>
      <c r="B723" s="4" t="s">
        <v>1334</v>
      </c>
      <c r="C723" s="4" t="s">
        <v>431</v>
      </c>
      <c r="D723" s="4" t="s">
        <v>3468</v>
      </c>
      <c r="E723" s="4"/>
      <c r="F723" s="4" t="s">
        <v>484</v>
      </c>
    </row>
    <row r="724" customFormat="false" ht="15" hidden="false" customHeight="false" outlineLevel="0" collapsed="false">
      <c r="A724" s="4" t="n">
        <v>40</v>
      </c>
      <c r="B724" s="4" t="s">
        <v>1334</v>
      </c>
      <c r="C724" s="4" t="s">
        <v>432</v>
      </c>
      <c r="D724" s="4" t="s">
        <v>3469</v>
      </c>
      <c r="E724" s="4"/>
      <c r="F724" s="4" t="s">
        <v>524</v>
      </c>
    </row>
    <row r="725" customFormat="false" ht="28.35" hidden="false" customHeight="false" outlineLevel="0" collapsed="false">
      <c r="A725" s="4" t="n">
        <v>40</v>
      </c>
      <c r="B725" s="4" t="s">
        <v>1334</v>
      </c>
      <c r="C725" s="4" t="s">
        <v>433</v>
      </c>
      <c r="D725" s="4" t="s">
        <v>3470</v>
      </c>
      <c r="E725" s="4"/>
      <c r="F725" s="4" t="s">
        <v>1353</v>
      </c>
    </row>
    <row r="726" customFormat="false" ht="28.35" hidden="false" customHeight="false" outlineLevel="0" collapsed="false">
      <c r="A726" s="4" t="n">
        <v>40</v>
      </c>
      <c r="B726" s="4" t="s">
        <v>1334</v>
      </c>
      <c r="C726" s="4" t="s">
        <v>434</v>
      </c>
      <c r="D726" s="4" t="s">
        <v>3482</v>
      </c>
      <c r="E726" s="4"/>
      <c r="F726" s="4" t="s">
        <v>1354</v>
      </c>
    </row>
    <row r="727" customFormat="false" ht="15" hidden="false" customHeight="false" outlineLevel="0" collapsed="false">
      <c r="A727" s="4" t="n">
        <v>40</v>
      </c>
      <c r="B727" s="4" t="s">
        <v>1334</v>
      </c>
      <c r="C727" s="4" t="s">
        <v>435</v>
      </c>
      <c r="D727" s="4" t="s">
        <v>3510</v>
      </c>
      <c r="E727" s="4"/>
      <c r="F727" s="4" t="s">
        <v>1355</v>
      </c>
    </row>
    <row r="728" customFormat="false" ht="15" hidden="false" customHeight="false" outlineLevel="0" collapsed="false">
      <c r="A728" s="4" t="n">
        <v>40</v>
      </c>
      <c r="B728" s="4" t="s">
        <v>1334</v>
      </c>
      <c r="C728" s="4" t="s">
        <v>436</v>
      </c>
      <c r="D728" s="4" t="s">
        <v>3471</v>
      </c>
      <c r="E728" s="4"/>
      <c r="F728" s="4" t="s">
        <v>1356</v>
      </c>
    </row>
    <row r="729" customFormat="false" ht="270.1" hidden="false" customHeight="false" outlineLevel="0" collapsed="false">
      <c r="A729" s="4" t="n">
        <v>41</v>
      </c>
      <c r="B729" s="4" t="s">
        <v>1357</v>
      </c>
      <c r="C729" s="4" t="s">
        <v>380</v>
      </c>
      <c r="D729" s="4" t="s">
        <v>3474</v>
      </c>
      <c r="E729" s="4" t="s">
        <v>3577</v>
      </c>
      <c r="F729" s="4" t="s">
        <v>1365</v>
      </c>
    </row>
    <row r="730" customFormat="false" ht="28.35" hidden="false" customHeight="false" outlineLevel="0" collapsed="false">
      <c r="A730" s="4" t="n">
        <v>41</v>
      </c>
      <c r="B730" s="4" t="s">
        <v>1357</v>
      </c>
      <c r="C730" s="4" t="s">
        <v>387</v>
      </c>
      <c r="D730" s="4" t="s">
        <v>3476</v>
      </c>
      <c r="E730" s="4"/>
      <c r="F730" s="4" t="n">
        <v>35</v>
      </c>
    </row>
    <row r="731" customFormat="false" ht="28.35" hidden="false" customHeight="false" outlineLevel="0" collapsed="false">
      <c r="A731" s="4" t="n">
        <v>41</v>
      </c>
      <c r="B731" s="4" t="s">
        <v>1357</v>
      </c>
      <c r="C731" s="4" t="s">
        <v>388</v>
      </c>
      <c r="D731" s="4" t="s">
        <v>3477</v>
      </c>
      <c r="E731" s="4"/>
      <c r="F731" s="4" t="s">
        <v>501</v>
      </c>
    </row>
    <row r="732" customFormat="false" ht="68.65" hidden="false" customHeight="false" outlineLevel="0" collapsed="false">
      <c r="A732" s="4" t="n">
        <v>41</v>
      </c>
      <c r="B732" s="4" t="s">
        <v>1357</v>
      </c>
      <c r="C732" s="4" t="s">
        <v>389</v>
      </c>
      <c r="D732" s="4" t="s">
        <v>3478</v>
      </c>
      <c r="E732" s="4" t="s">
        <v>472</v>
      </c>
      <c r="F732" s="4" t="s">
        <v>1366</v>
      </c>
    </row>
    <row r="733" customFormat="false" ht="28.35" hidden="false" customHeight="false" outlineLevel="0" collapsed="false">
      <c r="A733" s="4" t="n">
        <v>41</v>
      </c>
      <c r="B733" s="4" t="s">
        <v>1357</v>
      </c>
      <c r="C733" s="4" t="s">
        <v>390</v>
      </c>
      <c r="D733" s="4" t="s">
        <v>3479</v>
      </c>
      <c r="E733" s="4" t="s">
        <v>473</v>
      </c>
      <c r="F733" s="4" t="s">
        <v>503</v>
      </c>
    </row>
    <row r="734" customFormat="false" ht="41.75" hidden="false" customHeight="false" outlineLevel="0" collapsed="false">
      <c r="A734" s="4" t="n">
        <v>41</v>
      </c>
      <c r="B734" s="4" t="s">
        <v>1357</v>
      </c>
      <c r="C734" s="4" t="s">
        <v>391</v>
      </c>
      <c r="D734" s="4" t="s">
        <v>3480</v>
      </c>
      <c r="E734" s="4"/>
      <c r="F734" s="4" t="s">
        <v>504</v>
      </c>
    </row>
    <row r="735" customFormat="false" ht="41.75" hidden="false" customHeight="false" outlineLevel="0" collapsed="false">
      <c r="A735" s="4" t="n">
        <v>41</v>
      </c>
      <c r="B735" s="4" t="s">
        <v>1357</v>
      </c>
      <c r="C735" s="4" t="s">
        <v>403</v>
      </c>
      <c r="D735" s="4" t="s">
        <v>3481</v>
      </c>
      <c r="E735" s="4" t="s">
        <v>1032</v>
      </c>
      <c r="F735" s="4" t="s">
        <v>511</v>
      </c>
    </row>
    <row r="736" customFormat="false" ht="68.65" hidden="false" customHeight="false" outlineLevel="0" collapsed="false">
      <c r="A736" s="4" t="n">
        <v>41</v>
      </c>
      <c r="B736" s="4" t="s">
        <v>1357</v>
      </c>
      <c r="C736" s="4" t="s">
        <v>407</v>
      </c>
      <c r="D736" s="4" t="s">
        <v>3485</v>
      </c>
      <c r="E736" s="4"/>
      <c r="F736" s="4" t="s">
        <v>1367</v>
      </c>
    </row>
    <row r="737" customFormat="false" ht="162.65" hidden="false" customHeight="false" outlineLevel="0" collapsed="false">
      <c r="A737" s="4" t="n">
        <v>41</v>
      </c>
      <c r="B737" s="4" t="s">
        <v>1357</v>
      </c>
      <c r="C737" s="4" t="s">
        <v>419</v>
      </c>
      <c r="D737" s="4" t="s">
        <v>3534</v>
      </c>
      <c r="E737" s="4" t="s">
        <v>3578</v>
      </c>
      <c r="F737" s="4" t="s">
        <v>1373</v>
      </c>
    </row>
    <row r="738" customFormat="false" ht="82.05" hidden="false" customHeight="false" outlineLevel="0" collapsed="false">
      <c r="A738" s="4" t="n">
        <v>41</v>
      </c>
      <c r="B738" s="4" t="s">
        <v>1357</v>
      </c>
      <c r="C738" s="4" t="s">
        <v>426</v>
      </c>
      <c r="D738" s="4" t="s">
        <v>3562</v>
      </c>
      <c r="E738" s="4"/>
      <c r="F738" s="4" t="s">
        <v>1374</v>
      </c>
    </row>
    <row r="739" customFormat="false" ht="28.35" hidden="false" customHeight="false" outlineLevel="0" collapsed="false">
      <c r="A739" s="4" t="n">
        <v>41</v>
      </c>
      <c r="B739" s="4" t="s">
        <v>1357</v>
      </c>
      <c r="C739" s="4" t="s">
        <v>427</v>
      </c>
      <c r="D739" s="4" t="s">
        <v>3464</v>
      </c>
      <c r="E739" s="4"/>
      <c r="F739" s="4" t="s">
        <v>23</v>
      </c>
    </row>
    <row r="740" customFormat="false" ht="28.35" hidden="false" customHeight="false" outlineLevel="0" collapsed="false">
      <c r="A740" s="4" t="n">
        <v>41</v>
      </c>
      <c r="B740" s="4" t="s">
        <v>1357</v>
      </c>
      <c r="C740" s="4" t="s">
        <v>428</v>
      </c>
      <c r="D740" s="4" t="s">
        <v>3465</v>
      </c>
      <c r="E740" s="4"/>
      <c r="F740" s="4" t="s">
        <v>28</v>
      </c>
    </row>
    <row r="741" customFormat="false" ht="28.35" hidden="false" customHeight="false" outlineLevel="0" collapsed="false">
      <c r="A741" s="4" t="n">
        <v>41</v>
      </c>
      <c r="B741" s="4" t="s">
        <v>1357</v>
      </c>
      <c r="C741" s="4" t="s">
        <v>429</v>
      </c>
      <c r="D741" s="4" t="s">
        <v>3466</v>
      </c>
      <c r="E741" s="4"/>
      <c r="F741" s="4" t="s">
        <v>35</v>
      </c>
    </row>
    <row r="742" customFormat="false" ht="28.35" hidden="false" customHeight="false" outlineLevel="0" collapsed="false">
      <c r="A742" s="4" t="n">
        <v>41</v>
      </c>
      <c r="B742" s="4" t="s">
        <v>1357</v>
      </c>
      <c r="C742" s="4" t="s">
        <v>431</v>
      </c>
      <c r="D742" s="4" t="s">
        <v>3468</v>
      </c>
      <c r="E742" s="4"/>
      <c r="F742" s="4" t="s">
        <v>1375</v>
      </c>
    </row>
    <row r="743" customFormat="false" ht="28.35" hidden="false" customHeight="false" outlineLevel="0" collapsed="false">
      <c r="A743" s="4" t="n">
        <v>41</v>
      </c>
      <c r="B743" s="4" t="s">
        <v>1357</v>
      </c>
      <c r="C743" s="4" t="s">
        <v>432</v>
      </c>
      <c r="D743" s="4" t="s">
        <v>3469</v>
      </c>
      <c r="E743" s="4"/>
      <c r="F743" s="4" t="s">
        <v>524</v>
      </c>
    </row>
    <row r="744" customFormat="false" ht="28.35" hidden="false" customHeight="false" outlineLevel="0" collapsed="false">
      <c r="A744" s="4" t="n">
        <v>41</v>
      </c>
      <c r="B744" s="4" t="s">
        <v>1357</v>
      </c>
      <c r="C744" s="4" t="s">
        <v>433</v>
      </c>
      <c r="D744" s="4" t="s">
        <v>3470</v>
      </c>
      <c r="E744" s="4"/>
      <c r="F744" s="4" t="s">
        <v>1376</v>
      </c>
    </row>
    <row r="745" customFormat="false" ht="28.35" hidden="false" customHeight="false" outlineLevel="0" collapsed="false">
      <c r="A745" s="4" t="n">
        <v>41</v>
      </c>
      <c r="B745" s="4" t="s">
        <v>1357</v>
      </c>
      <c r="C745" s="4" t="s">
        <v>434</v>
      </c>
      <c r="D745" s="4" t="s">
        <v>3482</v>
      </c>
      <c r="E745" s="4"/>
      <c r="F745" s="4" t="s">
        <v>526</v>
      </c>
    </row>
    <row r="746" customFormat="false" ht="28.35" hidden="false" customHeight="false" outlineLevel="0" collapsed="false">
      <c r="A746" s="4" t="n">
        <v>41</v>
      </c>
      <c r="B746" s="4" t="s">
        <v>1357</v>
      </c>
      <c r="C746" s="4" t="s">
        <v>436</v>
      </c>
      <c r="D746" s="4" t="s">
        <v>3471</v>
      </c>
      <c r="E746" s="4"/>
      <c r="F746" s="4" t="s">
        <v>1377</v>
      </c>
    </row>
    <row r="747" customFormat="false" ht="28.35" hidden="false" customHeight="false" outlineLevel="0" collapsed="false">
      <c r="A747" s="4" t="n">
        <v>41</v>
      </c>
      <c r="B747" s="4" t="s">
        <v>1357</v>
      </c>
      <c r="C747" s="4" t="s">
        <v>445</v>
      </c>
      <c r="D747" s="4" t="s">
        <v>3496</v>
      </c>
      <c r="E747" s="4"/>
      <c r="F747" s="4" t="n">
        <v>1</v>
      </c>
    </row>
    <row r="748" customFormat="false" ht="28.35" hidden="false" customHeight="false" outlineLevel="0" collapsed="false">
      <c r="A748" s="4" t="n">
        <v>41</v>
      </c>
      <c r="B748" s="4" t="s">
        <v>1357</v>
      </c>
      <c r="C748" s="4" t="s">
        <v>449</v>
      </c>
      <c r="D748" s="4" t="s">
        <v>3500</v>
      </c>
      <c r="E748" s="4"/>
      <c r="F748" s="4" t="s">
        <v>1378</v>
      </c>
    </row>
    <row r="749" customFormat="false" ht="68.65" hidden="false" customHeight="false" outlineLevel="0" collapsed="false">
      <c r="A749" s="4" t="n">
        <v>41</v>
      </c>
      <c r="B749" s="4" t="s">
        <v>1357</v>
      </c>
      <c r="C749" s="4" t="s">
        <v>450</v>
      </c>
      <c r="D749" s="4" t="s">
        <v>3501</v>
      </c>
      <c r="E749" s="4"/>
      <c r="F749" s="4" t="s">
        <v>1379</v>
      </c>
    </row>
    <row r="750" customFormat="false" ht="149.25" hidden="false" customHeight="false" outlineLevel="0" collapsed="false">
      <c r="A750" s="4" t="n">
        <v>42</v>
      </c>
      <c r="B750" s="4" t="s">
        <v>202</v>
      </c>
      <c r="C750" s="4" t="s">
        <v>380</v>
      </c>
      <c r="D750" s="4" t="s">
        <v>3474</v>
      </c>
      <c r="E750" s="4" t="s">
        <v>3579</v>
      </c>
      <c r="F750" s="4" t="s">
        <v>1387</v>
      </c>
    </row>
    <row r="751" customFormat="false" ht="28.35" hidden="false" customHeight="false" outlineLevel="0" collapsed="false">
      <c r="A751" s="4" t="n">
        <v>42</v>
      </c>
      <c r="B751" s="4" t="s">
        <v>202</v>
      </c>
      <c r="C751" s="4" t="s">
        <v>387</v>
      </c>
      <c r="D751" s="4" t="s">
        <v>3476</v>
      </c>
      <c r="E751" s="4"/>
      <c r="F751" s="4" t="n">
        <v>438</v>
      </c>
    </row>
    <row r="752" customFormat="false" ht="28.35" hidden="false" customHeight="false" outlineLevel="0" collapsed="false">
      <c r="A752" s="4" t="n">
        <v>42</v>
      </c>
      <c r="B752" s="4" t="s">
        <v>202</v>
      </c>
      <c r="C752" s="4" t="s">
        <v>388</v>
      </c>
      <c r="D752" s="4" t="s">
        <v>3477</v>
      </c>
      <c r="E752" s="4"/>
      <c r="F752" s="4" t="s">
        <v>501</v>
      </c>
    </row>
    <row r="753" customFormat="false" ht="68.65" hidden="false" customHeight="false" outlineLevel="0" collapsed="false">
      <c r="A753" s="4" t="n">
        <v>42</v>
      </c>
      <c r="B753" s="4" t="s">
        <v>202</v>
      </c>
      <c r="C753" s="4" t="s">
        <v>389</v>
      </c>
      <c r="D753" s="4" t="s">
        <v>3478</v>
      </c>
      <c r="E753" s="4" t="s">
        <v>472</v>
      </c>
      <c r="F753" s="4" t="s">
        <v>1388</v>
      </c>
    </row>
    <row r="754" customFormat="false" ht="28.35" hidden="false" customHeight="false" outlineLevel="0" collapsed="false">
      <c r="A754" s="4" t="n">
        <v>42</v>
      </c>
      <c r="B754" s="4" t="s">
        <v>202</v>
      </c>
      <c r="C754" s="4" t="s">
        <v>390</v>
      </c>
      <c r="D754" s="4" t="s">
        <v>3479</v>
      </c>
      <c r="E754" s="4" t="s">
        <v>473</v>
      </c>
      <c r="F754" s="4" t="s">
        <v>503</v>
      </c>
    </row>
    <row r="755" customFormat="false" ht="41.75" hidden="false" customHeight="false" outlineLevel="0" collapsed="false">
      <c r="A755" s="4" t="n">
        <v>42</v>
      </c>
      <c r="B755" s="4" t="s">
        <v>202</v>
      </c>
      <c r="C755" s="4" t="s">
        <v>391</v>
      </c>
      <c r="D755" s="4" t="s">
        <v>3480</v>
      </c>
      <c r="E755" s="4"/>
      <c r="F755" s="4" t="s">
        <v>504</v>
      </c>
    </row>
    <row r="756" customFormat="false" ht="41.75" hidden="false" customHeight="false" outlineLevel="0" collapsed="false">
      <c r="A756" s="4" t="n">
        <v>42</v>
      </c>
      <c r="B756" s="4" t="s">
        <v>202</v>
      </c>
      <c r="C756" s="4" t="s">
        <v>403</v>
      </c>
      <c r="D756" s="4" t="s">
        <v>3481</v>
      </c>
      <c r="E756" s="4" t="s">
        <v>1032</v>
      </c>
      <c r="F756" s="4" t="s">
        <v>511</v>
      </c>
    </row>
    <row r="757" customFormat="false" ht="189.55" hidden="false" customHeight="false" outlineLevel="0" collapsed="false">
      <c r="A757" s="4" t="n">
        <v>42</v>
      </c>
      <c r="B757" s="4" t="s">
        <v>202</v>
      </c>
      <c r="C757" s="4" t="s">
        <v>419</v>
      </c>
      <c r="D757" s="4" t="s">
        <v>3534</v>
      </c>
      <c r="E757" s="4" t="s">
        <v>3578</v>
      </c>
      <c r="F757" s="4" t="s">
        <v>1394</v>
      </c>
    </row>
    <row r="758" customFormat="false" ht="82.05" hidden="false" customHeight="false" outlineLevel="0" collapsed="false">
      <c r="A758" s="4" t="n">
        <v>42</v>
      </c>
      <c r="B758" s="4" t="s">
        <v>202</v>
      </c>
      <c r="C758" s="4" t="s">
        <v>426</v>
      </c>
      <c r="D758" s="4" t="s">
        <v>3562</v>
      </c>
      <c r="E758" s="4"/>
      <c r="F758" s="4" t="s">
        <v>3580</v>
      </c>
    </row>
    <row r="759" customFormat="false" ht="189.55" hidden="false" customHeight="false" outlineLevel="0" collapsed="false">
      <c r="A759" s="4" t="n">
        <v>42</v>
      </c>
      <c r="B759" s="4" t="s">
        <v>202</v>
      </c>
      <c r="C759" s="4" t="s">
        <v>426</v>
      </c>
      <c r="D759" s="4" t="s">
        <v>3562</v>
      </c>
      <c r="E759" s="4" t="s">
        <v>3580</v>
      </c>
      <c r="F759" s="4" t="s">
        <v>1395</v>
      </c>
    </row>
    <row r="760" customFormat="false" ht="28.35" hidden="false" customHeight="false" outlineLevel="0" collapsed="false">
      <c r="A760" s="4" t="n">
        <v>42</v>
      </c>
      <c r="B760" s="4" t="s">
        <v>202</v>
      </c>
      <c r="C760" s="4" t="s">
        <v>427</v>
      </c>
      <c r="D760" s="4" t="s">
        <v>3464</v>
      </c>
      <c r="E760" s="4"/>
      <c r="F760" s="4" t="s">
        <v>23</v>
      </c>
    </row>
    <row r="761" customFormat="false" ht="28.35" hidden="false" customHeight="false" outlineLevel="0" collapsed="false">
      <c r="A761" s="4" t="n">
        <v>42</v>
      </c>
      <c r="B761" s="4" t="s">
        <v>202</v>
      </c>
      <c r="C761" s="4" t="s">
        <v>428</v>
      </c>
      <c r="D761" s="4" t="s">
        <v>3465</v>
      </c>
      <c r="E761" s="4"/>
      <c r="F761" s="4" t="s">
        <v>28</v>
      </c>
    </row>
    <row r="762" customFormat="false" ht="28.35" hidden="false" customHeight="false" outlineLevel="0" collapsed="false">
      <c r="A762" s="4" t="n">
        <v>42</v>
      </c>
      <c r="B762" s="4" t="s">
        <v>202</v>
      </c>
      <c r="C762" s="4" t="s">
        <v>429</v>
      </c>
      <c r="D762" s="4" t="s">
        <v>3466</v>
      </c>
      <c r="E762" s="4"/>
      <c r="F762" s="4" t="s">
        <v>34</v>
      </c>
    </row>
    <row r="763" customFormat="false" ht="41.75" hidden="false" customHeight="false" outlineLevel="0" collapsed="false">
      <c r="A763" s="4" t="n">
        <v>42</v>
      </c>
      <c r="B763" s="4" t="s">
        <v>202</v>
      </c>
      <c r="C763" s="4" t="s">
        <v>430</v>
      </c>
      <c r="D763" s="4" t="s">
        <v>3467</v>
      </c>
      <c r="E763" s="4"/>
      <c r="F763" s="4" t="s">
        <v>1040</v>
      </c>
    </row>
    <row r="764" customFormat="false" ht="28.35" hidden="false" customHeight="false" outlineLevel="0" collapsed="false">
      <c r="A764" s="4" t="n">
        <v>42</v>
      </c>
      <c r="B764" s="4" t="s">
        <v>202</v>
      </c>
      <c r="C764" s="4" t="s">
        <v>431</v>
      </c>
      <c r="D764" s="4" t="s">
        <v>3468</v>
      </c>
      <c r="E764" s="4"/>
      <c r="F764" s="4" t="s">
        <v>484</v>
      </c>
    </row>
    <row r="765" customFormat="false" ht="28.35" hidden="false" customHeight="false" outlineLevel="0" collapsed="false">
      <c r="A765" s="4" t="n">
        <v>42</v>
      </c>
      <c r="B765" s="4" t="s">
        <v>202</v>
      </c>
      <c r="C765" s="4" t="s">
        <v>432</v>
      </c>
      <c r="D765" s="4" t="s">
        <v>3469</v>
      </c>
      <c r="E765" s="4"/>
      <c r="F765" s="4" t="s">
        <v>524</v>
      </c>
    </row>
    <row r="766" customFormat="false" ht="28.35" hidden="false" customHeight="false" outlineLevel="0" collapsed="false">
      <c r="A766" s="4" t="n">
        <v>42</v>
      </c>
      <c r="B766" s="4" t="s">
        <v>202</v>
      </c>
      <c r="C766" s="4" t="s">
        <v>433</v>
      </c>
      <c r="D766" s="4" t="s">
        <v>3470</v>
      </c>
      <c r="E766" s="4"/>
      <c r="F766" s="4" t="s">
        <v>1396</v>
      </c>
    </row>
    <row r="767" customFormat="false" ht="28.35" hidden="false" customHeight="false" outlineLevel="0" collapsed="false">
      <c r="A767" s="4" t="n">
        <v>42</v>
      </c>
      <c r="B767" s="4" t="s">
        <v>202</v>
      </c>
      <c r="C767" s="4" t="s">
        <v>434</v>
      </c>
      <c r="D767" s="4" t="s">
        <v>3482</v>
      </c>
      <c r="E767" s="4"/>
      <c r="F767" s="4" t="s">
        <v>1397</v>
      </c>
    </row>
    <row r="768" customFormat="false" ht="28.35" hidden="false" customHeight="false" outlineLevel="0" collapsed="false">
      <c r="A768" s="4" t="n">
        <v>42</v>
      </c>
      <c r="B768" s="4" t="s">
        <v>202</v>
      </c>
      <c r="C768" s="4" t="s">
        <v>436</v>
      </c>
      <c r="D768" s="4" t="s">
        <v>3471</v>
      </c>
      <c r="E768" s="4"/>
      <c r="F768" s="4" t="s">
        <v>201</v>
      </c>
    </row>
    <row r="769" customFormat="false" ht="28.35" hidden="false" customHeight="false" outlineLevel="0" collapsed="false">
      <c r="A769" s="4" t="n">
        <v>42</v>
      </c>
      <c r="B769" s="4" t="s">
        <v>202</v>
      </c>
      <c r="C769" s="4" t="s">
        <v>437</v>
      </c>
      <c r="D769" s="4" t="s">
        <v>3472</v>
      </c>
      <c r="E769" s="4"/>
      <c r="F769" s="4" t="n">
        <v>10</v>
      </c>
    </row>
    <row r="770" customFormat="false" ht="41.75" hidden="false" customHeight="false" outlineLevel="0" collapsed="false">
      <c r="A770" s="4" t="n">
        <v>43</v>
      </c>
      <c r="B770" s="4" t="s">
        <v>1398</v>
      </c>
      <c r="C770" s="4" t="s">
        <v>375</v>
      </c>
      <c r="D770" s="4" t="s">
        <v>3473</v>
      </c>
      <c r="E770" s="4" t="s">
        <v>3581</v>
      </c>
      <c r="F770" s="4" t="s">
        <v>1405</v>
      </c>
    </row>
    <row r="771" customFormat="false" ht="149.25" hidden="false" customHeight="false" outlineLevel="0" collapsed="false">
      <c r="A771" s="4" t="n">
        <v>43</v>
      </c>
      <c r="B771" s="4" t="s">
        <v>1398</v>
      </c>
      <c r="C771" s="4" t="s">
        <v>380</v>
      </c>
      <c r="D771" s="4" t="s">
        <v>3474</v>
      </c>
      <c r="E771" s="4" t="s">
        <v>3582</v>
      </c>
      <c r="F771" s="4" t="s">
        <v>1410</v>
      </c>
    </row>
    <row r="772" customFormat="false" ht="28.35" hidden="false" customHeight="false" outlineLevel="0" collapsed="false">
      <c r="A772" s="4" t="n">
        <v>43</v>
      </c>
      <c r="B772" s="4" t="s">
        <v>1398</v>
      </c>
      <c r="C772" s="4" t="s">
        <v>387</v>
      </c>
      <c r="D772" s="4" t="s">
        <v>3476</v>
      </c>
      <c r="E772" s="4"/>
      <c r="F772" s="4" t="n">
        <v>17</v>
      </c>
    </row>
    <row r="773" customFormat="false" ht="28.35" hidden="false" customHeight="false" outlineLevel="0" collapsed="false">
      <c r="A773" s="4" t="n">
        <v>43</v>
      </c>
      <c r="B773" s="4" t="s">
        <v>1398</v>
      </c>
      <c r="C773" s="4" t="s">
        <v>388</v>
      </c>
      <c r="D773" s="4" t="s">
        <v>3477</v>
      </c>
      <c r="E773" s="4"/>
      <c r="F773" s="4" t="s">
        <v>1411</v>
      </c>
    </row>
    <row r="774" customFormat="false" ht="68.65" hidden="false" customHeight="false" outlineLevel="0" collapsed="false">
      <c r="A774" s="4" t="n">
        <v>43</v>
      </c>
      <c r="B774" s="4" t="s">
        <v>1398</v>
      </c>
      <c r="C774" s="4" t="s">
        <v>389</v>
      </c>
      <c r="D774" s="4" t="s">
        <v>3478</v>
      </c>
      <c r="E774" s="4" t="s">
        <v>472</v>
      </c>
      <c r="F774" s="4" t="s">
        <v>1412</v>
      </c>
    </row>
    <row r="775" customFormat="false" ht="28.35" hidden="false" customHeight="false" outlineLevel="0" collapsed="false">
      <c r="A775" s="4" t="n">
        <v>43</v>
      </c>
      <c r="B775" s="4" t="s">
        <v>1398</v>
      </c>
      <c r="C775" s="4" t="s">
        <v>390</v>
      </c>
      <c r="D775" s="4" t="s">
        <v>3479</v>
      </c>
      <c r="E775" s="4" t="s">
        <v>473</v>
      </c>
      <c r="F775" s="4" t="s">
        <v>503</v>
      </c>
    </row>
    <row r="776" customFormat="false" ht="28.35" hidden="false" customHeight="false" outlineLevel="0" collapsed="false">
      <c r="A776" s="4" t="n">
        <v>43</v>
      </c>
      <c r="B776" s="4" t="s">
        <v>1398</v>
      </c>
      <c r="C776" s="4" t="s">
        <v>391</v>
      </c>
      <c r="D776" s="4" t="s">
        <v>3480</v>
      </c>
      <c r="E776" s="4"/>
      <c r="F776" s="4" t="s">
        <v>1413</v>
      </c>
    </row>
    <row r="777" customFormat="false" ht="28.35" hidden="false" customHeight="false" outlineLevel="0" collapsed="false">
      <c r="A777" s="4" t="n">
        <v>43</v>
      </c>
      <c r="B777" s="4" t="s">
        <v>1398</v>
      </c>
      <c r="C777" s="4" t="s">
        <v>403</v>
      </c>
      <c r="D777" s="4" t="s">
        <v>3481</v>
      </c>
      <c r="E777" s="4" t="s">
        <v>1032</v>
      </c>
      <c r="F777" s="4" t="s">
        <v>1414</v>
      </c>
    </row>
    <row r="778" customFormat="false" ht="28.35" hidden="false" customHeight="false" outlineLevel="0" collapsed="false">
      <c r="A778" s="4" t="n">
        <v>43</v>
      </c>
      <c r="B778" s="4" t="s">
        <v>1398</v>
      </c>
      <c r="C778" s="4" t="s">
        <v>16</v>
      </c>
      <c r="D778" s="4" t="s">
        <v>3487</v>
      </c>
      <c r="E778" s="4"/>
      <c r="F778" s="4" t="n">
        <v>22</v>
      </c>
    </row>
    <row r="779" customFormat="false" ht="28.35" hidden="false" customHeight="false" outlineLevel="0" collapsed="false">
      <c r="A779" s="4" t="n">
        <v>43</v>
      </c>
      <c r="B779" s="4" t="s">
        <v>1398</v>
      </c>
      <c r="C779" s="4" t="s">
        <v>404</v>
      </c>
      <c r="D779" s="4" t="s">
        <v>3488</v>
      </c>
      <c r="E779" s="4"/>
      <c r="F779" s="4" t="s">
        <v>1411</v>
      </c>
    </row>
    <row r="780" customFormat="false" ht="55.2" hidden="false" customHeight="false" outlineLevel="0" collapsed="false">
      <c r="A780" s="4" t="n">
        <v>43</v>
      </c>
      <c r="B780" s="4" t="s">
        <v>1398</v>
      </c>
      <c r="C780" s="4" t="s">
        <v>405</v>
      </c>
      <c r="D780" s="4" t="s">
        <v>3489</v>
      </c>
      <c r="E780" s="4"/>
      <c r="F780" s="4" t="s">
        <v>1415</v>
      </c>
    </row>
    <row r="781" customFormat="false" ht="28.35" hidden="false" customHeight="false" outlineLevel="0" collapsed="false">
      <c r="A781" s="4" t="n">
        <v>43</v>
      </c>
      <c r="B781" s="4" t="s">
        <v>1398</v>
      </c>
      <c r="C781" s="4" t="s">
        <v>406</v>
      </c>
      <c r="D781" s="4" t="s">
        <v>3490</v>
      </c>
      <c r="E781" s="4"/>
      <c r="F781" s="4" t="s">
        <v>1413</v>
      </c>
    </row>
    <row r="782" customFormat="false" ht="108.95" hidden="false" customHeight="false" outlineLevel="0" collapsed="false">
      <c r="A782" s="4" t="n">
        <v>43</v>
      </c>
      <c r="B782" s="4" t="s">
        <v>1398</v>
      </c>
      <c r="C782" s="4" t="s">
        <v>407</v>
      </c>
      <c r="D782" s="4" t="s">
        <v>3485</v>
      </c>
      <c r="E782" s="4"/>
      <c r="F782" s="4" t="s">
        <v>1416</v>
      </c>
    </row>
    <row r="783" customFormat="false" ht="189.55" hidden="false" customHeight="false" outlineLevel="0" collapsed="false">
      <c r="A783" s="4" t="n">
        <v>43</v>
      </c>
      <c r="B783" s="4" t="s">
        <v>1398</v>
      </c>
      <c r="C783" s="4" t="s">
        <v>419</v>
      </c>
      <c r="D783" s="4" t="s">
        <v>3534</v>
      </c>
      <c r="E783" s="4" t="s">
        <v>3578</v>
      </c>
      <c r="F783" s="4" t="s">
        <v>1421</v>
      </c>
    </row>
    <row r="784" customFormat="false" ht="95.5" hidden="false" customHeight="false" outlineLevel="0" collapsed="false">
      <c r="A784" s="4" t="n">
        <v>43</v>
      </c>
      <c r="B784" s="4" t="s">
        <v>1398</v>
      </c>
      <c r="C784" s="4" t="s">
        <v>426</v>
      </c>
      <c r="D784" s="4" t="s">
        <v>3562</v>
      </c>
      <c r="E784" s="4"/>
      <c r="F784" s="4" t="s">
        <v>1422</v>
      </c>
    </row>
    <row r="785" customFormat="false" ht="28.35" hidden="false" customHeight="false" outlineLevel="0" collapsed="false">
      <c r="A785" s="4" t="n">
        <v>43</v>
      </c>
      <c r="B785" s="4" t="s">
        <v>1398</v>
      </c>
      <c r="C785" s="4" t="s">
        <v>427</v>
      </c>
      <c r="D785" s="4" t="s">
        <v>3464</v>
      </c>
      <c r="E785" s="4"/>
      <c r="F785" s="4" t="s">
        <v>23</v>
      </c>
    </row>
    <row r="786" customFormat="false" ht="28.35" hidden="false" customHeight="false" outlineLevel="0" collapsed="false">
      <c r="A786" s="4" t="n">
        <v>43</v>
      </c>
      <c r="B786" s="4" t="s">
        <v>1398</v>
      </c>
      <c r="C786" s="4" t="s">
        <v>428</v>
      </c>
      <c r="D786" s="4" t="s">
        <v>3465</v>
      </c>
      <c r="E786" s="4"/>
      <c r="F786" s="4" t="s">
        <v>28</v>
      </c>
    </row>
    <row r="787" customFormat="false" ht="28.35" hidden="false" customHeight="false" outlineLevel="0" collapsed="false">
      <c r="A787" s="4" t="n">
        <v>43</v>
      </c>
      <c r="B787" s="4" t="s">
        <v>1398</v>
      </c>
      <c r="C787" s="4" t="s">
        <v>429</v>
      </c>
      <c r="D787" s="4" t="s">
        <v>3466</v>
      </c>
      <c r="E787" s="4"/>
      <c r="F787" s="4" t="s">
        <v>37</v>
      </c>
    </row>
    <row r="788" customFormat="false" ht="41.75" hidden="false" customHeight="false" outlineLevel="0" collapsed="false">
      <c r="A788" s="4" t="n">
        <v>43</v>
      </c>
      <c r="B788" s="4" t="s">
        <v>1398</v>
      </c>
      <c r="C788" s="4" t="s">
        <v>430</v>
      </c>
      <c r="D788" s="4" t="s">
        <v>3467</v>
      </c>
      <c r="E788" s="4"/>
      <c r="F788" s="4" t="s">
        <v>1040</v>
      </c>
    </row>
    <row r="789" customFormat="false" ht="28.35" hidden="false" customHeight="false" outlineLevel="0" collapsed="false">
      <c r="A789" s="4" t="n">
        <v>43</v>
      </c>
      <c r="B789" s="4" t="s">
        <v>1398</v>
      </c>
      <c r="C789" s="4" t="s">
        <v>431</v>
      </c>
      <c r="D789" s="4" t="s">
        <v>3468</v>
      </c>
      <c r="E789" s="4"/>
      <c r="F789" s="4" t="s">
        <v>1423</v>
      </c>
    </row>
    <row r="790" customFormat="false" ht="28.35" hidden="false" customHeight="false" outlineLevel="0" collapsed="false">
      <c r="A790" s="4" t="n">
        <v>43</v>
      </c>
      <c r="B790" s="4" t="s">
        <v>1398</v>
      </c>
      <c r="C790" s="4" t="s">
        <v>432</v>
      </c>
      <c r="D790" s="4" t="s">
        <v>3469</v>
      </c>
      <c r="E790" s="4"/>
      <c r="F790" s="4" t="s">
        <v>524</v>
      </c>
    </row>
    <row r="791" customFormat="false" ht="28.35" hidden="false" customHeight="false" outlineLevel="0" collapsed="false">
      <c r="A791" s="4" t="n">
        <v>43</v>
      </c>
      <c r="B791" s="4" t="s">
        <v>1398</v>
      </c>
      <c r="C791" s="4" t="s">
        <v>433</v>
      </c>
      <c r="D791" s="4" t="s">
        <v>3470</v>
      </c>
      <c r="E791" s="4"/>
      <c r="F791" s="4" t="s">
        <v>1424</v>
      </c>
    </row>
    <row r="792" customFormat="false" ht="28.35" hidden="false" customHeight="false" outlineLevel="0" collapsed="false">
      <c r="A792" s="4" t="n">
        <v>43</v>
      </c>
      <c r="B792" s="4" t="s">
        <v>1398</v>
      </c>
      <c r="C792" s="4" t="s">
        <v>434</v>
      </c>
      <c r="D792" s="4" t="s">
        <v>3482</v>
      </c>
      <c r="E792" s="4"/>
      <c r="F792" s="4" t="s">
        <v>1425</v>
      </c>
    </row>
    <row r="793" customFormat="false" ht="28.35" hidden="false" customHeight="false" outlineLevel="0" collapsed="false">
      <c r="A793" s="4" t="n">
        <v>43</v>
      </c>
      <c r="B793" s="4" t="s">
        <v>1398</v>
      </c>
      <c r="C793" s="4" t="s">
        <v>436</v>
      </c>
      <c r="D793" s="4" t="s">
        <v>3471</v>
      </c>
      <c r="E793" s="4"/>
      <c r="F793" s="4" t="s">
        <v>134</v>
      </c>
    </row>
    <row r="794" customFormat="false" ht="28.35" hidden="false" customHeight="false" outlineLevel="0" collapsed="false">
      <c r="A794" s="4" t="n">
        <v>43</v>
      </c>
      <c r="B794" s="4" t="s">
        <v>1398</v>
      </c>
      <c r="C794" s="4" t="s">
        <v>437</v>
      </c>
      <c r="D794" s="4" t="s">
        <v>3472</v>
      </c>
      <c r="E794" s="4"/>
      <c r="F794" s="4" t="n">
        <v>10</v>
      </c>
    </row>
    <row r="795" customFormat="false" ht="28.35" hidden="false" customHeight="false" outlineLevel="0" collapsed="false">
      <c r="A795" s="4" t="n">
        <v>43</v>
      </c>
      <c r="B795" s="4" t="s">
        <v>1398</v>
      </c>
      <c r="C795" s="4" t="s">
        <v>440</v>
      </c>
      <c r="D795" s="4" t="s">
        <v>3491</v>
      </c>
      <c r="E795" s="4"/>
      <c r="F795" s="4" t="n">
        <v>5</v>
      </c>
    </row>
    <row r="796" customFormat="false" ht="28.35" hidden="false" customHeight="false" outlineLevel="0" collapsed="false">
      <c r="A796" s="4" t="n">
        <v>43</v>
      </c>
      <c r="B796" s="4" t="s">
        <v>1398</v>
      </c>
      <c r="C796" s="4" t="s">
        <v>441</v>
      </c>
      <c r="D796" s="4" t="s">
        <v>3492</v>
      </c>
      <c r="E796" s="4"/>
      <c r="F796" s="4" t="n">
        <v>8</v>
      </c>
    </row>
    <row r="797" customFormat="false" ht="28.35" hidden="false" customHeight="false" outlineLevel="0" collapsed="false">
      <c r="A797" s="4" t="n">
        <v>43</v>
      </c>
      <c r="B797" s="4" t="s">
        <v>1398</v>
      </c>
      <c r="C797" s="4" t="s">
        <v>442</v>
      </c>
      <c r="D797" s="4" t="s">
        <v>3493</v>
      </c>
      <c r="E797" s="4"/>
      <c r="F797" s="4" t="n">
        <v>4</v>
      </c>
    </row>
    <row r="798" customFormat="false" ht="28.35" hidden="false" customHeight="false" outlineLevel="0" collapsed="false">
      <c r="A798" s="4" t="n">
        <v>43</v>
      </c>
      <c r="B798" s="4" t="s">
        <v>1398</v>
      </c>
      <c r="C798" s="4" t="s">
        <v>443</v>
      </c>
      <c r="D798" s="4" t="s">
        <v>3494</v>
      </c>
      <c r="E798" s="4"/>
      <c r="F798" s="4" t="n">
        <v>17</v>
      </c>
    </row>
    <row r="799" customFormat="false" ht="28.35" hidden="false" customHeight="false" outlineLevel="0" collapsed="false">
      <c r="A799" s="4" t="n">
        <v>43</v>
      </c>
      <c r="B799" s="4" t="s">
        <v>1398</v>
      </c>
      <c r="C799" s="4" t="s">
        <v>445</v>
      </c>
      <c r="D799" s="4" t="s">
        <v>3496</v>
      </c>
      <c r="E799" s="4"/>
      <c r="F799" s="4" t="n">
        <v>1</v>
      </c>
    </row>
    <row r="800" customFormat="false" ht="41.75" hidden="false" customHeight="false" outlineLevel="0" collapsed="false">
      <c r="A800" s="4" t="n">
        <v>43</v>
      </c>
      <c r="B800" s="4" t="s">
        <v>1398</v>
      </c>
      <c r="C800" s="4" t="s">
        <v>447</v>
      </c>
      <c r="D800" s="4" t="s">
        <v>3498</v>
      </c>
      <c r="E800" s="4"/>
      <c r="F800" s="4" t="s">
        <v>1426</v>
      </c>
    </row>
    <row r="801" customFormat="false" ht="95.5" hidden="false" customHeight="false" outlineLevel="0" collapsed="false">
      <c r="A801" s="4" t="n">
        <v>43</v>
      </c>
      <c r="B801" s="4" t="s">
        <v>1398</v>
      </c>
      <c r="C801" s="4" t="s">
        <v>448</v>
      </c>
      <c r="D801" s="4" t="s">
        <v>3499</v>
      </c>
      <c r="E801" s="4"/>
      <c r="F801" s="4" t="s">
        <v>1427</v>
      </c>
    </row>
    <row r="802" customFormat="false" ht="28.35" hidden="false" customHeight="false" outlineLevel="0" collapsed="false">
      <c r="A802" s="4" t="n">
        <v>43</v>
      </c>
      <c r="B802" s="4" t="s">
        <v>1398</v>
      </c>
      <c r="C802" s="4" t="s">
        <v>449</v>
      </c>
      <c r="D802" s="4" t="s">
        <v>3500</v>
      </c>
      <c r="E802" s="4"/>
      <c r="F802" s="4" t="s">
        <v>1413</v>
      </c>
    </row>
    <row r="803" customFormat="false" ht="189.55" hidden="false" customHeight="false" outlineLevel="0" collapsed="false">
      <c r="A803" s="4" t="n">
        <v>43</v>
      </c>
      <c r="B803" s="4" t="s">
        <v>1398</v>
      </c>
      <c r="C803" s="4" t="s">
        <v>450</v>
      </c>
      <c r="D803" s="4" t="s">
        <v>3501</v>
      </c>
      <c r="E803" s="4"/>
      <c r="F803" s="4" t="s">
        <v>1428</v>
      </c>
    </row>
    <row r="804" customFormat="false" ht="256.7" hidden="false" customHeight="false" outlineLevel="0" collapsed="false">
      <c r="A804" s="4" t="n">
        <v>44</v>
      </c>
      <c r="B804" s="4" t="s">
        <v>1429</v>
      </c>
      <c r="C804" s="4" t="s">
        <v>372</v>
      </c>
      <c r="D804" s="4" t="s">
        <v>3504</v>
      </c>
      <c r="E804" s="4" t="s">
        <v>3583</v>
      </c>
      <c r="F804" s="4" t="s">
        <v>1435</v>
      </c>
    </row>
    <row r="805" customFormat="false" ht="82.05" hidden="false" customHeight="false" outlineLevel="0" collapsed="false">
      <c r="A805" s="4" t="n">
        <v>44</v>
      </c>
      <c r="B805" s="4" t="s">
        <v>1429</v>
      </c>
      <c r="C805" s="4" t="s">
        <v>380</v>
      </c>
      <c r="D805" s="4" t="s">
        <v>3474</v>
      </c>
      <c r="E805" s="4" t="s">
        <v>3584</v>
      </c>
      <c r="F805" s="4" t="s">
        <v>1437</v>
      </c>
    </row>
    <row r="806" customFormat="false" ht="162.65" hidden="false" customHeight="false" outlineLevel="0" collapsed="false">
      <c r="A806" s="4" t="n">
        <v>44</v>
      </c>
      <c r="B806" s="4" t="s">
        <v>1429</v>
      </c>
      <c r="C806" s="4" t="s">
        <v>407</v>
      </c>
      <c r="D806" s="4" t="s">
        <v>3485</v>
      </c>
      <c r="E806" s="4" t="s">
        <v>3585</v>
      </c>
      <c r="F806" s="4" t="s">
        <v>1438</v>
      </c>
    </row>
    <row r="807" customFormat="false" ht="28.35" hidden="false" customHeight="false" outlineLevel="0" collapsed="false">
      <c r="A807" s="4" t="n">
        <v>44</v>
      </c>
      <c r="B807" s="4" t="s">
        <v>1429</v>
      </c>
      <c r="C807" s="4" t="s">
        <v>427</v>
      </c>
      <c r="D807" s="4" t="s">
        <v>3464</v>
      </c>
      <c r="E807" s="4"/>
      <c r="F807" s="4" t="s">
        <v>24</v>
      </c>
    </row>
    <row r="808" customFormat="false" ht="28.35" hidden="false" customHeight="false" outlineLevel="0" collapsed="false">
      <c r="A808" s="4" t="n">
        <v>44</v>
      </c>
      <c r="B808" s="4" t="s">
        <v>1429</v>
      </c>
      <c r="C808" s="4" t="s">
        <v>428</v>
      </c>
      <c r="D808" s="4" t="s">
        <v>3465</v>
      </c>
      <c r="E808" s="4"/>
      <c r="F808" s="4" t="s">
        <v>30</v>
      </c>
    </row>
    <row r="809" customFormat="false" ht="28.35" hidden="false" customHeight="false" outlineLevel="0" collapsed="false">
      <c r="A809" s="4" t="n">
        <v>44</v>
      </c>
      <c r="B809" s="4" t="s">
        <v>1429</v>
      </c>
      <c r="C809" s="4" t="s">
        <v>429</v>
      </c>
      <c r="D809" s="4" t="s">
        <v>3466</v>
      </c>
      <c r="E809" s="4"/>
      <c r="F809" s="4" t="s">
        <v>37</v>
      </c>
    </row>
    <row r="810" customFormat="false" ht="28.35" hidden="false" customHeight="false" outlineLevel="0" collapsed="false">
      <c r="A810" s="4" t="n">
        <v>44</v>
      </c>
      <c r="B810" s="4" t="s">
        <v>1429</v>
      </c>
      <c r="C810" s="4" t="s">
        <v>431</v>
      </c>
      <c r="D810" s="4" t="s">
        <v>3468</v>
      </c>
      <c r="E810" s="4"/>
      <c r="F810" s="4" t="s">
        <v>1444</v>
      </c>
    </row>
    <row r="811" customFormat="false" ht="28.35" hidden="false" customHeight="false" outlineLevel="0" collapsed="false">
      <c r="A811" s="4" t="n">
        <v>44</v>
      </c>
      <c r="B811" s="4" t="s">
        <v>1429</v>
      </c>
      <c r="C811" s="4" t="s">
        <v>432</v>
      </c>
      <c r="D811" s="4" t="s">
        <v>3469</v>
      </c>
      <c r="E811" s="4"/>
      <c r="F811" s="4" t="s">
        <v>713</v>
      </c>
    </row>
    <row r="812" customFormat="false" ht="28.35" hidden="false" customHeight="false" outlineLevel="0" collapsed="false">
      <c r="A812" s="4" t="n">
        <v>44</v>
      </c>
      <c r="B812" s="4" t="s">
        <v>1429</v>
      </c>
      <c r="C812" s="4" t="s">
        <v>433</v>
      </c>
      <c r="D812" s="4" t="s">
        <v>3470</v>
      </c>
      <c r="E812" s="4"/>
      <c r="F812" s="4" t="s">
        <v>1445</v>
      </c>
    </row>
    <row r="813" customFormat="false" ht="28.35" hidden="false" customHeight="false" outlineLevel="0" collapsed="false">
      <c r="A813" s="4" t="n">
        <v>44</v>
      </c>
      <c r="B813" s="4" t="s">
        <v>1429</v>
      </c>
      <c r="C813" s="4" t="s">
        <v>434</v>
      </c>
      <c r="D813" s="4" t="s">
        <v>3482</v>
      </c>
      <c r="E813" s="4"/>
      <c r="F813" s="4" t="s">
        <v>1446</v>
      </c>
    </row>
    <row r="814" customFormat="false" ht="28.35" hidden="false" customHeight="false" outlineLevel="0" collapsed="false">
      <c r="A814" s="4" t="n">
        <v>44</v>
      </c>
      <c r="B814" s="4" t="s">
        <v>1429</v>
      </c>
      <c r="C814" s="4" t="s">
        <v>435</v>
      </c>
      <c r="D814" s="4" t="s">
        <v>3510</v>
      </c>
      <c r="E814" s="4"/>
      <c r="F814" s="4" t="s">
        <v>1447</v>
      </c>
    </row>
    <row r="815" customFormat="false" ht="28.35" hidden="false" customHeight="false" outlineLevel="0" collapsed="false">
      <c r="A815" s="4" t="n">
        <v>44</v>
      </c>
      <c r="B815" s="4" t="s">
        <v>1429</v>
      </c>
      <c r="C815" s="4" t="s">
        <v>436</v>
      </c>
      <c r="D815" s="4" t="s">
        <v>3471</v>
      </c>
      <c r="E815" s="4"/>
      <c r="F815" s="4" t="s">
        <v>1448</v>
      </c>
    </row>
    <row r="816" customFormat="false" ht="243.25" hidden="false" customHeight="false" outlineLevel="0" collapsed="false">
      <c r="A816" s="4" t="n">
        <v>45</v>
      </c>
      <c r="B816" s="4" t="s">
        <v>165</v>
      </c>
      <c r="C816" s="4" t="s">
        <v>372</v>
      </c>
      <c r="D816" s="4" t="s">
        <v>3504</v>
      </c>
      <c r="E816" s="4" t="s">
        <v>3586</v>
      </c>
      <c r="F816" s="4" t="s">
        <v>1454</v>
      </c>
    </row>
    <row r="817" customFormat="false" ht="55.2" hidden="false" customHeight="false" outlineLevel="0" collapsed="false">
      <c r="A817" s="4" t="n">
        <v>45</v>
      </c>
      <c r="B817" s="4" t="s">
        <v>165</v>
      </c>
      <c r="C817" s="4" t="s">
        <v>380</v>
      </c>
      <c r="D817" s="4" t="s">
        <v>3474</v>
      </c>
      <c r="E817" s="4" t="s">
        <v>3587</v>
      </c>
      <c r="F817" s="4" t="s">
        <v>1458</v>
      </c>
    </row>
    <row r="818" customFormat="false" ht="149.25" hidden="false" customHeight="false" outlineLevel="0" collapsed="false">
      <c r="A818" s="4" t="n">
        <v>45</v>
      </c>
      <c r="B818" s="4" t="s">
        <v>165</v>
      </c>
      <c r="C818" s="4" t="s">
        <v>407</v>
      </c>
      <c r="D818" s="4" t="s">
        <v>3485</v>
      </c>
      <c r="E818" s="4" t="s">
        <v>3588</v>
      </c>
      <c r="F818" s="4" t="s">
        <v>1459</v>
      </c>
    </row>
    <row r="819" customFormat="false" ht="28.35" hidden="false" customHeight="false" outlineLevel="0" collapsed="false">
      <c r="A819" s="4" t="n">
        <v>45</v>
      </c>
      <c r="B819" s="4" t="s">
        <v>165</v>
      </c>
      <c r="C819" s="4" t="s">
        <v>427</v>
      </c>
      <c r="D819" s="4" t="s">
        <v>3464</v>
      </c>
      <c r="E819" s="4"/>
      <c r="F819" s="4" t="s">
        <v>24</v>
      </c>
    </row>
    <row r="820" customFormat="false" ht="28.35" hidden="false" customHeight="false" outlineLevel="0" collapsed="false">
      <c r="A820" s="4" t="n">
        <v>45</v>
      </c>
      <c r="B820" s="4" t="s">
        <v>165</v>
      </c>
      <c r="C820" s="4" t="s">
        <v>428</v>
      </c>
      <c r="D820" s="4" t="s">
        <v>3465</v>
      </c>
      <c r="E820" s="4"/>
      <c r="F820" s="4" t="s">
        <v>30</v>
      </c>
    </row>
    <row r="821" customFormat="false" ht="28.35" hidden="false" customHeight="false" outlineLevel="0" collapsed="false">
      <c r="A821" s="4" t="n">
        <v>45</v>
      </c>
      <c r="B821" s="4" t="s">
        <v>165</v>
      </c>
      <c r="C821" s="4" t="s">
        <v>429</v>
      </c>
      <c r="D821" s="4" t="s">
        <v>3466</v>
      </c>
      <c r="E821" s="4"/>
      <c r="F821" s="4" t="s">
        <v>37</v>
      </c>
    </row>
    <row r="822" customFormat="false" ht="41.75" hidden="false" customHeight="false" outlineLevel="0" collapsed="false">
      <c r="A822" s="4" t="n">
        <v>45</v>
      </c>
      <c r="B822" s="4" t="s">
        <v>165</v>
      </c>
      <c r="C822" s="4" t="s">
        <v>430</v>
      </c>
      <c r="D822" s="4" t="s">
        <v>3467</v>
      </c>
      <c r="E822" s="4"/>
      <c r="F822" s="4" t="s">
        <v>1464</v>
      </c>
    </row>
    <row r="823" customFormat="false" ht="28.35" hidden="false" customHeight="false" outlineLevel="0" collapsed="false">
      <c r="A823" s="4" t="n">
        <v>45</v>
      </c>
      <c r="B823" s="4" t="s">
        <v>165</v>
      </c>
      <c r="C823" s="4" t="s">
        <v>431</v>
      </c>
      <c r="D823" s="4" t="s">
        <v>3468</v>
      </c>
      <c r="E823" s="4"/>
      <c r="F823" s="4" t="s">
        <v>484</v>
      </c>
    </row>
    <row r="824" customFormat="false" ht="28.35" hidden="false" customHeight="false" outlineLevel="0" collapsed="false">
      <c r="A824" s="4" t="n">
        <v>45</v>
      </c>
      <c r="B824" s="4" t="s">
        <v>165</v>
      </c>
      <c r="C824" s="4" t="s">
        <v>432</v>
      </c>
      <c r="D824" s="4" t="s">
        <v>3469</v>
      </c>
      <c r="E824" s="4"/>
      <c r="F824" s="4" t="s">
        <v>664</v>
      </c>
    </row>
    <row r="825" customFormat="false" ht="28.35" hidden="false" customHeight="false" outlineLevel="0" collapsed="false">
      <c r="A825" s="4" t="n">
        <v>45</v>
      </c>
      <c r="B825" s="4" t="s">
        <v>165</v>
      </c>
      <c r="C825" s="4" t="s">
        <v>433</v>
      </c>
      <c r="D825" s="4" t="s">
        <v>3470</v>
      </c>
      <c r="E825" s="4"/>
      <c r="F825" s="4" t="s">
        <v>1465</v>
      </c>
    </row>
    <row r="826" customFormat="false" ht="28.35" hidden="false" customHeight="false" outlineLevel="0" collapsed="false">
      <c r="A826" s="4" t="n">
        <v>45</v>
      </c>
      <c r="B826" s="4" t="s">
        <v>165</v>
      </c>
      <c r="C826" s="4" t="s">
        <v>434</v>
      </c>
      <c r="D826" s="4" t="s">
        <v>3482</v>
      </c>
      <c r="E826" s="4"/>
      <c r="F826" s="4" t="s">
        <v>1466</v>
      </c>
    </row>
    <row r="827" customFormat="false" ht="28.35" hidden="false" customHeight="false" outlineLevel="0" collapsed="false">
      <c r="A827" s="4" t="n">
        <v>45</v>
      </c>
      <c r="B827" s="4" t="s">
        <v>165</v>
      </c>
      <c r="C827" s="4" t="s">
        <v>435</v>
      </c>
      <c r="D827" s="4" t="s">
        <v>3510</v>
      </c>
      <c r="E827" s="4"/>
      <c r="F827" s="4" t="s">
        <v>572</v>
      </c>
    </row>
    <row r="828" customFormat="false" ht="28.35" hidden="false" customHeight="false" outlineLevel="0" collapsed="false">
      <c r="A828" s="4" t="n">
        <v>45</v>
      </c>
      <c r="B828" s="4" t="s">
        <v>165</v>
      </c>
      <c r="C828" s="4" t="s">
        <v>436</v>
      </c>
      <c r="D828" s="4" t="s">
        <v>3471</v>
      </c>
      <c r="E828" s="4"/>
      <c r="F828" s="4" t="s">
        <v>164</v>
      </c>
    </row>
    <row r="829" customFormat="false" ht="28.35" hidden="false" customHeight="false" outlineLevel="0" collapsed="false">
      <c r="A829" s="4" t="n">
        <v>45</v>
      </c>
      <c r="B829" s="4" t="s">
        <v>165</v>
      </c>
      <c r="C829" s="4" t="s">
        <v>437</v>
      </c>
      <c r="D829" s="4" t="s">
        <v>3472</v>
      </c>
      <c r="E829" s="4"/>
      <c r="F829" s="4" t="n">
        <v>3</v>
      </c>
    </row>
    <row r="830" customFormat="false" ht="243.25" hidden="false" customHeight="false" outlineLevel="0" collapsed="false">
      <c r="A830" s="4" t="n">
        <v>46</v>
      </c>
      <c r="B830" s="4" t="s">
        <v>249</v>
      </c>
      <c r="C830" s="4" t="s">
        <v>372</v>
      </c>
      <c r="D830" s="4" t="s">
        <v>3504</v>
      </c>
      <c r="E830" s="4" t="s">
        <v>3589</v>
      </c>
      <c r="F830" s="4" t="s">
        <v>1472</v>
      </c>
    </row>
    <row r="831" customFormat="false" ht="68.65" hidden="false" customHeight="false" outlineLevel="0" collapsed="false">
      <c r="A831" s="4" t="n">
        <v>46</v>
      </c>
      <c r="B831" s="4" t="s">
        <v>249</v>
      </c>
      <c r="C831" s="4" t="s">
        <v>380</v>
      </c>
      <c r="D831" s="4" t="s">
        <v>3474</v>
      </c>
      <c r="E831" s="4" t="s">
        <v>3590</v>
      </c>
      <c r="F831" s="4" t="s">
        <v>1474</v>
      </c>
    </row>
    <row r="832" customFormat="false" ht="122.35" hidden="false" customHeight="false" outlineLevel="0" collapsed="false">
      <c r="A832" s="4" t="n">
        <v>46</v>
      </c>
      <c r="B832" s="4" t="s">
        <v>249</v>
      </c>
      <c r="C832" s="4" t="s">
        <v>407</v>
      </c>
      <c r="D832" s="4" t="s">
        <v>3485</v>
      </c>
      <c r="E832" s="4" t="s">
        <v>3591</v>
      </c>
      <c r="F832" s="4" t="s">
        <v>1475</v>
      </c>
    </row>
    <row r="833" customFormat="false" ht="15" hidden="false" customHeight="false" outlineLevel="0" collapsed="false">
      <c r="A833" s="4" t="n">
        <v>46</v>
      </c>
      <c r="B833" s="4" t="s">
        <v>249</v>
      </c>
      <c r="C833" s="4" t="s">
        <v>427</v>
      </c>
      <c r="D833" s="4" t="s">
        <v>3464</v>
      </c>
      <c r="E833" s="4"/>
      <c r="F833" s="4" t="s">
        <v>25</v>
      </c>
    </row>
    <row r="834" customFormat="false" ht="15" hidden="false" customHeight="false" outlineLevel="0" collapsed="false">
      <c r="A834" s="4" t="n">
        <v>46</v>
      </c>
      <c r="B834" s="4" t="s">
        <v>249</v>
      </c>
      <c r="C834" s="4" t="s">
        <v>428</v>
      </c>
      <c r="D834" s="4" t="s">
        <v>3465</v>
      </c>
      <c r="E834" s="4"/>
      <c r="F834" s="4" t="s">
        <v>32</v>
      </c>
    </row>
    <row r="835" customFormat="false" ht="15" hidden="false" customHeight="false" outlineLevel="0" collapsed="false">
      <c r="A835" s="4" t="n">
        <v>46</v>
      </c>
      <c r="B835" s="4" t="s">
        <v>249</v>
      </c>
      <c r="C835" s="4" t="s">
        <v>429</v>
      </c>
      <c r="D835" s="4" t="s">
        <v>3466</v>
      </c>
      <c r="E835" s="4"/>
      <c r="F835" s="4" t="s">
        <v>34</v>
      </c>
    </row>
    <row r="836" customFormat="false" ht="41.75" hidden="false" customHeight="false" outlineLevel="0" collapsed="false">
      <c r="A836" s="4" t="n">
        <v>46</v>
      </c>
      <c r="B836" s="4" t="s">
        <v>249</v>
      </c>
      <c r="C836" s="4" t="s">
        <v>430</v>
      </c>
      <c r="D836" s="4" t="s">
        <v>3467</v>
      </c>
      <c r="E836" s="4"/>
      <c r="F836" s="4" t="s">
        <v>1480</v>
      </c>
    </row>
    <row r="837" customFormat="false" ht="15" hidden="false" customHeight="false" outlineLevel="0" collapsed="false">
      <c r="A837" s="4" t="n">
        <v>46</v>
      </c>
      <c r="B837" s="4" t="s">
        <v>249</v>
      </c>
      <c r="C837" s="4" t="s">
        <v>431</v>
      </c>
      <c r="D837" s="4" t="s">
        <v>3468</v>
      </c>
      <c r="E837" s="4"/>
      <c r="F837" s="4" t="s">
        <v>484</v>
      </c>
    </row>
    <row r="838" customFormat="false" ht="15" hidden="false" customHeight="false" outlineLevel="0" collapsed="false">
      <c r="A838" s="4" t="n">
        <v>46</v>
      </c>
      <c r="B838" s="4" t="s">
        <v>249</v>
      </c>
      <c r="C838" s="4" t="s">
        <v>432</v>
      </c>
      <c r="D838" s="4" t="s">
        <v>3469</v>
      </c>
      <c r="E838" s="4"/>
      <c r="F838" s="4" t="s">
        <v>713</v>
      </c>
    </row>
    <row r="839" customFormat="false" ht="28.35" hidden="false" customHeight="false" outlineLevel="0" collapsed="false">
      <c r="A839" s="4" t="n">
        <v>46</v>
      </c>
      <c r="B839" s="4" t="s">
        <v>249</v>
      </c>
      <c r="C839" s="4" t="s">
        <v>433</v>
      </c>
      <c r="D839" s="4" t="s">
        <v>3470</v>
      </c>
      <c r="E839" s="4"/>
      <c r="F839" s="4" t="s">
        <v>1481</v>
      </c>
    </row>
    <row r="840" customFormat="false" ht="15" hidden="false" customHeight="false" outlineLevel="0" collapsed="false">
      <c r="A840" s="4" t="n">
        <v>46</v>
      </c>
      <c r="B840" s="4" t="s">
        <v>249</v>
      </c>
      <c r="C840" s="4" t="s">
        <v>434</v>
      </c>
      <c r="D840" s="4" t="s">
        <v>3482</v>
      </c>
      <c r="E840" s="4"/>
      <c r="F840" s="4" t="s">
        <v>1482</v>
      </c>
    </row>
    <row r="841" customFormat="false" ht="15" hidden="false" customHeight="false" outlineLevel="0" collapsed="false">
      <c r="A841" s="4" t="n">
        <v>46</v>
      </c>
      <c r="B841" s="4" t="s">
        <v>249</v>
      </c>
      <c r="C841" s="4" t="s">
        <v>435</v>
      </c>
      <c r="D841" s="4" t="s">
        <v>3510</v>
      </c>
      <c r="E841" s="4"/>
      <c r="F841" s="4" t="s">
        <v>1483</v>
      </c>
    </row>
    <row r="842" customFormat="false" ht="15" hidden="false" customHeight="false" outlineLevel="0" collapsed="false">
      <c r="A842" s="4" t="n">
        <v>46</v>
      </c>
      <c r="B842" s="4" t="s">
        <v>249</v>
      </c>
      <c r="C842" s="4" t="s">
        <v>436</v>
      </c>
      <c r="D842" s="4" t="s">
        <v>3471</v>
      </c>
      <c r="E842" s="4"/>
      <c r="F842" s="4" t="s">
        <v>248</v>
      </c>
    </row>
    <row r="843" customFormat="false" ht="28.35" hidden="false" customHeight="false" outlineLevel="0" collapsed="false">
      <c r="A843" s="4" t="n">
        <v>46</v>
      </c>
      <c r="B843" s="4" t="s">
        <v>249</v>
      </c>
      <c r="C843" s="4" t="s">
        <v>437</v>
      </c>
      <c r="D843" s="4" t="s">
        <v>3472</v>
      </c>
      <c r="E843" s="4"/>
      <c r="F843" s="4" t="n">
        <v>5</v>
      </c>
    </row>
    <row r="844" customFormat="false" ht="28.35" hidden="false" customHeight="false" outlineLevel="0" collapsed="false">
      <c r="A844" s="4" t="n">
        <v>47</v>
      </c>
      <c r="B844" s="4" t="s">
        <v>1484</v>
      </c>
      <c r="C844" s="4" t="s">
        <v>369</v>
      </c>
      <c r="D844" s="4" t="s">
        <v>3503</v>
      </c>
      <c r="E844" s="4" t="s">
        <v>780</v>
      </c>
      <c r="F844" s="4" t="s">
        <v>643</v>
      </c>
    </row>
    <row r="845" customFormat="false" ht="189.55" hidden="false" customHeight="false" outlineLevel="0" collapsed="false">
      <c r="A845" s="4" t="n">
        <v>47</v>
      </c>
      <c r="B845" s="4" t="s">
        <v>1484</v>
      </c>
      <c r="C845" s="4" t="s">
        <v>372</v>
      </c>
      <c r="D845" s="4" t="s">
        <v>3504</v>
      </c>
      <c r="E845" s="4" t="s">
        <v>3592</v>
      </c>
      <c r="F845" s="4" t="s">
        <v>1490</v>
      </c>
    </row>
    <row r="846" customFormat="false" ht="55.2" hidden="false" customHeight="false" outlineLevel="0" collapsed="false">
      <c r="A846" s="4" t="n">
        <v>47</v>
      </c>
      <c r="B846" s="4" t="s">
        <v>1484</v>
      </c>
      <c r="C846" s="4" t="s">
        <v>380</v>
      </c>
      <c r="D846" s="4" t="s">
        <v>3474</v>
      </c>
      <c r="E846" s="4" t="s">
        <v>1504</v>
      </c>
      <c r="F846" s="4" t="s">
        <v>1493</v>
      </c>
    </row>
    <row r="847" customFormat="false" ht="55.2" hidden="false" customHeight="false" outlineLevel="0" collapsed="false">
      <c r="A847" s="4" t="n">
        <v>47</v>
      </c>
      <c r="B847" s="4" t="s">
        <v>1484</v>
      </c>
      <c r="C847" s="4" t="s">
        <v>390</v>
      </c>
      <c r="D847" s="4" t="s">
        <v>3479</v>
      </c>
      <c r="E847" s="4" t="s">
        <v>473</v>
      </c>
      <c r="F847" s="4" t="s">
        <v>1494</v>
      </c>
    </row>
    <row r="848" customFormat="false" ht="55.2" hidden="false" customHeight="false" outlineLevel="0" collapsed="false">
      <c r="A848" s="4" t="n">
        <v>47</v>
      </c>
      <c r="B848" s="4" t="s">
        <v>1484</v>
      </c>
      <c r="C848" s="4" t="s">
        <v>395</v>
      </c>
      <c r="D848" s="4" t="s">
        <v>3507</v>
      </c>
      <c r="E848" s="4" t="s">
        <v>474</v>
      </c>
      <c r="F848" s="4" t="s">
        <v>1495</v>
      </c>
    </row>
    <row r="849" customFormat="false" ht="41.75" hidden="false" customHeight="false" outlineLevel="0" collapsed="false">
      <c r="A849" s="4" t="n">
        <v>47</v>
      </c>
      <c r="B849" s="4" t="s">
        <v>1484</v>
      </c>
      <c r="C849" s="4" t="s">
        <v>402</v>
      </c>
      <c r="D849" s="4" t="s">
        <v>3508</v>
      </c>
      <c r="E849" s="4" t="s">
        <v>475</v>
      </c>
      <c r="F849" s="4" t="s">
        <v>1496</v>
      </c>
    </row>
    <row r="850" customFormat="false" ht="55.2" hidden="false" customHeight="false" outlineLevel="0" collapsed="false">
      <c r="A850" s="4" t="n">
        <v>47</v>
      </c>
      <c r="B850" s="4" t="s">
        <v>1484</v>
      </c>
      <c r="C850" s="4" t="s">
        <v>403</v>
      </c>
      <c r="D850" s="4" t="s">
        <v>3481</v>
      </c>
      <c r="E850" s="4" t="s">
        <v>1095</v>
      </c>
      <c r="F850" s="4" t="s">
        <v>1497</v>
      </c>
    </row>
    <row r="851" customFormat="false" ht="135.8" hidden="false" customHeight="false" outlineLevel="0" collapsed="false">
      <c r="A851" s="4" t="n">
        <v>47</v>
      </c>
      <c r="B851" s="4" t="s">
        <v>1484</v>
      </c>
      <c r="C851" s="4" t="s">
        <v>407</v>
      </c>
      <c r="D851" s="4" t="s">
        <v>3485</v>
      </c>
      <c r="E851" s="4" t="s">
        <v>3593</v>
      </c>
      <c r="F851" s="4" t="s">
        <v>1498</v>
      </c>
    </row>
    <row r="852" customFormat="false" ht="15" hidden="false" customHeight="false" outlineLevel="0" collapsed="false">
      <c r="A852" s="4" t="n">
        <v>47</v>
      </c>
      <c r="B852" s="4" t="s">
        <v>1484</v>
      </c>
      <c r="C852" s="4" t="s">
        <v>427</v>
      </c>
      <c r="D852" s="4" t="s">
        <v>3464</v>
      </c>
      <c r="E852" s="4"/>
      <c r="F852" s="4" t="s">
        <v>24</v>
      </c>
    </row>
    <row r="853" customFormat="false" ht="15" hidden="false" customHeight="false" outlineLevel="0" collapsed="false">
      <c r="A853" s="4" t="n">
        <v>47</v>
      </c>
      <c r="B853" s="4" t="s">
        <v>1484</v>
      </c>
      <c r="C853" s="4" t="s">
        <v>428</v>
      </c>
      <c r="D853" s="4" t="s">
        <v>3465</v>
      </c>
      <c r="E853" s="4"/>
      <c r="F853" s="4" t="s">
        <v>31</v>
      </c>
    </row>
    <row r="854" customFormat="false" ht="15" hidden="false" customHeight="false" outlineLevel="0" collapsed="false">
      <c r="A854" s="4" t="n">
        <v>47</v>
      </c>
      <c r="B854" s="4" t="s">
        <v>1484</v>
      </c>
      <c r="C854" s="4" t="s">
        <v>429</v>
      </c>
      <c r="D854" s="4" t="s">
        <v>3466</v>
      </c>
      <c r="E854" s="4"/>
      <c r="F854" s="4" t="s">
        <v>38</v>
      </c>
    </row>
    <row r="855" customFormat="false" ht="15" hidden="false" customHeight="false" outlineLevel="0" collapsed="false">
      <c r="A855" s="4" t="n">
        <v>47</v>
      </c>
      <c r="B855" s="4" t="s">
        <v>1484</v>
      </c>
      <c r="C855" s="4" t="s">
        <v>431</v>
      </c>
      <c r="D855" s="4" t="s">
        <v>3468</v>
      </c>
      <c r="E855" s="4"/>
      <c r="F855" s="4" t="s">
        <v>484</v>
      </c>
    </row>
    <row r="856" customFormat="false" ht="15" hidden="false" customHeight="false" outlineLevel="0" collapsed="false">
      <c r="A856" s="4" t="n">
        <v>47</v>
      </c>
      <c r="B856" s="4" t="s">
        <v>1484</v>
      </c>
      <c r="C856" s="4" t="s">
        <v>432</v>
      </c>
      <c r="D856" s="4" t="s">
        <v>3469</v>
      </c>
      <c r="E856" s="4"/>
      <c r="F856" s="4" t="s">
        <v>664</v>
      </c>
    </row>
    <row r="857" customFormat="false" ht="41.75" hidden="false" customHeight="false" outlineLevel="0" collapsed="false">
      <c r="A857" s="4" t="n">
        <v>47</v>
      </c>
      <c r="B857" s="4" t="s">
        <v>1484</v>
      </c>
      <c r="C857" s="4" t="s">
        <v>433</v>
      </c>
      <c r="D857" s="4" t="s">
        <v>3470</v>
      </c>
      <c r="E857" s="4"/>
      <c r="F857" s="4" t="s">
        <v>665</v>
      </c>
    </row>
    <row r="858" customFormat="false" ht="15" hidden="false" customHeight="false" outlineLevel="0" collapsed="false">
      <c r="A858" s="4" t="n">
        <v>47</v>
      </c>
      <c r="B858" s="4" t="s">
        <v>1484</v>
      </c>
      <c r="C858" s="4" t="s">
        <v>434</v>
      </c>
      <c r="D858" s="4" t="s">
        <v>3482</v>
      </c>
      <c r="E858" s="4"/>
      <c r="F858" s="4" t="s">
        <v>666</v>
      </c>
    </row>
    <row r="859" customFormat="false" ht="28.35" hidden="false" customHeight="false" outlineLevel="0" collapsed="false">
      <c r="A859" s="4" t="n">
        <v>47</v>
      </c>
      <c r="B859" s="4" t="s">
        <v>1484</v>
      </c>
      <c r="C859" s="4" t="s">
        <v>435</v>
      </c>
      <c r="D859" s="4" t="s">
        <v>3510</v>
      </c>
      <c r="E859" s="4"/>
      <c r="F859" s="4" t="s">
        <v>667</v>
      </c>
    </row>
    <row r="860" customFormat="false" ht="15" hidden="false" customHeight="false" outlineLevel="0" collapsed="false">
      <c r="A860" s="4" t="n">
        <v>47</v>
      </c>
      <c r="B860" s="4" t="s">
        <v>1484</v>
      </c>
      <c r="C860" s="4" t="s">
        <v>436</v>
      </c>
      <c r="D860" s="4" t="s">
        <v>3471</v>
      </c>
      <c r="E860" s="4"/>
      <c r="F860" s="4" t="s">
        <v>1505</v>
      </c>
    </row>
    <row r="861" customFormat="false" ht="55.2" hidden="false" customHeight="false" outlineLevel="0" collapsed="false">
      <c r="A861" s="4" t="n">
        <v>47</v>
      </c>
      <c r="B861" s="4" t="s">
        <v>1484</v>
      </c>
      <c r="C861" s="4" t="s">
        <v>438</v>
      </c>
      <c r="D861" s="4" t="s">
        <v>3511</v>
      </c>
      <c r="E861" s="4"/>
      <c r="F861" s="4" t="s">
        <v>1506</v>
      </c>
    </row>
    <row r="862" customFormat="false" ht="28.35" hidden="false" customHeight="false" outlineLevel="0" collapsed="false">
      <c r="A862" s="4" t="n">
        <v>48</v>
      </c>
      <c r="B862" s="4" t="s">
        <v>1507</v>
      </c>
      <c r="C862" s="4" t="s">
        <v>369</v>
      </c>
      <c r="D862" s="4" t="s">
        <v>3503</v>
      </c>
      <c r="E862" s="4" t="s">
        <v>780</v>
      </c>
      <c r="F862" s="4" t="s">
        <v>643</v>
      </c>
    </row>
    <row r="863" customFormat="false" ht="135.8" hidden="false" customHeight="false" outlineLevel="0" collapsed="false">
      <c r="A863" s="4" t="n">
        <v>48</v>
      </c>
      <c r="B863" s="4" t="s">
        <v>1507</v>
      </c>
      <c r="C863" s="4" t="s">
        <v>372</v>
      </c>
      <c r="D863" s="4" t="s">
        <v>3504</v>
      </c>
      <c r="E863" s="4" t="s">
        <v>3592</v>
      </c>
      <c r="F863" s="4" t="s">
        <v>1513</v>
      </c>
    </row>
    <row r="864" customFormat="false" ht="55.2" hidden="false" customHeight="false" outlineLevel="0" collapsed="false">
      <c r="A864" s="4" t="n">
        <v>48</v>
      </c>
      <c r="B864" s="4" t="s">
        <v>1507</v>
      </c>
      <c r="C864" s="4" t="s">
        <v>380</v>
      </c>
      <c r="D864" s="4" t="s">
        <v>3474</v>
      </c>
      <c r="E864" s="4" t="s">
        <v>3594</v>
      </c>
      <c r="F864" s="4" t="s">
        <v>1516</v>
      </c>
    </row>
    <row r="865" customFormat="false" ht="55.2" hidden="false" customHeight="false" outlineLevel="0" collapsed="false">
      <c r="A865" s="4" t="n">
        <v>48</v>
      </c>
      <c r="B865" s="4" t="s">
        <v>1507</v>
      </c>
      <c r="C865" s="4" t="s">
        <v>390</v>
      </c>
      <c r="D865" s="4" t="s">
        <v>3479</v>
      </c>
      <c r="E865" s="4" t="s">
        <v>473</v>
      </c>
      <c r="F865" s="4" t="s">
        <v>1517</v>
      </c>
    </row>
    <row r="866" customFormat="false" ht="55.2" hidden="false" customHeight="false" outlineLevel="0" collapsed="false">
      <c r="A866" s="4" t="n">
        <v>48</v>
      </c>
      <c r="B866" s="4" t="s">
        <v>1507</v>
      </c>
      <c r="C866" s="4" t="s">
        <v>395</v>
      </c>
      <c r="D866" s="4" t="s">
        <v>3507</v>
      </c>
      <c r="E866" s="4" t="s">
        <v>474</v>
      </c>
      <c r="F866" s="4" t="s">
        <v>1518</v>
      </c>
    </row>
    <row r="867" customFormat="false" ht="41.75" hidden="false" customHeight="false" outlineLevel="0" collapsed="false">
      <c r="A867" s="4" t="n">
        <v>48</v>
      </c>
      <c r="B867" s="4" t="s">
        <v>1507</v>
      </c>
      <c r="C867" s="4" t="s">
        <v>402</v>
      </c>
      <c r="D867" s="4" t="s">
        <v>3508</v>
      </c>
      <c r="E867" s="4" t="s">
        <v>475</v>
      </c>
      <c r="F867" s="4" t="s">
        <v>1519</v>
      </c>
    </row>
    <row r="868" customFormat="false" ht="68.65" hidden="false" customHeight="false" outlineLevel="0" collapsed="false">
      <c r="A868" s="4" t="n">
        <v>48</v>
      </c>
      <c r="B868" s="4" t="s">
        <v>1507</v>
      </c>
      <c r="C868" s="4" t="s">
        <v>403</v>
      </c>
      <c r="D868" s="4" t="s">
        <v>3481</v>
      </c>
      <c r="E868" s="4" t="s">
        <v>1095</v>
      </c>
      <c r="F868" s="4" t="s">
        <v>1520</v>
      </c>
    </row>
    <row r="869" customFormat="false" ht="108.95" hidden="false" customHeight="false" outlineLevel="0" collapsed="false">
      <c r="A869" s="4" t="n">
        <v>48</v>
      </c>
      <c r="B869" s="4" t="s">
        <v>1507</v>
      </c>
      <c r="C869" s="4" t="s">
        <v>407</v>
      </c>
      <c r="D869" s="4" t="s">
        <v>3485</v>
      </c>
      <c r="E869" s="4" t="s">
        <v>3595</v>
      </c>
      <c r="F869" s="4" t="s">
        <v>1521</v>
      </c>
    </row>
    <row r="870" customFormat="false" ht="15" hidden="false" customHeight="false" outlineLevel="0" collapsed="false">
      <c r="A870" s="4" t="n">
        <v>48</v>
      </c>
      <c r="B870" s="4" t="s">
        <v>1507</v>
      </c>
      <c r="C870" s="4" t="s">
        <v>427</v>
      </c>
      <c r="D870" s="4" t="s">
        <v>3464</v>
      </c>
      <c r="E870" s="4"/>
      <c r="F870" s="4" t="s">
        <v>24</v>
      </c>
    </row>
    <row r="871" customFormat="false" ht="15" hidden="false" customHeight="false" outlineLevel="0" collapsed="false">
      <c r="A871" s="4" t="n">
        <v>48</v>
      </c>
      <c r="B871" s="4" t="s">
        <v>1507</v>
      </c>
      <c r="C871" s="4" t="s">
        <v>428</v>
      </c>
      <c r="D871" s="4" t="s">
        <v>3465</v>
      </c>
      <c r="E871" s="4"/>
      <c r="F871" s="4" t="s">
        <v>31</v>
      </c>
    </row>
    <row r="872" customFormat="false" ht="15" hidden="false" customHeight="false" outlineLevel="0" collapsed="false">
      <c r="A872" s="4" t="n">
        <v>48</v>
      </c>
      <c r="B872" s="4" t="s">
        <v>1507</v>
      </c>
      <c r="C872" s="4" t="s">
        <v>429</v>
      </c>
      <c r="D872" s="4" t="s">
        <v>3466</v>
      </c>
      <c r="E872" s="4"/>
      <c r="F872" s="4" t="s">
        <v>38</v>
      </c>
    </row>
    <row r="873" customFormat="false" ht="15" hidden="false" customHeight="false" outlineLevel="0" collapsed="false">
      <c r="A873" s="4" t="n">
        <v>48</v>
      </c>
      <c r="B873" s="4" t="s">
        <v>1507</v>
      </c>
      <c r="C873" s="4" t="s">
        <v>431</v>
      </c>
      <c r="D873" s="4" t="s">
        <v>3468</v>
      </c>
      <c r="E873" s="4"/>
      <c r="F873" s="4" t="s">
        <v>484</v>
      </c>
    </row>
    <row r="874" customFormat="false" ht="15" hidden="false" customHeight="false" outlineLevel="0" collapsed="false">
      <c r="A874" s="4" t="n">
        <v>48</v>
      </c>
      <c r="B874" s="4" t="s">
        <v>1507</v>
      </c>
      <c r="C874" s="4" t="s">
        <v>432</v>
      </c>
      <c r="D874" s="4" t="s">
        <v>3469</v>
      </c>
      <c r="E874" s="4"/>
      <c r="F874" s="4" t="s">
        <v>713</v>
      </c>
    </row>
    <row r="875" customFormat="false" ht="41.75" hidden="false" customHeight="false" outlineLevel="0" collapsed="false">
      <c r="A875" s="4" t="n">
        <v>48</v>
      </c>
      <c r="B875" s="4" t="s">
        <v>1507</v>
      </c>
      <c r="C875" s="4" t="s">
        <v>433</v>
      </c>
      <c r="D875" s="4" t="s">
        <v>3470</v>
      </c>
      <c r="E875" s="4"/>
      <c r="F875" s="4" t="s">
        <v>665</v>
      </c>
    </row>
    <row r="876" customFormat="false" ht="15" hidden="false" customHeight="false" outlineLevel="0" collapsed="false">
      <c r="A876" s="4" t="n">
        <v>48</v>
      </c>
      <c r="B876" s="4" t="s">
        <v>1507</v>
      </c>
      <c r="C876" s="4" t="s">
        <v>434</v>
      </c>
      <c r="D876" s="4" t="s">
        <v>3482</v>
      </c>
      <c r="E876" s="4"/>
      <c r="F876" s="4" t="s">
        <v>666</v>
      </c>
    </row>
    <row r="877" customFormat="false" ht="28.35" hidden="false" customHeight="false" outlineLevel="0" collapsed="false">
      <c r="A877" s="4" t="n">
        <v>48</v>
      </c>
      <c r="B877" s="4" t="s">
        <v>1507</v>
      </c>
      <c r="C877" s="4" t="s">
        <v>435</v>
      </c>
      <c r="D877" s="4" t="s">
        <v>3510</v>
      </c>
      <c r="E877" s="4"/>
      <c r="F877" s="4" t="s">
        <v>667</v>
      </c>
    </row>
    <row r="878" customFormat="false" ht="15" hidden="false" customHeight="false" outlineLevel="0" collapsed="false">
      <c r="A878" s="4" t="n">
        <v>48</v>
      </c>
      <c r="B878" s="4" t="s">
        <v>1507</v>
      </c>
      <c r="C878" s="4" t="s">
        <v>436</v>
      </c>
      <c r="D878" s="4" t="s">
        <v>3471</v>
      </c>
      <c r="E878" s="4"/>
      <c r="F878" s="4" t="s">
        <v>1525</v>
      </c>
    </row>
    <row r="879" customFormat="false" ht="55.2" hidden="false" customHeight="false" outlineLevel="0" collapsed="false">
      <c r="A879" s="4" t="n">
        <v>48</v>
      </c>
      <c r="B879" s="4" t="s">
        <v>1507</v>
      </c>
      <c r="C879" s="4" t="s">
        <v>438</v>
      </c>
      <c r="D879" s="4" t="s">
        <v>3511</v>
      </c>
      <c r="E879" s="4"/>
      <c r="F879" s="4" t="s">
        <v>1526</v>
      </c>
    </row>
    <row r="880" customFormat="false" ht="28.35" hidden="false" customHeight="false" outlineLevel="0" collapsed="false">
      <c r="A880" s="4" t="n">
        <v>49</v>
      </c>
      <c r="B880" s="4" t="s">
        <v>1527</v>
      </c>
      <c r="C880" s="4" t="s">
        <v>369</v>
      </c>
      <c r="D880" s="4" t="s">
        <v>3503</v>
      </c>
      <c r="E880" s="4" t="s">
        <v>780</v>
      </c>
      <c r="F880" s="4" t="s">
        <v>643</v>
      </c>
    </row>
    <row r="881" customFormat="false" ht="135.8" hidden="false" customHeight="false" outlineLevel="0" collapsed="false">
      <c r="A881" s="4" t="n">
        <v>49</v>
      </c>
      <c r="B881" s="4" t="s">
        <v>1527</v>
      </c>
      <c r="C881" s="4" t="s">
        <v>372</v>
      </c>
      <c r="D881" s="4" t="s">
        <v>3504</v>
      </c>
      <c r="E881" s="4" t="s">
        <v>3592</v>
      </c>
      <c r="F881" s="4" t="s">
        <v>1533</v>
      </c>
    </row>
    <row r="882" customFormat="false" ht="68.65" hidden="false" customHeight="false" outlineLevel="0" collapsed="false">
      <c r="A882" s="4" t="n">
        <v>49</v>
      </c>
      <c r="B882" s="4" t="s">
        <v>1527</v>
      </c>
      <c r="C882" s="4" t="s">
        <v>380</v>
      </c>
      <c r="D882" s="4" t="s">
        <v>3474</v>
      </c>
      <c r="E882" s="4" t="s">
        <v>3596</v>
      </c>
      <c r="F882" s="4" t="s">
        <v>1535</v>
      </c>
    </row>
    <row r="883" customFormat="false" ht="68.65" hidden="false" customHeight="false" outlineLevel="0" collapsed="false">
      <c r="A883" s="4" t="n">
        <v>49</v>
      </c>
      <c r="B883" s="4" t="s">
        <v>1527</v>
      </c>
      <c r="C883" s="4" t="s">
        <v>390</v>
      </c>
      <c r="D883" s="4" t="s">
        <v>3479</v>
      </c>
      <c r="E883" s="4" t="s">
        <v>473</v>
      </c>
      <c r="F883" s="4" t="s">
        <v>1536</v>
      </c>
    </row>
    <row r="884" customFormat="false" ht="68.65" hidden="false" customHeight="false" outlineLevel="0" collapsed="false">
      <c r="A884" s="4" t="n">
        <v>49</v>
      </c>
      <c r="B884" s="4" t="s">
        <v>1527</v>
      </c>
      <c r="C884" s="4" t="s">
        <v>395</v>
      </c>
      <c r="D884" s="4" t="s">
        <v>3507</v>
      </c>
      <c r="E884" s="4" t="s">
        <v>474</v>
      </c>
      <c r="F884" s="4" t="s">
        <v>1537</v>
      </c>
    </row>
    <row r="885" customFormat="false" ht="55.2" hidden="false" customHeight="false" outlineLevel="0" collapsed="false">
      <c r="A885" s="4" t="n">
        <v>49</v>
      </c>
      <c r="B885" s="4" t="s">
        <v>1527</v>
      </c>
      <c r="C885" s="4" t="s">
        <v>402</v>
      </c>
      <c r="D885" s="4" t="s">
        <v>3508</v>
      </c>
      <c r="E885" s="4" t="s">
        <v>475</v>
      </c>
      <c r="F885" s="4" t="s">
        <v>1538</v>
      </c>
    </row>
    <row r="886" customFormat="false" ht="68.65" hidden="false" customHeight="false" outlineLevel="0" collapsed="false">
      <c r="A886" s="4" t="n">
        <v>49</v>
      </c>
      <c r="B886" s="4" t="s">
        <v>1527</v>
      </c>
      <c r="C886" s="4" t="s">
        <v>403</v>
      </c>
      <c r="D886" s="4" t="s">
        <v>3481</v>
      </c>
      <c r="E886" s="4" t="s">
        <v>1095</v>
      </c>
      <c r="F886" s="4" t="s">
        <v>1539</v>
      </c>
    </row>
    <row r="887" customFormat="false" ht="108.95" hidden="false" customHeight="false" outlineLevel="0" collapsed="false">
      <c r="A887" s="4" t="n">
        <v>49</v>
      </c>
      <c r="B887" s="4" t="s">
        <v>1527</v>
      </c>
      <c r="C887" s="4" t="s">
        <v>407</v>
      </c>
      <c r="D887" s="4" t="s">
        <v>3485</v>
      </c>
      <c r="E887" s="4" t="s">
        <v>3597</v>
      </c>
      <c r="F887" s="4" t="s">
        <v>1540</v>
      </c>
    </row>
    <row r="888" customFormat="false" ht="28.35" hidden="false" customHeight="false" outlineLevel="0" collapsed="false">
      <c r="A888" s="4" t="n">
        <v>49</v>
      </c>
      <c r="B888" s="4" t="s">
        <v>1527</v>
      </c>
      <c r="C888" s="4" t="s">
        <v>427</v>
      </c>
      <c r="D888" s="4" t="s">
        <v>3464</v>
      </c>
      <c r="E888" s="4"/>
      <c r="F888" s="4" t="s">
        <v>24</v>
      </c>
    </row>
    <row r="889" customFormat="false" ht="28.35" hidden="false" customHeight="false" outlineLevel="0" collapsed="false">
      <c r="A889" s="4" t="n">
        <v>49</v>
      </c>
      <c r="B889" s="4" t="s">
        <v>1527</v>
      </c>
      <c r="C889" s="4" t="s">
        <v>428</v>
      </c>
      <c r="D889" s="4" t="s">
        <v>3465</v>
      </c>
      <c r="E889" s="4"/>
      <c r="F889" s="4" t="s">
        <v>31</v>
      </c>
    </row>
    <row r="890" customFormat="false" ht="28.35" hidden="false" customHeight="false" outlineLevel="0" collapsed="false">
      <c r="A890" s="4" t="n">
        <v>49</v>
      </c>
      <c r="B890" s="4" t="s">
        <v>1527</v>
      </c>
      <c r="C890" s="4" t="s">
        <v>429</v>
      </c>
      <c r="D890" s="4" t="s">
        <v>3466</v>
      </c>
      <c r="E890" s="4"/>
      <c r="F890" s="4" t="s">
        <v>38</v>
      </c>
    </row>
    <row r="891" customFormat="false" ht="28.35" hidden="false" customHeight="false" outlineLevel="0" collapsed="false">
      <c r="A891" s="4" t="n">
        <v>49</v>
      </c>
      <c r="B891" s="4" t="s">
        <v>1527</v>
      </c>
      <c r="C891" s="4" t="s">
        <v>431</v>
      </c>
      <c r="D891" s="4" t="s">
        <v>3468</v>
      </c>
      <c r="E891" s="4"/>
      <c r="F891" s="4" t="s">
        <v>484</v>
      </c>
    </row>
    <row r="892" customFormat="false" ht="28.35" hidden="false" customHeight="false" outlineLevel="0" collapsed="false">
      <c r="A892" s="4" t="n">
        <v>49</v>
      </c>
      <c r="B892" s="4" t="s">
        <v>1527</v>
      </c>
      <c r="C892" s="4" t="s">
        <v>432</v>
      </c>
      <c r="D892" s="4" t="s">
        <v>3469</v>
      </c>
      <c r="E892" s="4"/>
      <c r="F892" s="4" t="s">
        <v>713</v>
      </c>
    </row>
    <row r="893" customFormat="false" ht="41.75" hidden="false" customHeight="false" outlineLevel="0" collapsed="false">
      <c r="A893" s="4" t="n">
        <v>49</v>
      </c>
      <c r="B893" s="4" t="s">
        <v>1527</v>
      </c>
      <c r="C893" s="4" t="s">
        <v>433</v>
      </c>
      <c r="D893" s="4" t="s">
        <v>3470</v>
      </c>
      <c r="E893" s="4"/>
      <c r="F893" s="4" t="s">
        <v>665</v>
      </c>
    </row>
    <row r="894" customFormat="false" ht="28.35" hidden="false" customHeight="false" outlineLevel="0" collapsed="false">
      <c r="A894" s="4" t="n">
        <v>49</v>
      </c>
      <c r="B894" s="4" t="s">
        <v>1527</v>
      </c>
      <c r="C894" s="4" t="s">
        <v>434</v>
      </c>
      <c r="D894" s="4" t="s">
        <v>3482</v>
      </c>
      <c r="E894" s="4"/>
      <c r="F894" s="4" t="s">
        <v>666</v>
      </c>
    </row>
    <row r="895" customFormat="false" ht="28.35" hidden="false" customHeight="false" outlineLevel="0" collapsed="false">
      <c r="A895" s="4" t="n">
        <v>49</v>
      </c>
      <c r="B895" s="4" t="s">
        <v>1527</v>
      </c>
      <c r="C895" s="4" t="s">
        <v>435</v>
      </c>
      <c r="D895" s="4" t="s">
        <v>3510</v>
      </c>
      <c r="E895" s="4"/>
      <c r="F895" s="4" t="s">
        <v>667</v>
      </c>
    </row>
    <row r="896" customFormat="false" ht="28.35" hidden="false" customHeight="false" outlineLevel="0" collapsed="false">
      <c r="A896" s="4" t="n">
        <v>49</v>
      </c>
      <c r="B896" s="4" t="s">
        <v>1527</v>
      </c>
      <c r="C896" s="4" t="s">
        <v>436</v>
      </c>
      <c r="D896" s="4" t="s">
        <v>3471</v>
      </c>
      <c r="E896" s="4"/>
      <c r="F896" s="4" t="s">
        <v>1544</v>
      </c>
    </row>
    <row r="897" customFormat="false" ht="68.65" hidden="false" customHeight="false" outlineLevel="0" collapsed="false">
      <c r="A897" s="4" t="n">
        <v>49</v>
      </c>
      <c r="B897" s="4" t="s">
        <v>1527</v>
      </c>
      <c r="C897" s="4" t="s">
        <v>438</v>
      </c>
      <c r="D897" s="4" t="s">
        <v>3511</v>
      </c>
      <c r="E897" s="4"/>
      <c r="F897" s="4" t="s">
        <v>1545</v>
      </c>
    </row>
    <row r="898" customFormat="false" ht="28.35" hidden="false" customHeight="false" outlineLevel="0" collapsed="false">
      <c r="A898" s="4" t="n">
        <v>50</v>
      </c>
      <c r="B898" s="4" t="s">
        <v>1546</v>
      </c>
      <c r="C898" s="4" t="s">
        <v>369</v>
      </c>
      <c r="D898" s="4" t="s">
        <v>3503</v>
      </c>
      <c r="E898" s="4" t="s">
        <v>780</v>
      </c>
      <c r="F898" s="4" t="s">
        <v>643</v>
      </c>
    </row>
    <row r="899" customFormat="false" ht="122.35" hidden="false" customHeight="false" outlineLevel="0" collapsed="false">
      <c r="A899" s="4" t="n">
        <v>50</v>
      </c>
      <c r="B899" s="4" t="s">
        <v>1546</v>
      </c>
      <c r="C899" s="4" t="s">
        <v>372</v>
      </c>
      <c r="D899" s="4" t="s">
        <v>3504</v>
      </c>
      <c r="E899" s="4" t="s">
        <v>3598</v>
      </c>
      <c r="F899" s="4" t="s">
        <v>1552</v>
      </c>
    </row>
    <row r="900" customFormat="false" ht="82.05" hidden="false" customHeight="false" outlineLevel="0" collapsed="false">
      <c r="A900" s="4" t="n">
        <v>50</v>
      </c>
      <c r="B900" s="4" t="s">
        <v>1546</v>
      </c>
      <c r="C900" s="4" t="s">
        <v>380</v>
      </c>
      <c r="D900" s="4" t="s">
        <v>3474</v>
      </c>
      <c r="E900" s="4" t="s">
        <v>3599</v>
      </c>
      <c r="F900" s="4" t="s">
        <v>1555</v>
      </c>
    </row>
    <row r="901" customFormat="false" ht="55.2" hidden="false" customHeight="false" outlineLevel="0" collapsed="false">
      <c r="A901" s="4" t="n">
        <v>50</v>
      </c>
      <c r="B901" s="4" t="s">
        <v>1546</v>
      </c>
      <c r="C901" s="4" t="s">
        <v>390</v>
      </c>
      <c r="D901" s="4" t="s">
        <v>3479</v>
      </c>
      <c r="E901" s="4" t="s">
        <v>473</v>
      </c>
      <c r="F901" s="4" t="s">
        <v>1556</v>
      </c>
    </row>
    <row r="902" customFormat="false" ht="55.2" hidden="false" customHeight="false" outlineLevel="0" collapsed="false">
      <c r="A902" s="4" t="n">
        <v>50</v>
      </c>
      <c r="B902" s="4" t="s">
        <v>1546</v>
      </c>
      <c r="C902" s="4" t="s">
        <v>395</v>
      </c>
      <c r="D902" s="4" t="s">
        <v>3507</v>
      </c>
      <c r="E902" s="4" t="s">
        <v>474</v>
      </c>
      <c r="F902" s="4" t="s">
        <v>1557</v>
      </c>
    </row>
    <row r="903" customFormat="false" ht="41.75" hidden="false" customHeight="false" outlineLevel="0" collapsed="false">
      <c r="A903" s="4" t="n">
        <v>50</v>
      </c>
      <c r="B903" s="4" t="s">
        <v>1546</v>
      </c>
      <c r="C903" s="4" t="s">
        <v>402</v>
      </c>
      <c r="D903" s="4" t="s">
        <v>3508</v>
      </c>
      <c r="E903" s="4" t="s">
        <v>475</v>
      </c>
      <c r="F903" s="4" t="s">
        <v>1558</v>
      </c>
    </row>
    <row r="904" customFormat="false" ht="55.2" hidden="false" customHeight="false" outlineLevel="0" collapsed="false">
      <c r="A904" s="4" t="n">
        <v>50</v>
      </c>
      <c r="B904" s="4" t="s">
        <v>1546</v>
      </c>
      <c r="C904" s="4" t="s">
        <v>403</v>
      </c>
      <c r="D904" s="4" t="s">
        <v>3481</v>
      </c>
      <c r="E904" s="4" t="s">
        <v>1095</v>
      </c>
      <c r="F904" s="4" t="s">
        <v>1559</v>
      </c>
    </row>
    <row r="905" customFormat="false" ht="95.5" hidden="false" customHeight="false" outlineLevel="0" collapsed="false">
      <c r="A905" s="4" t="n">
        <v>50</v>
      </c>
      <c r="B905" s="4" t="s">
        <v>1546</v>
      </c>
      <c r="C905" s="4" t="s">
        <v>407</v>
      </c>
      <c r="D905" s="4" t="s">
        <v>3485</v>
      </c>
      <c r="E905" s="4" t="s">
        <v>3600</v>
      </c>
      <c r="F905" s="4" t="s">
        <v>1560</v>
      </c>
    </row>
    <row r="906" customFormat="false" ht="28.35" hidden="false" customHeight="false" outlineLevel="0" collapsed="false">
      <c r="A906" s="4" t="n">
        <v>50</v>
      </c>
      <c r="B906" s="4" t="s">
        <v>1546</v>
      </c>
      <c r="C906" s="4" t="s">
        <v>427</v>
      </c>
      <c r="D906" s="4" t="s">
        <v>3464</v>
      </c>
      <c r="E906" s="4"/>
      <c r="F906" s="4" t="s">
        <v>24</v>
      </c>
    </row>
    <row r="907" customFormat="false" ht="28.35" hidden="false" customHeight="false" outlineLevel="0" collapsed="false">
      <c r="A907" s="4" t="n">
        <v>50</v>
      </c>
      <c r="B907" s="4" t="s">
        <v>1546</v>
      </c>
      <c r="C907" s="4" t="s">
        <v>428</v>
      </c>
      <c r="D907" s="4" t="s">
        <v>3465</v>
      </c>
      <c r="E907" s="4"/>
      <c r="F907" s="4" t="s">
        <v>31</v>
      </c>
    </row>
    <row r="908" customFormat="false" ht="28.35" hidden="false" customHeight="false" outlineLevel="0" collapsed="false">
      <c r="A908" s="4" t="n">
        <v>50</v>
      </c>
      <c r="B908" s="4" t="s">
        <v>1546</v>
      </c>
      <c r="C908" s="4" t="s">
        <v>429</v>
      </c>
      <c r="D908" s="4" t="s">
        <v>3466</v>
      </c>
      <c r="E908" s="4"/>
      <c r="F908" s="4" t="s">
        <v>38</v>
      </c>
    </row>
    <row r="909" customFormat="false" ht="28.35" hidden="false" customHeight="false" outlineLevel="0" collapsed="false">
      <c r="A909" s="4" t="n">
        <v>50</v>
      </c>
      <c r="B909" s="4" t="s">
        <v>1546</v>
      </c>
      <c r="C909" s="4" t="s">
        <v>431</v>
      </c>
      <c r="D909" s="4" t="s">
        <v>3468</v>
      </c>
      <c r="E909" s="4"/>
      <c r="F909" s="4" t="s">
        <v>484</v>
      </c>
    </row>
    <row r="910" customFormat="false" ht="28.35" hidden="false" customHeight="false" outlineLevel="0" collapsed="false">
      <c r="A910" s="4" t="n">
        <v>50</v>
      </c>
      <c r="B910" s="4" t="s">
        <v>1546</v>
      </c>
      <c r="C910" s="4" t="s">
        <v>432</v>
      </c>
      <c r="D910" s="4" t="s">
        <v>3469</v>
      </c>
      <c r="E910" s="4"/>
      <c r="F910" s="4" t="s">
        <v>664</v>
      </c>
    </row>
    <row r="911" customFormat="false" ht="41.75" hidden="false" customHeight="false" outlineLevel="0" collapsed="false">
      <c r="A911" s="4" t="n">
        <v>50</v>
      </c>
      <c r="B911" s="4" t="s">
        <v>1546</v>
      </c>
      <c r="C911" s="4" t="s">
        <v>433</v>
      </c>
      <c r="D911" s="4" t="s">
        <v>3470</v>
      </c>
      <c r="E911" s="4"/>
      <c r="F911" s="4" t="s">
        <v>665</v>
      </c>
    </row>
    <row r="912" customFormat="false" ht="28.35" hidden="false" customHeight="false" outlineLevel="0" collapsed="false">
      <c r="A912" s="4" t="n">
        <v>50</v>
      </c>
      <c r="B912" s="4" t="s">
        <v>1546</v>
      </c>
      <c r="C912" s="4" t="s">
        <v>434</v>
      </c>
      <c r="D912" s="4" t="s">
        <v>3482</v>
      </c>
      <c r="E912" s="4"/>
      <c r="F912" s="4" t="s">
        <v>666</v>
      </c>
    </row>
    <row r="913" customFormat="false" ht="28.35" hidden="false" customHeight="false" outlineLevel="0" collapsed="false">
      <c r="A913" s="4" t="n">
        <v>50</v>
      </c>
      <c r="B913" s="4" t="s">
        <v>1546</v>
      </c>
      <c r="C913" s="4" t="s">
        <v>435</v>
      </c>
      <c r="D913" s="4" t="s">
        <v>3510</v>
      </c>
      <c r="E913" s="4"/>
      <c r="F913" s="4" t="s">
        <v>667</v>
      </c>
    </row>
    <row r="914" customFormat="false" ht="28.35" hidden="false" customHeight="false" outlineLevel="0" collapsed="false">
      <c r="A914" s="4" t="n">
        <v>50</v>
      </c>
      <c r="B914" s="4" t="s">
        <v>1546</v>
      </c>
      <c r="C914" s="4" t="s">
        <v>436</v>
      </c>
      <c r="D914" s="4" t="s">
        <v>3471</v>
      </c>
      <c r="E914" s="4"/>
      <c r="F914" s="4" t="s">
        <v>1525</v>
      </c>
    </row>
    <row r="915" customFormat="false" ht="55.2" hidden="false" customHeight="false" outlineLevel="0" collapsed="false">
      <c r="A915" s="4" t="n">
        <v>50</v>
      </c>
      <c r="B915" s="4" t="s">
        <v>1546</v>
      </c>
      <c r="C915" s="4" t="s">
        <v>438</v>
      </c>
      <c r="D915" s="4" t="s">
        <v>3511</v>
      </c>
      <c r="E915" s="4"/>
      <c r="F915" s="4" t="s">
        <v>1566</v>
      </c>
    </row>
    <row r="916" customFormat="false" ht="28.35" hidden="false" customHeight="false" outlineLevel="0" collapsed="false">
      <c r="A916" s="4" t="n">
        <v>51</v>
      </c>
      <c r="B916" s="4" t="s">
        <v>1567</v>
      </c>
      <c r="C916" s="4" t="s">
        <v>369</v>
      </c>
      <c r="D916" s="4" t="s">
        <v>3503</v>
      </c>
      <c r="E916" s="4" t="s">
        <v>780</v>
      </c>
      <c r="F916" s="4" t="s">
        <v>643</v>
      </c>
    </row>
    <row r="917" customFormat="false" ht="135.8" hidden="false" customHeight="false" outlineLevel="0" collapsed="false">
      <c r="A917" s="4" t="n">
        <v>51</v>
      </c>
      <c r="B917" s="4" t="s">
        <v>1567</v>
      </c>
      <c r="C917" s="4" t="s">
        <v>372</v>
      </c>
      <c r="D917" s="4" t="s">
        <v>3504</v>
      </c>
      <c r="E917" s="4" t="s">
        <v>3601</v>
      </c>
      <c r="F917" s="4" t="s">
        <v>1573</v>
      </c>
    </row>
    <row r="918" customFormat="false" ht="82.05" hidden="false" customHeight="false" outlineLevel="0" collapsed="false">
      <c r="A918" s="4" t="n">
        <v>51</v>
      </c>
      <c r="B918" s="4" t="s">
        <v>1567</v>
      </c>
      <c r="C918" s="4" t="s">
        <v>380</v>
      </c>
      <c r="D918" s="4" t="s">
        <v>3474</v>
      </c>
      <c r="E918" s="4" t="s">
        <v>3602</v>
      </c>
      <c r="F918" s="4" t="s">
        <v>1575</v>
      </c>
    </row>
    <row r="919" customFormat="false" ht="55.2" hidden="false" customHeight="false" outlineLevel="0" collapsed="false">
      <c r="A919" s="4" t="n">
        <v>51</v>
      </c>
      <c r="B919" s="4" t="s">
        <v>1567</v>
      </c>
      <c r="C919" s="4" t="s">
        <v>390</v>
      </c>
      <c r="D919" s="4" t="s">
        <v>3479</v>
      </c>
      <c r="E919" s="4" t="s">
        <v>473</v>
      </c>
      <c r="F919" s="4" t="s">
        <v>1576</v>
      </c>
    </row>
    <row r="920" customFormat="false" ht="41.75" hidden="false" customHeight="false" outlineLevel="0" collapsed="false">
      <c r="A920" s="4" t="n">
        <v>51</v>
      </c>
      <c r="B920" s="4" t="s">
        <v>1567</v>
      </c>
      <c r="C920" s="4" t="s">
        <v>395</v>
      </c>
      <c r="D920" s="4" t="s">
        <v>3507</v>
      </c>
      <c r="E920" s="4" t="s">
        <v>474</v>
      </c>
      <c r="F920" s="4" t="s">
        <v>1577</v>
      </c>
    </row>
    <row r="921" customFormat="false" ht="41.75" hidden="false" customHeight="false" outlineLevel="0" collapsed="false">
      <c r="A921" s="4" t="n">
        <v>51</v>
      </c>
      <c r="B921" s="4" t="s">
        <v>1567</v>
      </c>
      <c r="C921" s="4" t="s">
        <v>402</v>
      </c>
      <c r="D921" s="4" t="s">
        <v>3508</v>
      </c>
      <c r="E921" s="4" t="s">
        <v>475</v>
      </c>
      <c r="F921" s="4" t="s">
        <v>1578</v>
      </c>
    </row>
    <row r="922" customFormat="false" ht="55.2" hidden="false" customHeight="false" outlineLevel="0" collapsed="false">
      <c r="A922" s="4" t="n">
        <v>51</v>
      </c>
      <c r="B922" s="4" t="s">
        <v>1567</v>
      </c>
      <c r="C922" s="4" t="s">
        <v>403</v>
      </c>
      <c r="D922" s="4" t="s">
        <v>3481</v>
      </c>
      <c r="E922" s="4" t="s">
        <v>1095</v>
      </c>
      <c r="F922" s="4" t="s">
        <v>1579</v>
      </c>
    </row>
    <row r="923" customFormat="false" ht="108.95" hidden="false" customHeight="false" outlineLevel="0" collapsed="false">
      <c r="A923" s="4" t="n">
        <v>51</v>
      </c>
      <c r="B923" s="4" t="s">
        <v>1567</v>
      </c>
      <c r="C923" s="4" t="s">
        <v>407</v>
      </c>
      <c r="D923" s="4" t="s">
        <v>3485</v>
      </c>
      <c r="E923" s="4" t="s">
        <v>3603</v>
      </c>
      <c r="F923" s="4" t="s">
        <v>1580</v>
      </c>
    </row>
    <row r="924" customFormat="false" ht="15" hidden="false" customHeight="false" outlineLevel="0" collapsed="false">
      <c r="A924" s="4" t="n">
        <v>51</v>
      </c>
      <c r="B924" s="4" t="s">
        <v>1567</v>
      </c>
      <c r="C924" s="4" t="s">
        <v>427</v>
      </c>
      <c r="D924" s="4" t="s">
        <v>3464</v>
      </c>
      <c r="E924" s="4"/>
      <c r="F924" s="4" t="s">
        <v>24</v>
      </c>
    </row>
    <row r="925" customFormat="false" ht="15" hidden="false" customHeight="false" outlineLevel="0" collapsed="false">
      <c r="A925" s="4" t="n">
        <v>51</v>
      </c>
      <c r="B925" s="4" t="s">
        <v>1567</v>
      </c>
      <c r="C925" s="4" t="s">
        <v>428</v>
      </c>
      <c r="D925" s="4" t="s">
        <v>3465</v>
      </c>
      <c r="E925" s="4"/>
      <c r="F925" s="4" t="s">
        <v>31</v>
      </c>
    </row>
    <row r="926" customFormat="false" ht="15" hidden="false" customHeight="false" outlineLevel="0" collapsed="false">
      <c r="A926" s="4" t="n">
        <v>51</v>
      </c>
      <c r="B926" s="4" t="s">
        <v>1567</v>
      </c>
      <c r="C926" s="4" t="s">
        <v>429</v>
      </c>
      <c r="D926" s="4" t="s">
        <v>3466</v>
      </c>
      <c r="E926" s="4"/>
      <c r="F926" s="4" t="s">
        <v>38</v>
      </c>
    </row>
    <row r="927" customFormat="false" ht="15" hidden="false" customHeight="false" outlineLevel="0" collapsed="false">
      <c r="A927" s="4" t="n">
        <v>51</v>
      </c>
      <c r="B927" s="4" t="s">
        <v>1567</v>
      </c>
      <c r="C927" s="4" t="s">
        <v>431</v>
      </c>
      <c r="D927" s="4" t="s">
        <v>3468</v>
      </c>
      <c r="E927" s="4"/>
      <c r="F927" s="4" t="s">
        <v>484</v>
      </c>
    </row>
    <row r="928" customFormat="false" ht="15" hidden="false" customHeight="false" outlineLevel="0" collapsed="false">
      <c r="A928" s="4" t="n">
        <v>51</v>
      </c>
      <c r="B928" s="4" t="s">
        <v>1567</v>
      </c>
      <c r="C928" s="4" t="s">
        <v>432</v>
      </c>
      <c r="D928" s="4" t="s">
        <v>3469</v>
      </c>
      <c r="E928" s="4"/>
      <c r="F928" s="4" t="s">
        <v>524</v>
      </c>
    </row>
    <row r="929" customFormat="false" ht="41.75" hidden="false" customHeight="false" outlineLevel="0" collapsed="false">
      <c r="A929" s="4" t="n">
        <v>51</v>
      </c>
      <c r="B929" s="4" t="s">
        <v>1567</v>
      </c>
      <c r="C929" s="4" t="s">
        <v>433</v>
      </c>
      <c r="D929" s="4" t="s">
        <v>3470</v>
      </c>
      <c r="E929" s="4"/>
      <c r="F929" s="4" t="s">
        <v>665</v>
      </c>
    </row>
    <row r="930" customFormat="false" ht="15" hidden="false" customHeight="false" outlineLevel="0" collapsed="false">
      <c r="A930" s="4" t="n">
        <v>51</v>
      </c>
      <c r="B930" s="4" t="s">
        <v>1567</v>
      </c>
      <c r="C930" s="4" t="s">
        <v>434</v>
      </c>
      <c r="D930" s="4" t="s">
        <v>3482</v>
      </c>
      <c r="E930" s="4"/>
      <c r="F930" s="4" t="s">
        <v>666</v>
      </c>
    </row>
    <row r="931" customFormat="false" ht="28.35" hidden="false" customHeight="false" outlineLevel="0" collapsed="false">
      <c r="A931" s="4" t="n">
        <v>51</v>
      </c>
      <c r="B931" s="4" t="s">
        <v>1567</v>
      </c>
      <c r="C931" s="4" t="s">
        <v>435</v>
      </c>
      <c r="D931" s="4" t="s">
        <v>3510</v>
      </c>
      <c r="E931" s="4"/>
      <c r="F931" s="4" t="s">
        <v>667</v>
      </c>
    </row>
    <row r="932" customFormat="false" ht="15" hidden="false" customHeight="false" outlineLevel="0" collapsed="false">
      <c r="A932" s="4" t="n">
        <v>51</v>
      </c>
      <c r="B932" s="4" t="s">
        <v>1567</v>
      </c>
      <c r="C932" s="4" t="s">
        <v>436</v>
      </c>
      <c r="D932" s="4" t="s">
        <v>3471</v>
      </c>
      <c r="E932" s="4"/>
      <c r="F932" s="4" t="s">
        <v>1584</v>
      </c>
    </row>
    <row r="933" customFormat="false" ht="135.8" hidden="false" customHeight="false" outlineLevel="0" collapsed="false">
      <c r="A933" s="4" t="n">
        <v>51</v>
      </c>
      <c r="B933" s="4" t="s">
        <v>1567</v>
      </c>
      <c r="C933" s="4" t="s">
        <v>438</v>
      </c>
      <c r="D933" s="4" t="s">
        <v>3511</v>
      </c>
      <c r="E933" s="4"/>
      <c r="F933" s="4" t="s">
        <v>1585</v>
      </c>
    </row>
    <row r="934" customFormat="false" ht="28.35" hidden="false" customHeight="false" outlineLevel="0" collapsed="false">
      <c r="A934" s="4" t="n">
        <v>52</v>
      </c>
      <c r="B934" s="4" t="s">
        <v>1586</v>
      </c>
      <c r="C934" s="4" t="s">
        <v>369</v>
      </c>
      <c r="D934" s="4" t="s">
        <v>3503</v>
      </c>
      <c r="E934" s="4" t="s">
        <v>780</v>
      </c>
      <c r="F934" s="4" t="s">
        <v>643</v>
      </c>
    </row>
    <row r="935" customFormat="false" ht="149.25" hidden="false" customHeight="false" outlineLevel="0" collapsed="false">
      <c r="A935" s="4" t="n">
        <v>52</v>
      </c>
      <c r="B935" s="4" t="s">
        <v>1586</v>
      </c>
      <c r="C935" s="4" t="s">
        <v>372</v>
      </c>
      <c r="D935" s="4" t="s">
        <v>3504</v>
      </c>
      <c r="E935" s="4" t="s">
        <v>3592</v>
      </c>
      <c r="F935" s="4" t="s">
        <v>1592</v>
      </c>
    </row>
    <row r="936" customFormat="false" ht="28.35" hidden="false" customHeight="false" outlineLevel="0" collapsed="false">
      <c r="A936" s="4" t="n">
        <v>52</v>
      </c>
      <c r="B936" s="4" t="s">
        <v>1586</v>
      </c>
      <c r="C936" s="4" t="s">
        <v>380</v>
      </c>
      <c r="D936" s="4" t="s">
        <v>3474</v>
      </c>
      <c r="E936" s="4" t="s">
        <v>1597</v>
      </c>
      <c r="F936" s="4" t="s">
        <v>1598</v>
      </c>
    </row>
    <row r="937" customFormat="false" ht="82.05" hidden="false" customHeight="false" outlineLevel="0" collapsed="false">
      <c r="A937" s="4" t="n">
        <v>52</v>
      </c>
      <c r="B937" s="4" t="s">
        <v>1586</v>
      </c>
      <c r="C937" s="4" t="s">
        <v>390</v>
      </c>
      <c r="D937" s="4" t="s">
        <v>3479</v>
      </c>
      <c r="E937" s="4" t="s">
        <v>473</v>
      </c>
      <c r="F937" s="4" t="s">
        <v>1599</v>
      </c>
    </row>
    <row r="938" customFormat="false" ht="68.65" hidden="false" customHeight="false" outlineLevel="0" collapsed="false">
      <c r="A938" s="4" t="n">
        <v>52</v>
      </c>
      <c r="B938" s="4" t="s">
        <v>1586</v>
      </c>
      <c r="C938" s="4" t="s">
        <v>395</v>
      </c>
      <c r="D938" s="4" t="s">
        <v>3507</v>
      </c>
      <c r="E938" s="4" t="s">
        <v>474</v>
      </c>
      <c r="F938" s="4" t="s">
        <v>1600</v>
      </c>
    </row>
    <row r="939" customFormat="false" ht="55.2" hidden="false" customHeight="false" outlineLevel="0" collapsed="false">
      <c r="A939" s="4" t="n">
        <v>52</v>
      </c>
      <c r="B939" s="4" t="s">
        <v>1586</v>
      </c>
      <c r="C939" s="4" t="s">
        <v>402</v>
      </c>
      <c r="D939" s="4" t="s">
        <v>3508</v>
      </c>
      <c r="E939" s="4" t="s">
        <v>475</v>
      </c>
      <c r="F939" s="4" t="s">
        <v>1601</v>
      </c>
    </row>
    <row r="940" customFormat="false" ht="82.05" hidden="false" customHeight="false" outlineLevel="0" collapsed="false">
      <c r="A940" s="4" t="n">
        <v>52</v>
      </c>
      <c r="B940" s="4" t="s">
        <v>1586</v>
      </c>
      <c r="C940" s="4" t="s">
        <v>403</v>
      </c>
      <c r="D940" s="4" t="s">
        <v>3481</v>
      </c>
      <c r="E940" s="4" t="s">
        <v>1095</v>
      </c>
      <c r="F940" s="4" t="s">
        <v>1602</v>
      </c>
    </row>
    <row r="941" customFormat="false" ht="55.2" hidden="false" customHeight="false" outlineLevel="0" collapsed="false">
      <c r="A941" s="4" t="n">
        <v>52</v>
      </c>
      <c r="B941" s="4" t="s">
        <v>1586</v>
      </c>
      <c r="C941" s="4" t="s">
        <v>407</v>
      </c>
      <c r="D941" s="4" t="s">
        <v>3485</v>
      </c>
      <c r="E941" s="4" t="s">
        <v>3604</v>
      </c>
      <c r="F941" s="4" t="s">
        <v>1603</v>
      </c>
    </row>
    <row r="942" customFormat="false" ht="15" hidden="false" customHeight="false" outlineLevel="0" collapsed="false">
      <c r="A942" s="4" t="n">
        <v>52</v>
      </c>
      <c r="B942" s="4" t="s">
        <v>1586</v>
      </c>
      <c r="C942" s="4" t="s">
        <v>427</v>
      </c>
      <c r="D942" s="4" t="s">
        <v>3464</v>
      </c>
      <c r="E942" s="4"/>
      <c r="F942" s="4" t="s">
        <v>24</v>
      </c>
    </row>
    <row r="943" customFormat="false" ht="15" hidden="false" customHeight="false" outlineLevel="0" collapsed="false">
      <c r="A943" s="4" t="n">
        <v>52</v>
      </c>
      <c r="B943" s="4" t="s">
        <v>1586</v>
      </c>
      <c r="C943" s="4" t="s">
        <v>428</v>
      </c>
      <c r="D943" s="4" t="s">
        <v>3465</v>
      </c>
      <c r="E943" s="4"/>
      <c r="F943" s="4" t="s">
        <v>31</v>
      </c>
    </row>
    <row r="944" customFormat="false" ht="15" hidden="false" customHeight="false" outlineLevel="0" collapsed="false">
      <c r="A944" s="4" t="n">
        <v>52</v>
      </c>
      <c r="B944" s="4" t="s">
        <v>1586</v>
      </c>
      <c r="C944" s="4" t="s">
        <v>429</v>
      </c>
      <c r="D944" s="4" t="s">
        <v>3466</v>
      </c>
      <c r="E944" s="4"/>
      <c r="F944" s="4" t="s">
        <v>38</v>
      </c>
    </row>
    <row r="945" customFormat="false" ht="15" hidden="false" customHeight="false" outlineLevel="0" collapsed="false">
      <c r="A945" s="4" t="n">
        <v>52</v>
      </c>
      <c r="B945" s="4" t="s">
        <v>1586</v>
      </c>
      <c r="C945" s="4" t="s">
        <v>431</v>
      </c>
      <c r="D945" s="4" t="s">
        <v>3468</v>
      </c>
      <c r="E945" s="4"/>
      <c r="F945" s="4" t="s">
        <v>484</v>
      </c>
    </row>
    <row r="946" customFormat="false" ht="15" hidden="false" customHeight="false" outlineLevel="0" collapsed="false">
      <c r="A946" s="4" t="n">
        <v>52</v>
      </c>
      <c r="B946" s="4" t="s">
        <v>1586</v>
      </c>
      <c r="C946" s="4" t="s">
        <v>432</v>
      </c>
      <c r="D946" s="4" t="s">
        <v>3469</v>
      </c>
      <c r="E946" s="4"/>
      <c r="F946" s="4" t="s">
        <v>713</v>
      </c>
    </row>
    <row r="947" customFormat="false" ht="41.75" hidden="false" customHeight="false" outlineLevel="0" collapsed="false">
      <c r="A947" s="4" t="n">
        <v>52</v>
      </c>
      <c r="B947" s="4" t="s">
        <v>1586</v>
      </c>
      <c r="C947" s="4" t="s">
        <v>433</v>
      </c>
      <c r="D947" s="4" t="s">
        <v>3470</v>
      </c>
      <c r="E947" s="4"/>
      <c r="F947" s="4" t="s">
        <v>665</v>
      </c>
    </row>
    <row r="948" customFormat="false" ht="15" hidden="false" customHeight="false" outlineLevel="0" collapsed="false">
      <c r="A948" s="4" t="n">
        <v>52</v>
      </c>
      <c r="B948" s="4" t="s">
        <v>1586</v>
      </c>
      <c r="C948" s="4" t="s">
        <v>434</v>
      </c>
      <c r="D948" s="4" t="s">
        <v>3482</v>
      </c>
      <c r="E948" s="4"/>
      <c r="F948" s="4" t="s">
        <v>666</v>
      </c>
    </row>
    <row r="949" customFormat="false" ht="28.35" hidden="false" customHeight="false" outlineLevel="0" collapsed="false">
      <c r="A949" s="4" t="n">
        <v>52</v>
      </c>
      <c r="B949" s="4" t="s">
        <v>1586</v>
      </c>
      <c r="C949" s="4" t="s">
        <v>435</v>
      </c>
      <c r="D949" s="4" t="s">
        <v>3510</v>
      </c>
      <c r="E949" s="4"/>
      <c r="F949" s="4" t="s">
        <v>667</v>
      </c>
    </row>
    <row r="950" customFormat="false" ht="15" hidden="false" customHeight="false" outlineLevel="0" collapsed="false">
      <c r="A950" s="4" t="n">
        <v>52</v>
      </c>
      <c r="B950" s="4" t="s">
        <v>1586</v>
      </c>
      <c r="C950" s="4" t="s">
        <v>436</v>
      </c>
      <c r="D950" s="4" t="s">
        <v>3471</v>
      </c>
      <c r="E950" s="4"/>
      <c r="F950" s="4" t="s">
        <v>1607</v>
      </c>
    </row>
    <row r="951" customFormat="false" ht="41.75" hidden="false" customHeight="false" outlineLevel="0" collapsed="false">
      <c r="A951" s="4" t="n">
        <v>52</v>
      </c>
      <c r="B951" s="4" t="s">
        <v>1586</v>
      </c>
      <c r="C951" s="4" t="s">
        <v>438</v>
      </c>
      <c r="D951" s="4" t="s">
        <v>3511</v>
      </c>
      <c r="E951" s="4"/>
      <c r="F951" s="4" t="s">
        <v>1608</v>
      </c>
    </row>
    <row r="952" customFormat="false" ht="28.35" hidden="false" customHeight="false" outlineLevel="0" collapsed="false">
      <c r="A952" s="4" t="n">
        <v>53</v>
      </c>
      <c r="B952" s="4" t="s">
        <v>1609</v>
      </c>
      <c r="C952" s="4" t="s">
        <v>369</v>
      </c>
      <c r="D952" s="4" t="s">
        <v>3503</v>
      </c>
      <c r="E952" s="4" t="s">
        <v>780</v>
      </c>
      <c r="F952" s="4" t="s">
        <v>643</v>
      </c>
    </row>
    <row r="953" customFormat="false" ht="135.8" hidden="false" customHeight="false" outlineLevel="0" collapsed="false">
      <c r="A953" s="4" t="n">
        <v>53</v>
      </c>
      <c r="B953" s="4" t="s">
        <v>1609</v>
      </c>
      <c r="C953" s="4" t="s">
        <v>372</v>
      </c>
      <c r="D953" s="4" t="s">
        <v>3504</v>
      </c>
      <c r="E953" s="4" t="s">
        <v>3592</v>
      </c>
      <c r="F953" s="4" t="s">
        <v>1614</v>
      </c>
    </row>
    <row r="954" customFormat="false" ht="28.35" hidden="false" customHeight="false" outlineLevel="0" collapsed="false">
      <c r="A954" s="4" t="n">
        <v>53</v>
      </c>
      <c r="B954" s="4" t="s">
        <v>1609</v>
      </c>
      <c r="C954" s="4" t="s">
        <v>380</v>
      </c>
      <c r="D954" s="4" t="s">
        <v>3474</v>
      </c>
      <c r="E954" s="4" t="s">
        <v>1597</v>
      </c>
      <c r="F954" s="4" t="s">
        <v>1598</v>
      </c>
    </row>
    <row r="955" customFormat="false" ht="82.05" hidden="false" customHeight="false" outlineLevel="0" collapsed="false">
      <c r="A955" s="4" t="n">
        <v>53</v>
      </c>
      <c r="B955" s="4" t="s">
        <v>1609</v>
      </c>
      <c r="C955" s="4" t="s">
        <v>390</v>
      </c>
      <c r="D955" s="4" t="s">
        <v>3479</v>
      </c>
      <c r="E955" s="4" t="s">
        <v>473</v>
      </c>
      <c r="F955" s="4" t="s">
        <v>1599</v>
      </c>
    </row>
    <row r="956" customFormat="false" ht="68.65" hidden="false" customHeight="false" outlineLevel="0" collapsed="false">
      <c r="A956" s="4" t="n">
        <v>53</v>
      </c>
      <c r="B956" s="4" t="s">
        <v>1609</v>
      </c>
      <c r="C956" s="4" t="s">
        <v>395</v>
      </c>
      <c r="D956" s="4" t="s">
        <v>3507</v>
      </c>
      <c r="E956" s="4" t="s">
        <v>474</v>
      </c>
      <c r="F956" s="4" t="s">
        <v>1600</v>
      </c>
    </row>
    <row r="957" customFormat="false" ht="55.2" hidden="false" customHeight="false" outlineLevel="0" collapsed="false">
      <c r="A957" s="4" t="n">
        <v>53</v>
      </c>
      <c r="B957" s="4" t="s">
        <v>1609</v>
      </c>
      <c r="C957" s="4" t="s">
        <v>402</v>
      </c>
      <c r="D957" s="4" t="s">
        <v>3508</v>
      </c>
      <c r="E957" s="4" t="s">
        <v>475</v>
      </c>
      <c r="F957" s="4" t="s">
        <v>1601</v>
      </c>
    </row>
    <row r="958" customFormat="false" ht="82.05" hidden="false" customHeight="false" outlineLevel="0" collapsed="false">
      <c r="A958" s="4" t="n">
        <v>53</v>
      </c>
      <c r="B958" s="4" t="s">
        <v>1609</v>
      </c>
      <c r="C958" s="4" t="s">
        <v>403</v>
      </c>
      <c r="D958" s="4" t="s">
        <v>3481</v>
      </c>
      <c r="E958" s="4" t="s">
        <v>1095</v>
      </c>
      <c r="F958" s="4" t="s">
        <v>1602</v>
      </c>
    </row>
    <row r="959" customFormat="false" ht="95.5" hidden="false" customHeight="false" outlineLevel="0" collapsed="false">
      <c r="A959" s="4" t="n">
        <v>53</v>
      </c>
      <c r="B959" s="4" t="s">
        <v>1609</v>
      </c>
      <c r="C959" s="4" t="s">
        <v>407</v>
      </c>
      <c r="D959" s="4" t="s">
        <v>3485</v>
      </c>
      <c r="E959" s="4" t="s">
        <v>3604</v>
      </c>
      <c r="F959" s="4" t="s">
        <v>1617</v>
      </c>
    </row>
    <row r="960" customFormat="false" ht="15" hidden="false" customHeight="false" outlineLevel="0" collapsed="false">
      <c r="A960" s="4" t="n">
        <v>53</v>
      </c>
      <c r="B960" s="4" t="s">
        <v>1609</v>
      </c>
      <c r="C960" s="4" t="s">
        <v>427</v>
      </c>
      <c r="D960" s="4" t="s">
        <v>3464</v>
      </c>
      <c r="E960" s="4"/>
      <c r="F960" s="4" t="s">
        <v>24</v>
      </c>
    </row>
    <row r="961" customFormat="false" ht="15" hidden="false" customHeight="false" outlineLevel="0" collapsed="false">
      <c r="A961" s="4" t="n">
        <v>53</v>
      </c>
      <c r="B961" s="4" t="s">
        <v>1609</v>
      </c>
      <c r="C961" s="4" t="s">
        <v>428</v>
      </c>
      <c r="D961" s="4" t="s">
        <v>3465</v>
      </c>
      <c r="E961" s="4"/>
      <c r="F961" s="4" t="s">
        <v>31</v>
      </c>
    </row>
    <row r="962" customFormat="false" ht="15" hidden="false" customHeight="false" outlineLevel="0" collapsed="false">
      <c r="A962" s="4" t="n">
        <v>53</v>
      </c>
      <c r="B962" s="4" t="s">
        <v>1609</v>
      </c>
      <c r="C962" s="4" t="s">
        <v>429</v>
      </c>
      <c r="D962" s="4" t="s">
        <v>3466</v>
      </c>
      <c r="E962" s="4"/>
      <c r="F962" s="4" t="s">
        <v>38</v>
      </c>
    </row>
    <row r="963" customFormat="false" ht="15" hidden="false" customHeight="false" outlineLevel="0" collapsed="false">
      <c r="A963" s="4" t="n">
        <v>53</v>
      </c>
      <c r="B963" s="4" t="s">
        <v>1609</v>
      </c>
      <c r="C963" s="4" t="s">
        <v>431</v>
      </c>
      <c r="D963" s="4" t="s">
        <v>3468</v>
      </c>
      <c r="E963" s="4"/>
      <c r="F963" s="4" t="s">
        <v>484</v>
      </c>
    </row>
    <row r="964" customFormat="false" ht="15" hidden="false" customHeight="false" outlineLevel="0" collapsed="false">
      <c r="A964" s="4" t="n">
        <v>53</v>
      </c>
      <c r="B964" s="4" t="s">
        <v>1609</v>
      </c>
      <c r="C964" s="4" t="s">
        <v>432</v>
      </c>
      <c r="D964" s="4" t="s">
        <v>3469</v>
      </c>
      <c r="E964" s="4"/>
      <c r="F964" s="4" t="s">
        <v>713</v>
      </c>
    </row>
    <row r="965" customFormat="false" ht="41.75" hidden="false" customHeight="false" outlineLevel="0" collapsed="false">
      <c r="A965" s="4" t="n">
        <v>53</v>
      </c>
      <c r="B965" s="4" t="s">
        <v>1609</v>
      </c>
      <c r="C965" s="4" t="s">
        <v>433</v>
      </c>
      <c r="D965" s="4" t="s">
        <v>3470</v>
      </c>
      <c r="E965" s="4"/>
      <c r="F965" s="4" t="s">
        <v>665</v>
      </c>
    </row>
    <row r="966" customFormat="false" ht="15" hidden="false" customHeight="false" outlineLevel="0" collapsed="false">
      <c r="A966" s="4" t="n">
        <v>53</v>
      </c>
      <c r="B966" s="4" t="s">
        <v>1609</v>
      </c>
      <c r="C966" s="4" t="s">
        <v>434</v>
      </c>
      <c r="D966" s="4" t="s">
        <v>3482</v>
      </c>
      <c r="E966" s="4"/>
      <c r="F966" s="4" t="s">
        <v>666</v>
      </c>
    </row>
    <row r="967" customFormat="false" ht="28.35" hidden="false" customHeight="false" outlineLevel="0" collapsed="false">
      <c r="A967" s="4" t="n">
        <v>53</v>
      </c>
      <c r="B967" s="4" t="s">
        <v>1609</v>
      </c>
      <c r="C967" s="4" t="s">
        <v>435</v>
      </c>
      <c r="D967" s="4" t="s">
        <v>3510</v>
      </c>
      <c r="E967" s="4"/>
      <c r="F967" s="4" t="s">
        <v>667</v>
      </c>
    </row>
    <row r="968" customFormat="false" ht="15" hidden="false" customHeight="false" outlineLevel="0" collapsed="false">
      <c r="A968" s="4" t="n">
        <v>53</v>
      </c>
      <c r="B968" s="4" t="s">
        <v>1609</v>
      </c>
      <c r="C968" s="4" t="s">
        <v>436</v>
      </c>
      <c r="D968" s="4" t="s">
        <v>3471</v>
      </c>
      <c r="E968" s="4"/>
      <c r="F968" s="4" t="s">
        <v>1607</v>
      </c>
    </row>
    <row r="969" customFormat="false" ht="55.2" hidden="false" customHeight="false" outlineLevel="0" collapsed="false">
      <c r="A969" s="4" t="n">
        <v>53</v>
      </c>
      <c r="B969" s="4" t="s">
        <v>1609</v>
      </c>
      <c r="C969" s="4" t="s">
        <v>438</v>
      </c>
      <c r="D969" s="4" t="s">
        <v>3511</v>
      </c>
      <c r="E969" s="4"/>
      <c r="F969" s="4" t="s">
        <v>1622</v>
      </c>
    </row>
    <row r="970" customFormat="false" ht="28.35" hidden="false" customHeight="false" outlineLevel="0" collapsed="false">
      <c r="A970" s="4" t="n">
        <v>54</v>
      </c>
      <c r="B970" s="4" t="s">
        <v>1623</v>
      </c>
      <c r="C970" s="4" t="s">
        <v>369</v>
      </c>
      <c r="D970" s="4" t="s">
        <v>3503</v>
      </c>
      <c r="E970" s="4" t="s">
        <v>780</v>
      </c>
      <c r="F970" s="4" t="s">
        <v>643</v>
      </c>
    </row>
    <row r="971" customFormat="false" ht="135.8" hidden="false" customHeight="false" outlineLevel="0" collapsed="false">
      <c r="A971" s="4" t="n">
        <v>54</v>
      </c>
      <c r="B971" s="4" t="s">
        <v>1623</v>
      </c>
      <c r="C971" s="4" t="s">
        <v>372</v>
      </c>
      <c r="D971" s="4" t="s">
        <v>3504</v>
      </c>
      <c r="E971" s="4" t="s">
        <v>3592</v>
      </c>
      <c r="F971" s="4" t="s">
        <v>1629</v>
      </c>
    </row>
    <row r="972" customFormat="false" ht="68.65" hidden="false" customHeight="false" outlineLevel="0" collapsed="false">
      <c r="A972" s="4" t="n">
        <v>54</v>
      </c>
      <c r="B972" s="4" t="s">
        <v>1623</v>
      </c>
      <c r="C972" s="4" t="s">
        <v>380</v>
      </c>
      <c r="D972" s="4" t="s">
        <v>3474</v>
      </c>
      <c r="E972" s="4" t="s">
        <v>3605</v>
      </c>
      <c r="F972" s="4" t="s">
        <v>1631</v>
      </c>
    </row>
    <row r="973" customFormat="false" ht="68.65" hidden="false" customHeight="false" outlineLevel="0" collapsed="false">
      <c r="A973" s="4" t="n">
        <v>54</v>
      </c>
      <c r="B973" s="4" t="s">
        <v>1623</v>
      </c>
      <c r="C973" s="4" t="s">
        <v>390</v>
      </c>
      <c r="D973" s="4" t="s">
        <v>3479</v>
      </c>
      <c r="E973" s="4" t="s">
        <v>473</v>
      </c>
      <c r="F973" s="4" t="s">
        <v>1632</v>
      </c>
    </row>
    <row r="974" customFormat="false" ht="55.2" hidden="false" customHeight="false" outlineLevel="0" collapsed="false">
      <c r="A974" s="4" t="n">
        <v>54</v>
      </c>
      <c r="B974" s="4" t="s">
        <v>1623</v>
      </c>
      <c r="C974" s="4" t="s">
        <v>395</v>
      </c>
      <c r="D974" s="4" t="s">
        <v>3507</v>
      </c>
      <c r="E974" s="4" t="s">
        <v>474</v>
      </c>
      <c r="F974" s="4" t="s">
        <v>1633</v>
      </c>
    </row>
    <row r="975" customFormat="false" ht="41.75" hidden="false" customHeight="false" outlineLevel="0" collapsed="false">
      <c r="A975" s="4" t="n">
        <v>54</v>
      </c>
      <c r="B975" s="4" t="s">
        <v>1623</v>
      </c>
      <c r="C975" s="4" t="s">
        <v>402</v>
      </c>
      <c r="D975" s="4" t="s">
        <v>3508</v>
      </c>
      <c r="E975" s="4" t="s">
        <v>475</v>
      </c>
      <c r="F975" s="4" t="s">
        <v>1634</v>
      </c>
    </row>
    <row r="976" customFormat="false" ht="68.65" hidden="false" customHeight="false" outlineLevel="0" collapsed="false">
      <c r="A976" s="4" t="n">
        <v>54</v>
      </c>
      <c r="B976" s="4" t="s">
        <v>1623</v>
      </c>
      <c r="C976" s="4" t="s">
        <v>403</v>
      </c>
      <c r="D976" s="4" t="s">
        <v>3481</v>
      </c>
      <c r="E976" s="4" t="s">
        <v>1095</v>
      </c>
      <c r="F976" s="4" t="s">
        <v>1635</v>
      </c>
    </row>
    <row r="977" customFormat="false" ht="82.05" hidden="false" customHeight="false" outlineLevel="0" collapsed="false">
      <c r="A977" s="4" t="n">
        <v>54</v>
      </c>
      <c r="B977" s="4" t="s">
        <v>1623</v>
      </c>
      <c r="C977" s="4" t="s">
        <v>407</v>
      </c>
      <c r="D977" s="4" t="s">
        <v>3485</v>
      </c>
      <c r="E977" s="4" t="s">
        <v>3606</v>
      </c>
      <c r="F977" s="4" t="s">
        <v>1636</v>
      </c>
    </row>
    <row r="978" customFormat="false" ht="15" hidden="false" customHeight="false" outlineLevel="0" collapsed="false">
      <c r="A978" s="4" t="n">
        <v>54</v>
      </c>
      <c r="B978" s="4" t="s">
        <v>1623</v>
      </c>
      <c r="C978" s="4" t="s">
        <v>427</v>
      </c>
      <c r="D978" s="4" t="s">
        <v>3464</v>
      </c>
      <c r="E978" s="4"/>
      <c r="F978" s="4" t="s">
        <v>24</v>
      </c>
    </row>
    <row r="979" customFormat="false" ht="15" hidden="false" customHeight="false" outlineLevel="0" collapsed="false">
      <c r="A979" s="4" t="n">
        <v>54</v>
      </c>
      <c r="B979" s="4" t="s">
        <v>1623</v>
      </c>
      <c r="C979" s="4" t="s">
        <v>428</v>
      </c>
      <c r="D979" s="4" t="s">
        <v>3465</v>
      </c>
      <c r="E979" s="4"/>
      <c r="F979" s="4" t="s">
        <v>31</v>
      </c>
    </row>
    <row r="980" customFormat="false" ht="15" hidden="false" customHeight="false" outlineLevel="0" collapsed="false">
      <c r="A980" s="4" t="n">
        <v>54</v>
      </c>
      <c r="B980" s="4" t="s">
        <v>1623</v>
      </c>
      <c r="C980" s="4" t="s">
        <v>429</v>
      </c>
      <c r="D980" s="4" t="s">
        <v>3466</v>
      </c>
      <c r="E980" s="4"/>
      <c r="F980" s="4" t="s">
        <v>38</v>
      </c>
    </row>
    <row r="981" customFormat="false" ht="15" hidden="false" customHeight="false" outlineLevel="0" collapsed="false">
      <c r="A981" s="4" t="n">
        <v>54</v>
      </c>
      <c r="B981" s="4" t="s">
        <v>1623</v>
      </c>
      <c r="C981" s="4" t="s">
        <v>431</v>
      </c>
      <c r="D981" s="4" t="s">
        <v>3468</v>
      </c>
      <c r="E981" s="4"/>
      <c r="F981" s="4" t="s">
        <v>484</v>
      </c>
    </row>
    <row r="982" customFormat="false" ht="15" hidden="false" customHeight="false" outlineLevel="0" collapsed="false">
      <c r="A982" s="4" t="n">
        <v>54</v>
      </c>
      <c r="B982" s="4" t="s">
        <v>1623</v>
      </c>
      <c r="C982" s="4" t="s">
        <v>432</v>
      </c>
      <c r="D982" s="4" t="s">
        <v>3469</v>
      </c>
      <c r="E982" s="4"/>
      <c r="F982" s="4" t="s">
        <v>664</v>
      </c>
    </row>
    <row r="983" customFormat="false" ht="41.75" hidden="false" customHeight="false" outlineLevel="0" collapsed="false">
      <c r="A983" s="4" t="n">
        <v>54</v>
      </c>
      <c r="B983" s="4" t="s">
        <v>1623</v>
      </c>
      <c r="C983" s="4" t="s">
        <v>433</v>
      </c>
      <c r="D983" s="4" t="s">
        <v>3470</v>
      </c>
      <c r="E983" s="4"/>
      <c r="F983" s="4" t="s">
        <v>665</v>
      </c>
    </row>
    <row r="984" customFormat="false" ht="15" hidden="false" customHeight="false" outlineLevel="0" collapsed="false">
      <c r="A984" s="4" t="n">
        <v>54</v>
      </c>
      <c r="B984" s="4" t="s">
        <v>1623</v>
      </c>
      <c r="C984" s="4" t="s">
        <v>434</v>
      </c>
      <c r="D984" s="4" t="s">
        <v>3482</v>
      </c>
      <c r="E984" s="4"/>
      <c r="F984" s="4" t="s">
        <v>666</v>
      </c>
    </row>
    <row r="985" customFormat="false" ht="28.35" hidden="false" customHeight="false" outlineLevel="0" collapsed="false">
      <c r="A985" s="4" t="n">
        <v>54</v>
      </c>
      <c r="B985" s="4" t="s">
        <v>1623</v>
      </c>
      <c r="C985" s="4" t="s">
        <v>435</v>
      </c>
      <c r="D985" s="4" t="s">
        <v>3510</v>
      </c>
      <c r="E985" s="4"/>
      <c r="F985" s="4" t="s">
        <v>667</v>
      </c>
    </row>
    <row r="986" customFormat="false" ht="15" hidden="false" customHeight="false" outlineLevel="0" collapsed="false">
      <c r="A986" s="4" t="n">
        <v>54</v>
      </c>
      <c r="B986" s="4" t="s">
        <v>1623</v>
      </c>
      <c r="C986" s="4" t="s">
        <v>436</v>
      </c>
      <c r="D986" s="4" t="s">
        <v>3471</v>
      </c>
      <c r="E986" s="4"/>
      <c r="F986" s="4" t="s">
        <v>1640</v>
      </c>
    </row>
    <row r="987" customFormat="false" ht="68.65" hidden="false" customHeight="false" outlineLevel="0" collapsed="false">
      <c r="A987" s="4" t="n">
        <v>54</v>
      </c>
      <c r="B987" s="4" t="s">
        <v>1623</v>
      </c>
      <c r="C987" s="4" t="s">
        <v>438</v>
      </c>
      <c r="D987" s="4" t="s">
        <v>3511</v>
      </c>
      <c r="E987" s="4"/>
      <c r="F987" s="4" t="s">
        <v>1641</v>
      </c>
    </row>
    <row r="988" customFormat="false" ht="135.8" hidden="false" customHeight="false" outlineLevel="0" collapsed="false">
      <c r="A988" s="4" t="n">
        <v>55</v>
      </c>
      <c r="B988" s="4" t="s">
        <v>1642</v>
      </c>
      <c r="C988" s="4" t="s">
        <v>372</v>
      </c>
      <c r="D988" s="4" t="s">
        <v>3504</v>
      </c>
      <c r="E988" s="4" t="s">
        <v>3607</v>
      </c>
      <c r="F988" s="4" t="s">
        <v>1648</v>
      </c>
    </row>
    <row r="989" customFormat="false" ht="122.35" hidden="false" customHeight="false" outlineLevel="0" collapsed="false">
      <c r="A989" s="4" t="n">
        <v>55</v>
      </c>
      <c r="B989" s="4" t="s">
        <v>1642</v>
      </c>
      <c r="C989" s="4" t="s">
        <v>380</v>
      </c>
      <c r="D989" s="4" t="s">
        <v>3474</v>
      </c>
      <c r="E989" s="4" t="s">
        <v>3608</v>
      </c>
      <c r="F989" s="4" t="s">
        <v>1650</v>
      </c>
    </row>
    <row r="990" customFormat="false" ht="68.65" hidden="false" customHeight="false" outlineLevel="0" collapsed="false">
      <c r="A990" s="4" t="n">
        <v>55</v>
      </c>
      <c r="B990" s="4" t="s">
        <v>1642</v>
      </c>
      <c r="C990" s="4" t="s">
        <v>403</v>
      </c>
      <c r="D990" s="4" t="s">
        <v>3481</v>
      </c>
      <c r="E990" s="4" t="s">
        <v>1095</v>
      </c>
      <c r="F990" s="4" t="s">
        <v>1651</v>
      </c>
    </row>
    <row r="991" customFormat="false" ht="82.05" hidden="false" customHeight="false" outlineLevel="0" collapsed="false">
      <c r="A991" s="4" t="n">
        <v>55</v>
      </c>
      <c r="B991" s="4" t="s">
        <v>1642</v>
      </c>
      <c r="C991" s="4" t="s">
        <v>407</v>
      </c>
      <c r="D991" s="4" t="s">
        <v>3485</v>
      </c>
      <c r="E991" s="4" t="s">
        <v>3609</v>
      </c>
      <c r="F991" s="4" t="s">
        <v>1652</v>
      </c>
    </row>
    <row r="992" customFormat="false" ht="15" hidden="false" customHeight="false" outlineLevel="0" collapsed="false">
      <c r="A992" s="4" t="n">
        <v>55</v>
      </c>
      <c r="B992" s="4" t="s">
        <v>1642</v>
      </c>
      <c r="C992" s="4" t="s">
        <v>427</v>
      </c>
      <c r="D992" s="4" t="s">
        <v>3464</v>
      </c>
      <c r="E992" s="4"/>
      <c r="F992" s="4" t="s">
        <v>24</v>
      </c>
    </row>
    <row r="993" customFormat="false" ht="15" hidden="false" customHeight="false" outlineLevel="0" collapsed="false">
      <c r="A993" s="4" t="n">
        <v>55</v>
      </c>
      <c r="B993" s="4" t="s">
        <v>1642</v>
      </c>
      <c r="C993" s="4" t="s">
        <v>428</v>
      </c>
      <c r="D993" s="4" t="s">
        <v>3465</v>
      </c>
      <c r="E993" s="4"/>
      <c r="F993" s="4" t="s">
        <v>31</v>
      </c>
    </row>
    <row r="994" customFormat="false" ht="15" hidden="false" customHeight="false" outlineLevel="0" collapsed="false">
      <c r="A994" s="4" t="n">
        <v>55</v>
      </c>
      <c r="B994" s="4" t="s">
        <v>1642</v>
      </c>
      <c r="C994" s="4" t="s">
        <v>429</v>
      </c>
      <c r="D994" s="4" t="s">
        <v>3466</v>
      </c>
      <c r="E994" s="4"/>
      <c r="F994" s="4" t="s">
        <v>38</v>
      </c>
    </row>
    <row r="995" customFormat="false" ht="15" hidden="false" customHeight="false" outlineLevel="0" collapsed="false">
      <c r="A995" s="4" t="n">
        <v>55</v>
      </c>
      <c r="B995" s="4" t="s">
        <v>1642</v>
      </c>
      <c r="C995" s="4" t="s">
        <v>431</v>
      </c>
      <c r="D995" s="4" t="s">
        <v>3468</v>
      </c>
      <c r="E995" s="4"/>
      <c r="F995" s="4" t="s">
        <v>484</v>
      </c>
    </row>
    <row r="996" customFormat="false" ht="15" hidden="false" customHeight="false" outlineLevel="0" collapsed="false">
      <c r="A996" s="4" t="n">
        <v>55</v>
      </c>
      <c r="B996" s="4" t="s">
        <v>1642</v>
      </c>
      <c r="C996" s="4" t="s">
        <v>432</v>
      </c>
      <c r="D996" s="4" t="s">
        <v>3469</v>
      </c>
      <c r="E996" s="4"/>
      <c r="F996" s="4" t="s">
        <v>524</v>
      </c>
    </row>
    <row r="997" customFormat="false" ht="41.75" hidden="false" customHeight="false" outlineLevel="0" collapsed="false">
      <c r="A997" s="4" t="n">
        <v>55</v>
      </c>
      <c r="B997" s="4" t="s">
        <v>1642</v>
      </c>
      <c r="C997" s="4" t="s">
        <v>433</v>
      </c>
      <c r="D997" s="4" t="s">
        <v>3470</v>
      </c>
      <c r="E997" s="4"/>
      <c r="F997" s="4" t="s">
        <v>665</v>
      </c>
    </row>
    <row r="998" customFormat="false" ht="15" hidden="false" customHeight="false" outlineLevel="0" collapsed="false">
      <c r="A998" s="4" t="n">
        <v>55</v>
      </c>
      <c r="B998" s="4" t="s">
        <v>1642</v>
      </c>
      <c r="C998" s="4" t="s">
        <v>434</v>
      </c>
      <c r="D998" s="4" t="s">
        <v>3482</v>
      </c>
      <c r="E998" s="4"/>
      <c r="F998" s="4" t="s">
        <v>666</v>
      </c>
    </row>
    <row r="999" customFormat="false" ht="28.35" hidden="false" customHeight="false" outlineLevel="0" collapsed="false">
      <c r="A999" s="4" t="n">
        <v>55</v>
      </c>
      <c r="B999" s="4" t="s">
        <v>1642</v>
      </c>
      <c r="C999" s="4" t="s">
        <v>435</v>
      </c>
      <c r="D999" s="4" t="s">
        <v>3510</v>
      </c>
      <c r="E999" s="4"/>
      <c r="F999" s="4" t="s">
        <v>667</v>
      </c>
    </row>
    <row r="1000" customFormat="false" ht="15" hidden="false" customHeight="false" outlineLevel="0" collapsed="false">
      <c r="A1000" s="4" t="n">
        <v>55</v>
      </c>
      <c r="B1000" s="4" t="s">
        <v>1642</v>
      </c>
      <c r="C1000" s="4" t="s">
        <v>436</v>
      </c>
      <c r="D1000" s="4" t="s">
        <v>3471</v>
      </c>
      <c r="E1000" s="4"/>
      <c r="F1000" s="4" t="s">
        <v>1657</v>
      </c>
    </row>
    <row r="1001" customFormat="false" ht="41.75" hidden="false" customHeight="false" outlineLevel="0" collapsed="false">
      <c r="A1001" s="4" t="n">
        <v>55</v>
      </c>
      <c r="B1001" s="4" t="s">
        <v>1642</v>
      </c>
      <c r="C1001" s="4" t="s">
        <v>438</v>
      </c>
      <c r="D1001" s="4" t="s">
        <v>3511</v>
      </c>
      <c r="E1001" s="4"/>
      <c r="F1001" s="4" t="s">
        <v>1658</v>
      </c>
    </row>
    <row r="1002" customFormat="false" ht="28.35" hidden="false" customHeight="false" outlineLevel="0" collapsed="false">
      <c r="A1002" s="4" t="n">
        <v>56</v>
      </c>
      <c r="B1002" s="4" t="s">
        <v>1659</v>
      </c>
      <c r="C1002" s="4" t="s">
        <v>369</v>
      </c>
      <c r="D1002" s="4" t="s">
        <v>3503</v>
      </c>
      <c r="E1002" s="4" t="s">
        <v>780</v>
      </c>
      <c r="F1002" s="4" t="s">
        <v>643</v>
      </c>
    </row>
    <row r="1003" customFormat="false" ht="189.55" hidden="false" customHeight="false" outlineLevel="0" collapsed="false">
      <c r="A1003" s="4" t="n">
        <v>56</v>
      </c>
      <c r="B1003" s="4" t="s">
        <v>1659</v>
      </c>
      <c r="C1003" s="4" t="s">
        <v>372</v>
      </c>
      <c r="D1003" s="4" t="s">
        <v>3504</v>
      </c>
      <c r="E1003" s="4" t="s">
        <v>3592</v>
      </c>
      <c r="F1003" s="4" t="s">
        <v>1665</v>
      </c>
    </row>
    <row r="1004" customFormat="false" ht="55.2" hidden="false" customHeight="false" outlineLevel="0" collapsed="false">
      <c r="A1004" s="4" t="n">
        <v>56</v>
      </c>
      <c r="B1004" s="4" t="s">
        <v>1659</v>
      </c>
      <c r="C1004" s="4" t="s">
        <v>390</v>
      </c>
      <c r="D1004" s="4" t="s">
        <v>3479</v>
      </c>
      <c r="E1004" s="4" t="s">
        <v>473</v>
      </c>
      <c r="F1004" s="4" t="s">
        <v>1669</v>
      </c>
    </row>
    <row r="1005" customFormat="false" ht="55.2" hidden="false" customHeight="false" outlineLevel="0" collapsed="false">
      <c r="A1005" s="4" t="n">
        <v>56</v>
      </c>
      <c r="B1005" s="4" t="s">
        <v>1659</v>
      </c>
      <c r="C1005" s="4" t="s">
        <v>395</v>
      </c>
      <c r="D1005" s="4" t="s">
        <v>3507</v>
      </c>
      <c r="E1005" s="4" t="s">
        <v>474</v>
      </c>
      <c r="F1005" s="4" t="s">
        <v>1670</v>
      </c>
    </row>
    <row r="1006" customFormat="false" ht="41.75" hidden="false" customHeight="false" outlineLevel="0" collapsed="false">
      <c r="A1006" s="4" t="n">
        <v>56</v>
      </c>
      <c r="B1006" s="4" t="s">
        <v>1659</v>
      </c>
      <c r="C1006" s="4" t="s">
        <v>402</v>
      </c>
      <c r="D1006" s="4" t="s">
        <v>3508</v>
      </c>
      <c r="E1006" s="4" t="s">
        <v>475</v>
      </c>
      <c r="F1006" s="4" t="s">
        <v>1671</v>
      </c>
    </row>
    <row r="1007" customFormat="false" ht="55.2" hidden="false" customHeight="false" outlineLevel="0" collapsed="false">
      <c r="A1007" s="4" t="n">
        <v>56</v>
      </c>
      <c r="B1007" s="4" t="s">
        <v>1659</v>
      </c>
      <c r="C1007" s="4" t="s">
        <v>403</v>
      </c>
      <c r="D1007" s="4" t="s">
        <v>3481</v>
      </c>
      <c r="E1007" s="4" t="s">
        <v>1095</v>
      </c>
      <c r="F1007" s="4" t="s">
        <v>1672</v>
      </c>
    </row>
    <row r="1008" customFormat="false" ht="82.05" hidden="false" customHeight="false" outlineLevel="0" collapsed="false">
      <c r="A1008" s="4" t="n">
        <v>56</v>
      </c>
      <c r="B1008" s="4" t="s">
        <v>1659</v>
      </c>
      <c r="C1008" s="4" t="s">
        <v>407</v>
      </c>
      <c r="D1008" s="4" t="s">
        <v>3485</v>
      </c>
      <c r="E1008" s="4" t="s">
        <v>3610</v>
      </c>
      <c r="F1008" s="4" t="s">
        <v>1673</v>
      </c>
    </row>
    <row r="1009" customFormat="false" ht="28.35" hidden="false" customHeight="false" outlineLevel="0" collapsed="false">
      <c r="A1009" s="4" t="n">
        <v>56</v>
      </c>
      <c r="B1009" s="4" t="s">
        <v>1659</v>
      </c>
      <c r="C1009" s="4" t="s">
        <v>427</v>
      </c>
      <c r="D1009" s="4" t="s">
        <v>3464</v>
      </c>
      <c r="E1009" s="4"/>
      <c r="F1009" s="4" t="s">
        <v>24</v>
      </c>
    </row>
    <row r="1010" customFormat="false" ht="28.35" hidden="false" customHeight="false" outlineLevel="0" collapsed="false">
      <c r="A1010" s="4" t="n">
        <v>56</v>
      </c>
      <c r="B1010" s="4" t="s">
        <v>1659</v>
      </c>
      <c r="C1010" s="4" t="s">
        <v>428</v>
      </c>
      <c r="D1010" s="4" t="s">
        <v>3465</v>
      </c>
      <c r="E1010" s="4"/>
      <c r="F1010" s="4" t="s">
        <v>31</v>
      </c>
    </row>
    <row r="1011" customFormat="false" ht="28.35" hidden="false" customHeight="false" outlineLevel="0" collapsed="false">
      <c r="A1011" s="4" t="n">
        <v>56</v>
      </c>
      <c r="B1011" s="4" t="s">
        <v>1659</v>
      </c>
      <c r="C1011" s="4" t="s">
        <v>429</v>
      </c>
      <c r="D1011" s="4" t="s">
        <v>3466</v>
      </c>
      <c r="E1011" s="4"/>
      <c r="F1011" s="4" t="s">
        <v>38</v>
      </c>
    </row>
    <row r="1012" customFormat="false" ht="28.35" hidden="false" customHeight="false" outlineLevel="0" collapsed="false">
      <c r="A1012" s="4" t="n">
        <v>56</v>
      </c>
      <c r="B1012" s="4" t="s">
        <v>1659</v>
      </c>
      <c r="C1012" s="4" t="s">
        <v>431</v>
      </c>
      <c r="D1012" s="4" t="s">
        <v>3468</v>
      </c>
      <c r="E1012" s="4"/>
      <c r="F1012" s="4" t="s">
        <v>484</v>
      </c>
    </row>
    <row r="1013" customFormat="false" ht="28.35" hidden="false" customHeight="false" outlineLevel="0" collapsed="false">
      <c r="A1013" s="4" t="n">
        <v>56</v>
      </c>
      <c r="B1013" s="4" t="s">
        <v>1659</v>
      </c>
      <c r="C1013" s="4" t="s">
        <v>432</v>
      </c>
      <c r="D1013" s="4" t="s">
        <v>3469</v>
      </c>
      <c r="E1013" s="4"/>
      <c r="F1013" s="4" t="s">
        <v>524</v>
      </c>
    </row>
    <row r="1014" customFormat="false" ht="41.75" hidden="false" customHeight="false" outlineLevel="0" collapsed="false">
      <c r="A1014" s="4" t="n">
        <v>56</v>
      </c>
      <c r="B1014" s="4" t="s">
        <v>1659</v>
      </c>
      <c r="C1014" s="4" t="s">
        <v>433</v>
      </c>
      <c r="D1014" s="4" t="s">
        <v>3470</v>
      </c>
      <c r="E1014" s="4"/>
      <c r="F1014" s="4" t="s">
        <v>665</v>
      </c>
    </row>
    <row r="1015" customFormat="false" ht="28.35" hidden="false" customHeight="false" outlineLevel="0" collapsed="false">
      <c r="A1015" s="4" t="n">
        <v>56</v>
      </c>
      <c r="B1015" s="4" t="s">
        <v>1659</v>
      </c>
      <c r="C1015" s="4" t="s">
        <v>434</v>
      </c>
      <c r="D1015" s="4" t="s">
        <v>3482</v>
      </c>
      <c r="E1015" s="4"/>
      <c r="F1015" s="4" t="s">
        <v>666</v>
      </c>
    </row>
    <row r="1016" customFormat="false" ht="28.35" hidden="false" customHeight="false" outlineLevel="0" collapsed="false">
      <c r="A1016" s="4" t="n">
        <v>56</v>
      </c>
      <c r="B1016" s="4" t="s">
        <v>1659</v>
      </c>
      <c r="C1016" s="4" t="s">
        <v>435</v>
      </c>
      <c r="D1016" s="4" t="s">
        <v>3510</v>
      </c>
      <c r="E1016" s="4"/>
      <c r="F1016" s="4" t="s">
        <v>667</v>
      </c>
    </row>
    <row r="1017" customFormat="false" ht="28.35" hidden="false" customHeight="false" outlineLevel="0" collapsed="false">
      <c r="A1017" s="4" t="n">
        <v>56</v>
      </c>
      <c r="B1017" s="4" t="s">
        <v>1659</v>
      </c>
      <c r="C1017" s="4" t="s">
        <v>436</v>
      </c>
      <c r="D1017" s="4" t="s">
        <v>3471</v>
      </c>
      <c r="E1017" s="4"/>
      <c r="F1017" s="4" t="s">
        <v>1677</v>
      </c>
    </row>
    <row r="1018" customFormat="false" ht="55.2" hidden="false" customHeight="false" outlineLevel="0" collapsed="false">
      <c r="A1018" s="4" t="n">
        <v>56</v>
      </c>
      <c r="B1018" s="4" t="s">
        <v>1659</v>
      </c>
      <c r="C1018" s="4" t="s">
        <v>438</v>
      </c>
      <c r="D1018" s="4" t="s">
        <v>3511</v>
      </c>
      <c r="E1018" s="4"/>
      <c r="F1018" s="4" t="s">
        <v>1678</v>
      </c>
    </row>
    <row r="1019" customFormat="false" ht="28.35" hidden="false" customHeight="false" outlineLevel="0" collapsed="false">
      <c r="A1019" s="4" t="n">
        <v>57</v>
      </c>
      <c r="B1019" s="4" t="s">
        <v>1679</v>
      </c>
      <c r="C1019" s="4" t="s">
        <v>369</v>
      </c>
      <c r="D1019" s="4" t="s">
        <v>3503</v>
      </c>
      <c r="E1019" s="4" t="s">
        <v>780</v>
      </c>
      <c r="F1019" s="4" t="s">
        <v>643</v>
      </c>
    </row>
    <row r="1020" customFormat="false" ht="108.95" hidden="false" customHeight="false" outlineLevel="0" collapsed="false">
      <c r="A1020" s="4" t="n">
        <v>57</v>
      </c>
      <c r="B1020" s="4" t="s">
        <v>1679</v>
      </c>
      <c r="C1020" s="4" t="s">
        <v>372</v>
      </c>
      <c r="D1020" s="4" t="s">
        <v>3504</v>
      </c>
      <c r="E1020" s="4" t="s">
        <v>3592</v>
      </c>
      <c r="F1020" s="4" t="s">
        <v>1685</v>
      </c>
    </row>
    <row r="1021" customFormat="false" ht="41.75" hidden="false" customHeight="false" outlineLevel="0" collapsed="false">
      <c r="A1021" s="4" t="n">
        <v>57</v>
      </c>
      <c r="B1021" s="4" t="s">
        <v>1679</v>
      </c>
      <c r="C1021" s="4" t="s">
        <v>380</v>
      </c>
      <c r="D1021" s="4" t="s">
        <v>3474</v>
      </c>
      <c r="E1021" s="4" t="s">
        <v>1695</v>
      </c>
      <c r="F1021" s="4" t="s">
        <v>1687</v>
      </c>
    </row>
    <row r="1022" customFormat="false" ht="55.2" hidden="false" customHeight="false" outlineLevel="0" collapsed="false">
      <c r="A1022" s="4" t="n">
        <v>57</v>
      </c>
      <c r="B1022" s="4" t="s">
        <v>1679</v>
      </c>
      <c r="C1022" s="4" t="s">
        <v>390</v>
      </c>
      <c r="D1022" s="4" t="s">
        <v>3479</v>
      </c>
      <c r="E1022" s="4" t="s">
        <v>473</v>
      </c>
      <c r="F1022" s="4" t="s">
        <v>1688</v>
      </c>
    </row>
    <row r="1023" customFormat="false" ht="55.2" hidden="false" customHeight="false" outlineLevel="0" collapsed="false">
      <c r="A1023" s="4" t="n">
        <v>57</v>
      </c>
      <c r="B1023" s="4" t="s">
        <v>1679</v>
      </c>
      <c r="C1023" s="4" t="s">
        <v>395</v>
      </c>
      <c r="D1023" s="4" t="s">
        <v>3507</v>
      </c>
      <c r="E1023" s="4" t="s">
        <v>474</v>
      </c>
      <c r="F1023" s="4" t="s">
        <v>1689</v>
      </c>
    </row>
    <row r="1024" customFormat="false" ht="41.75" hidden="false" customHeight="false" outlineLevel="0" collapsed="false">
      <c r="A1024" s="4" t="n">
        <v>57</v>
      </c>
      <c r="B1024" s="4" t="s">
        <v>1679</v>
      </c>
      <c r="C1024" s="4" t="s">
        <v>402</v>
      </c>
      <c r="D1024" s="4" t="s">
        <v>3508</v>
      </c>
      <c r="E1024" s="4" t="s">
        <v>475</v>
      </c>
      <c r="F1024" s="4" t="s">
        <v>1690</v>
      </c>
    </row>
    <row r="1025" customFormat="false" ht="55.2" hidden="false" customHeight="false" outlineLevel="0" collapsed="false">
      <c r="A1025" s="4" t="n">
        <v>57</v>
      </c>
      <c r="B1025" s="4" t="s">
        <v>1679</v>
      </c>
      <c r="C1025" s="4" t="s">
        <v>403</v>
      </c>
      <c r="D1025" s="4" t="s">
        <v>3481</v>
      </c>
      <c r="E1025" s="4" t="s">
        <v>1095</v>
      </c>
      <c r="F1025" s="4" t="s">
        <v>1691</v>
      </c>
    </row>
    <row r="1026" customFormat="false" ht="135.8" hidden="false" customHeight="false" outlineLevel="0" collapsed="false">
      <c r="A1026" s="4" t="n">
        <v>57</v>
      </c>
      <c r="B1026" s="4" t="s">
        <v>1679</v>
      </c>
      <c r="C1026" s="4" t="s">
        <v>407</v>
      </c>
      <c r="D1026" s="4" t="s">
        <v>3485</v>
      </c>
      <c r="E1026" s="4" t="s">
        <v>3611</v>
      </c>
      <c r="F1026" s="4" t="s">
        <v>1692</v>
      </c>
    </row>
    <row r="1027" customFormat="false" ht="28.35" hidden="false" customHeight="false" outlineLevel="0" collapsed="false">
      <c r="A1027" s="4" t="n">
        <v>57</v>
      </c>
      <c r="B1027" s="4" t="s">
        <v>1679</v>
      </c>
      <c r="C1027" s="4" t="s">
        <v>427</v>
      </c>
      <c r="D1027" s="4" t="s">
        <v>3464</v>
      </c>
      <c r="E1027" s="4"/>
      <c r="F1027" s="4" t="s">
        <v>24</v>
      </c>
    </row>
    <row r="1028" customFormat="false" ht="28.35" hidden="false" customHeight="false" outlineLevel="0" collapsed="false">
      <c r="A1028" s="4" t="n">
        <v>57</v>
      </c>
      <c r="B1028" s="4" t="s">
        <v>1679</v>
      </c>
      <c r="C1028" s="4" t="s">
        <v>428</v>
      </c>
      <c r="D1028" s="4" t="s">
        <v>3465</v>
      </c>
      <c r="E1028" s="4"/>
      <c r="F1028" s="4" t="s">
        <v>31</v>
      </c>
    </row>
    <row r="1029" customFormat="false" ht="28.35" hidden="false" customHeight="false" outlineLevel="0" collapsed="false">
      <c r="A1029" s="4" t="n">
        <v>57</v>
      </c>
      <c r="B1029" s="4" t="s">
        <v>1679</v>
      </c>
      <c r="C1029" s="4" t="s">
        <v>429</v>
      </c>
      <c r="D1029" s="4" t="s">
        <v>3466</v>
      </c>
      <c r="E1029" s="4"/>
      <c r="F1029" s="4" t="s">
        <v>38</v>
      </c>
    </row>
    <row r="1030" customFormat="false" ht="28.35" hidden="false" customHeight="false" outlineLevel="0" collapsed="false">
      <c r="A1030" s="4" t="n">
        <v>57</v>
      </c>
      <c r="B1030" s="4" t="s">
        <v>1679</v>
      </c>
      <c r="C1030" s="4" t="s">
        <v>431</v>
      </c>
      <c r="D1030" s="4" t="s">
        <v>3468</v>
      </c>
      <c r="E1030" s="4"/>
      <c r="F1030" s="4" t="s">
        <v>484</v>
      </c>
    </row>
    <row r="1031" customFormat="false" ht="28.35" hidden="false" customHeight="false" outlineLevel="0" collapsed="false">
      <c r="A1031" s="4" t="n">
        <v>57</v>
      </c>
      <c r="B1031" s="4" t="s">
        <v>1679</v>
      </c>
      <c r="C1031" s="4" t="s">
        <v>432</v>
      </c>
      <c r="D1031" s="4" t="s">
        <v>3469</v>
      </c>
      <c r="E1031" s="4"/>
      <c r="F1031" s="4" t="s">
        <v>713</v>
      </c>
    </row>
    <row r="1032" customFormat="false" ht="41.75" hidden="false" customHeight="false" outlineLevel="0" collapsed="false">
      <c r="A1032" s="4" t="n">
        <v>57</v>
      </c>
      <c r="B1032" s="4" t="s">
        <v>1679</v>
      </c>
      <c r="C1032" s="4" t="s">
        <v>433</v>
      </c>
      <c r="D1032" s="4" t="s">
        <v>3470</v>
      </c>
      <c r="E1032" s="4"/>
      <c r="F1032" s="4" t="s">
        <v>665</v>
      </c>
    </row>
    <row r="1033" customFormat="false" ht="28.35" hidden="false" customHeight="false" outlineLevel="0" collapsed="false">
      <c r="A1033" s="4" t="n">
        <v>57</v>
      </c>
      <c r="B1033" s="4" t="s">
        <v>1679</v>
      </c>
      <c r="C1033" s="4" t="s">
        <v>434</v>
      </c>
      <c r="D1033" s="4" t="s">
        <v>3482</v>
      </c>
      <c r="E1033" s="4"/>
      <c r="F1033" s="4" t="s">
        <v>666</v>
      </c>
    </row>
    <row r="1034" customFormat="false" ht="28.35" hidden="false" customHeight="false" outlineLevel="0" collapsed="false">
      <c r="A1034" s="4" t="n">
        <v>57</v>
      </c>
      <c r="B1034" s="4" t="s">
        <v>1679</v>
      </c>
      <c r="C1034" s="4" t="s">
        <v>435</v>
      </c>
      <c r="D1034" s="4" t="s">
        <v>3510</v>
      </c>
      <c r="E1034" s="4"/>
      <c r="F1034" s="4" t="s">
        <v>667</v>
      </c>
    </row>
    <row r="1035" customFormat="false" ht="28.35" hidden="false" customHeight="false" outlineLevel="0" collapsed="false">
      <c r="A1035" s="4" t="n">
        <v>57</v>
      </c>
      <c r="B1035" s="4" t="s">
        <v>1679</v>
      </c>
      <c r="C1035" s="4" t="s">
        <v>436</v>
      </c>
      <c r="D1035" s="4" t="s">
        <v>3471</v>
      </c>
      <c r="E1035" s="4"/>
      <c r="F1035" s="4" t="s">
        <v>1696</v>
      </c>
    </row>
    <row r="1036" customFormat="false" ht="41.75" hidden="false" customHeight="false" outlineLevel="0" collapsed="false">
      <c r="A1036" s="4" t="n">
        <v>57</v>
      </c>
      <c r="B1036" s="4" t="s">
        <v>1679</v>
      </c>
      <c r="C1036" s="4" t="s">
        <v>438</v>
      </c>
      <c r="D1036" s="4" t="s">
        <v>3511</v>
      </c>
      <c r="E1036" s="4"/>
      <c r="F1036" s="4" t="s">
        <v>1697</v>
      </c>
    </row>
    <row r="1037" customFormat="false" ht="28.35" hidden="false" customHeight="false" outlineLevel="0" collapsed="false">
      <c r="A1037" s="4" t="n">
        <v>58</v>
      </c>
      <c r="B1037" s="4" t="s">
        <v>1698</v>
      </c>
      <c r="C1037" s="4" t="s">
        <v>369</v>
      </c>
      <c r="D1037" s="4" t="s">
        <v>3503</v>
      </c>
      <c r="E1037" s="4" t="s">
        <v>780</v>
      </c>
      <c r="F1037" s="4" t="s">
        <v>643</v>
      </c>
    </row>
    <row r="1038" customFormat="false" ht="176.1" hidden="false" customHeight="false" outlineLevel="0" collapsed="false">
      <c r="A1038" s="4" t="n">
        <v>58</v>
      </c>
      <c r="B1038" s="4" t="s">
        <v>1698</v>
      </c>
      <c r="C1038" s="4" t="s">
        <v>372</v>
      </c>
      <c r="D1038" s="4" t="s">
        <v>3504</v>
      </c>
      <c r="E1038" s="4" t="s">
        <v>3592</v>
      </c>
      <c r="F1038" s="4" t="s">
        <v>1704</v>
      </c>
    </row>
    <row r="1039" customFormat="false" ht="28.35" hidden="false" customHeight="false" outlineLevel="0" collapsed="false">
      <c r="A1039" s="4" t="n">
        <v>58</v>
      </c>
      <c r="B1039" s="4" t="s">
        <v>1698</v>
      </c>
      <c r="C1039" s="4" t="s">
        <v>380</v>
      </c>
      <c r="D1039" s="4" t="s">
        <v>3474</v>
      </c>
      <c r="E1039" s="4" t="s">
        <v>1714</v>
      </c>
      <c r="F1039" s="4" t="s">
        <v>1706</v>
      </c>
    </row>
    <row r="1040" customFormat="false" ht="68.65" hidden="false" customHeight="false" outlineLevel="0" collapsed="false">
      <c r="A1040" s="4" t="n">
        <v>58</v>
      </c>
      <c r="B1040" s="4" t="s">
        <v>1698</v>
      </c>
      <c r="C1040" s="4" t="s">
        <v>390</v>
      </c>
      <c r="D1040" s="4" t="s">
        <v>3479</v>
      </c>
      <c r="E1040" s="4" t="s">
        <v>473</v>
      </c>
      <c r="F1040" s="4" t="s">
        <v>1707</v>
      </c>
    </row>
    <row r="1041" customFormat="false" ht="68.65" hidden="false" customHeight="false" outlineLevel="0" collapsed="false">
      <c r="A1041" s="4" t="n">
        <v>58</v>
      </c>
      <c r="B1041" s="4" t="s">
        <v>1698</v>
      </c>
      <c r="C1041" s="4" t="s">
        <v>395</v>
      </c>
      <c r="D1041" s="4" t="s">
        <v>3507</v>
      </c>
      <c r="E1041" s="4" t="s">
        <v>474</v>
      </c>
      <c r="F1041" s="4" t="s">
        <v>1708</v>
      </c>
    </row>
    <row r="1042" customFormat="false" ht="55.2" hidden="false" customHeight="false" outlineLevel="0" collapsed="false">
      <c r="A1042" s="4" t="n">
        <v>58</v>
      </c>
      <c r="B1042" s="4" t="s">
        <v>1698</v>
      </c>
      <c r="C1042" s="4" t="s">
        <v>402</v>
      </c>
      <c r="D1042" s="4" t="s">
        <v>3508</v>
      </c>
      <c r="E1042" s="4" t="s">
        <v>475</v>
      </c>
      <c r="F1042" s="4" t="s">
        <v>1709</v>
      </c>
    </row>
    <row r="1043" customFormat="false" ht="68.65" hidden="false" customHeight="false" outlineLevel="0" collapsed="false">
      <c r="A1043" s="4" t="n">
        <v>58</v>
      </c>
      <c r="B1043" s="4" t="s">
        <v>1698</v>
      </c>
      <c r="C1043" s="4" t="s">
        <v>403</v>
      </c>
      <c r="D1043" s="4" t="s">
        <v>3481</v>
      </c>
      <c r="E1043" s="4" t="s">
        <v>1095</v>
      </c>
      <c r="F1043" s="4" t="s">
        <v>1710</v>
      </c>
    </row>
    <row r="1044" customFormat="false" ht="108.95" hidden="false" customHeight="false" outlineLevel="0" collapsed="false">
      <c r="A1044" s="4" t="n">
        <v>58</v>
      </c>
      <c r="B1044" s="4" t="s">
        <v>1698</v>
      </c>
      <c r="C1044" s="4" t="s">
        <v>407</v>
      </c>
      <c r="D1044" s="4" t="s">
        <v>3485</v>
      </c>
      <c r="E1044" s="4" t="s">
        <v>3612</v>
      </c>
      <c r="F1044" s="4" t="s">
        <v>1711</v>
      </c>
    </row>
    <row r="1045" customFormat="false" ht="15" hidden="false" customHeight="false" outlineLevel="0" collapsed="false">
      <c r="A1045" s="4" t="n">
        <v>58</v>
      </c>
      <c r="B1045" s="4" t="s">
        <v>1698</v>
      </c>
      <c r="C1045" s="4" t="s">
        <v>427</v>
      </c>
      <c r="D1045" s="4" t="s">
        <v>3464</v>
      </c>
      <c r="E1045" s="4"/>
      <c r="F1045" s="4" t="s">
        <v>24</v>
      </c>
    </row>
    <row r="1046" customFormat="false" ht="15" hidden="false" customHeight="false" outlineLevel="0" collapsed="false">
      <c r="A1046" s="4" t="n">
        <v>58</v>
      </c>
      <c r="B1046" s="4" t="s">
        <v>1698</v>
      </c>
      <c r="C1046" s="4" t="s">
        <v>428</v>
      </c>
      <c r="D1046" s="4" t="s">
        <v>3465</v>
      </c>
      <c r="E1046" s="4"/>
      <c r="F1046" s="4" t="s">
        <v>31</v>
      </c>
    </row>
    <row r="1047" customFormat="false" ht="15" hidden="false" customHeight="false" outlineLevel="0" collapsed="false">
      <c r="A1047" s="4" t="n">
        <v>58</v>
      </c>
      <c r="B1047" s="4" t="s">
        <v>1698</v>
      </c>
      <c r="C1047" s="4" t="s">
        <v>429</v>
      </c>
      <c r="D1047" s="4" t="s">
        <v>3466</v>
      </c>
      <c r="E1047" s="4"/>
      <c r="F1047" s="4" t="s">
        <v>38</v>
      </c>
    </row>
    <row r="1048" customFormat="false" ht="15" hidden="false" customHeight="false" outlineLevel="0" collapsed="false">
      <c r="A1048" s="4" t="n">
        <v>58</v>
      </c>
      <c r="B1048" s="4" t="s">
        <v>1698</v>
      </c>
      <c r="C1048" s="4" t="s">
        <v>431</v>
      </c>
      <c r="D1048" s="4" t="s">
        <v>3468</v>
      </c>
      <c r="E1048" s="4"/>
      <c r="F1048" s="4" t="s">
        <v>484</v>
      </c>
    </row>
    <row r="1049" customFormat="false" ht="15" hidden="false" customHeight="false" outlineLevel="0" collapsed="false">
      <c r="A1049" s="4" t="n">
        <v>58</v>
      </c>
      <c r="B1049" s="4" t="s">
        <v>1698</v>
      </c>
      <c r="C1049" s="4" t="s">
        <v>432</v>
      </c>
      <c r="D1049" s="4" t="s">
        <v>3469</v>
      </c>
      <c r="E1049" s="4"/>
      <c r="F1049" s="4" t="s">
        <v>713</v>
      </c>
    </row>
    <row r="1050" customFormat="false" ht="41.75" hidden="false" customHeight="false" outlineLevel="0" collapsed="false">
      <c r="A1050" s="4" t="n">
        <v>58</v>
      </c>
      <c r="B1050" s="4" t="s">
        <v>1698</v>
      </c>
      <c r="C1050" s="4" t="s">
        <v>433</v>
      </c>
      <c r="D1050" s="4" t="s">
        <v>3470</v>
      </c>
      <c r="E1050" s="4"/>
      <c r="F1050" s="4" t="s">
        <v>665</v>
      </c>
    </row>
    <row r="1051" customFormat="false" ht="15" hidden="false" customHeight="false" outlineLevel="0" collapsed="false">
      <c r="A1051" s="4" t="n">
        <v>58</v>
      </c>
      <c r="B1051" s="4" t="s">
        <v>1698</v>
      </c>
      <c r="C1051" s="4" t="s">
        <v>434</v>
      </c>
      <c r="D1051" s="4" t="s">
        <v>3482</v>
      </c>
      <c r="E1051" s="4"/>
      <c r="F1051" s="4" t="s">
        <v>666</v>
      </c>
    </row>
    <row r="1052" customFormat="false" ht="28.35" hidden="false" customHeight="false" outlineLevel="0" collapsed="false">
      <c r="A1052" s="4" t="n">
        <v>58</v>
      </c>
      <c r="B1052" s="4" t="s">
        <v>1698</v>
      </c>
      <c r="C1052" s="4" t="s">
        <v>435</v>
      </c>
      <c r="D1052" s="4" t="s">
        <v>3510</v>
      </c>
      <c r="E1052" s="4"/>
      <c r="F1052" s="4" t="s">
        <v>667</v>
      </c>
    </row>
    <row r="1053" customFormat="false" ht="15" hidden="false" customHeight="false" outlineLevel="0" collapsed="false">
      <c r="A1053" s="4" t="n">
        <v>58</v>
      </c>
      <c r="B1053" s="4" t="s">
        <v>1698</v>
      </c>
      <c r="C1053" s="4" t="s">
        <v>436</v>
      </c>
      <c r="D1053" s="4" t="s">
        <v>3471</v>
      </c>
      <c r="E1053" s="4"/>
      <c r="F1053" s="4" t="s">
        <v>1715</v>
      </c>
    </row>
    <row r="1054" customFormat="false" ht="55.2" hidden="false" customHeight="false" outlineLevel="0" collapsed="false">
      <c r="A1054" s="4" t="n">
        <v>58</v>
      </c>
      <c r="B1054" s="4" t="s">
        <v>1698</v>
      </c>
      <c r="C1054" s="4" t="s">
        <v>438</v>
      </c>
      <c r="D1054" s="4" t="s">
        <v>3511</v>
      </c>
      <c r="E1054" s="4"/>
      <c r="F1054" s="4" t="s">
        <v>1716</v>
      </c>
    </row>
    <row r="1055" customFormat="false" ht="41.75" hidden="false" customHeight="false" outlineLevel="0" collapsed="false">
      <c r="A1055" s="4" t="n">
        <v>59</v>
      </c>
      <c r="B1055" s="4" t="s">
        <v>1717</v>
      </c>
      <c r="C1055" s="4" t="s">
        <v>362</v>
      </c>
      <c r="D1055" s="4" t="s">
        <v>3613</v>
      </c>
      <c r="E1055" s="4" t="s">
        <v>3614</v>
      </c>
      <c r="F1055" s="4" t="s">
        <v>1720</v>
      </c>
    </row>
    <row r="1056" customFormat="false" ht="28.35" hidden="false" customHeight="false" outlineLevel="0" collapsed="false">
      <c r="A1056" s="4" t="n">
        <v>59</v>
      </c>
      <c r="B1056" s="4" t="s">
        <v>1717</v>
      </c>
      <c r="C1056" s="4" t="s">
        <v>369</v>
      </c>
      <c r="D1056" s="4" t="s">
        <v>3503</v>
      </c>
      <c r="E1056" s="4" t="s">
        <v>780</v>
      </c>
      <c r="F1056" s="4" t="s">
        <v>1723</v>
      </c>
    </row>
    <row r="1057" customFormat="false" ht="189.55" hidden="false" customHeight="false" outlineLevel="0" collapsed="false">
      <c r="A1057" s="4" t="n">
        <v>59</v>
      </c>
      <c r="B1057" s="4" t="s">
        <v>1717</v>
      </c>
      <c r="C1057" s="4" t="s">
        <v>372</v>
      </c>
      <c r="D1057" s="4" t="s">
        <v>3504</v>
      </c>
      <c r="E1057" s="4" t="s">
        <v>3615</v>
      </c>
      <c r="F1057" s="4" t="s">
        <v>1724</v>
      </c>
    </row>
    <row r="1058" customFormat="false" ht="55.2" hidden="false" customHeight="false" outlineLevel="0" collapsed="false">
      <c r="A1058" s="4" t="n">
        <v>59</v>
      </c>
      <c r="B1058" s="4" t="s">
        <v>1717</v>
      </c>
      <c r="C1058" s="4" t="s">
        <v>374</v>
      </c>
      <c r="D1058" s="4" t="s">
        <v>3616</v>
      </c>
      <c r="E1058" s="4" t="s">
        <v>1342</v>
      </c>
      <c r="F1058" s="4" t="s">
        <v>1725</v>
      </c>
    </row>
    <row r="1059" customFormat="false" ht="55.2" hidden="false" customHeight="false" outlineLevel="0" collapsed="false">
      <c r="A1059" s="4" t="n">
        <v>59</v>
      </c>
      <c r="B1059" s="4" t="s">
        <v>1717</v>
      </c>
      <c r="C1059" s="4" t="s">
        <v>375</v>
      </c>
      <c r="D1059" s="4" t="s">
        <v>3473</v>
      </c>
      <c r="E1059" s="4" t="s">
        <v>3617</v>
      </c>
      <c r="F1059" s="4" t="s">
        <v>1726</v>
      </c>
    </row>
    <row r="1060" customFormat="false" ht="108.95" hidden="false" customHeight="false" outlineLevel="0" collapsed="false">
      <c r="A1060" s="4" t="n">
        <v>59</v>
      </c>
      <c r="B1060" s="4" t="s">
        <v>1717</v>
      </c>
      <c r="C1060" s="4" t="s">
        <v>380</v>
      </c>
      <c r="D1060" s="4" t="s">
        <v>3474</v>
      </c>
      <c r="E1060" s="4" t="s">
        <v>3618</v>
      </c>
      <c r="F1060" s="4" t="s">
        <v>1727</v>
      </c>
    </row>
    <row r="1061" customFormat="false" ht="28.35" hidden="false" customHeight="false" outlineLevel="0" collapsed="false">
      <c r="A1061" s="4" t="n">
        <v>59</v>
      </c>
      <c r="B1061" s="4" t="s">
        <v>1717</v>
      </c>
      <c r="C1061" s="4" t="s">
        <v>381</v>
      </c>
      <c r="D1061" s="4" t="s">
        <v>3526</v>
      </c>
      <c r="E1061" s="4" t="n">
        <v>1.37</v>
      </c>
      <c r="F1061" s="4" t="n">
        <v>0.2</v>
      </c>
    </row>
    <row r="1062" customFormat="false" ht="28.35" hidden="false" customHeight="false" outlineLevel="0" collapsed="false">
      <c r="A1062" s="4" t="n">
        <v>59</v>
      </c>
      <c r="B1062" s="4" t="s">
        <v>1717</v>
      </c>
      <c r="C1062" s="4" t="s">
        <v>382</v>
      </c>
      <c r="D1062" s="4" t="s">
        <v>3527</v>
      </c>
      <c r="E1062" s="4" t="s">
        <v>3619</v>
      </c>
      <c r="F1062" s="4" t="s">
        <v>1728</v>
      </c>
    </row>
    <row r="1063" customFormat="false" ht="68.65" hidden="false" customHeight="false" outlineLevel="0" collapsed="false">
      <c r="A1063" s="4" t="n">
        <v>59</v>
      </c>
      <c r="B1063" s="4" t="s">
        <v>1717</v>
      </c>
      <c r="C1063" s="4" t="s">
        <v>383</v>
      </c>
      <c r="D1063" s="4" t="s">
        <v>3528</v>
      </c>
      <c r="E1063" s="4" t="s">
        <v>3620</v>
      </c>
      <c r="F1063" s="4" t="s">
        <v>1729</v>
      </c>
    </row>
    <row r="1064" customFormat="false" ht="28.35" hidden="false" customHeight="false" outlineLevel="0" collapsed="false">
      <c r="A1064" s="4" t="n">
        <v>59</v>
      </c>
      <c r="B1064" s="4" t="s">
        <v>1717</v>
      </c>
      <c r="C1064" s="4" t="s">
        <v>384</v>
      </c>
      <c r="D1064" s="4" t="s">
        <v>3529</v>
      </c>
      <c r="E1064" s="4" t="s">
        <v>1717</v>
      </c>
      <c r="F1064" s="4" t="s">
        <v>1730</v>
      </c>
    </row>
    <row r="1065" customFormat="false" ht="55.2" hidden="false" customHeight="false" outlineLevel="0" collapsed="false">
      <c r="A1065" s="4" t="n">
        <v>59</v>
      </c>
      <c r="B1065" s="4" t="s">
        <v>1717</v>
      </c>
      <c r="C1065" s="4" t="s">
        <v>403</v>
      </c>
      <c r="D1065" s="4" t="s">
        <v>3481</v>
      </c>
      <c r="E1065" s="4" t="s">
        <v>1095</v>
      </c>
      <c r="F1065" s="4" t="s">
        <v>1731</v>
      </c>
    </row>
    <row r="1066" customFormat="false" ht="122.35" hidden="false" customHeight="false" outlineLevel="0" collapsed="false">
      <c r="A1066" s="4" t="n">
        <v>59</v>
      </c>
      <c r="B1066" s="4" t="s">
        <v>1717</v>
      </c>
      <c r="C1066" s="4" t="s">
        <v>407</v>
      </c>
      <c r="D1066" s="4" t="s">
        <v>3485</v>
      </c>
      <c r="E1066" s="4" t="s">
        <v>3621</v>
      </c>
      <c r="F1066" s="4" t="s">
        <v>1732</v>
      </c>
    </row>
    <row r="1067" customFormat="false" ht="28.35" hidden="false" customHeight="false" outlineLevel="0" collapsed="false">
      <c r="A1067" s="4" t="n">
        <v>59</v>
      </c>
      <c r="B1067" s="4" t="s">
        <v>1717</v>
      </c>
      <c r="C1067" s="4" t="s">
        <v>427</v>
      </c>
      <c r="D1067" s="4" t="s">
        <v>3464</v>
      </c>
      <c r="E1067" s="4"/>
      <c r="F1067" s="4" t="s">
        <v>24</v>
      </c>
    </row>
    <row r="1068" customFormat="false" ht="28.35" hidden="false" customHeight="false" outlineLevel="0" collapsed="false">
      <c r="A1068" s="4" t="n">
        <v>59</v>
      </c>
      <c r="B1068" s="4" t="s">
        <v>1717</v>
      </c>
      <c r="C1068" s="4" t="s">
        <v>428</v>
      </c>
      <c r="D1068" s="4" t="s">
        <v>3465</v>
      </c>
      <c r="E1068" s="4"/>
      <c r="F1068" s="4" t="s">
        <v>31</v>
      </c>
    </row>
    <row r="1069" customFormat="false" ht="28.35" hidden="false" customHeight="false" outlineLevel="0" collapsed="false">
      <c r="A1069" s="4" t="n">
        <v>59</v>
      </c>
      <c r="B1069" s="4" t="s">
        <v>1717</v>
      </c>
      <c r="C1069" s="4" t="s">
        <v>429</v>
      </c>
      <c r="D1069" s="4" t="s">
        <v>3466</v>
      </c>
      <c r="E1069" s="4"/>
      <c r="F1069" s="4" t="s">
        <v>38</v>
      </c>
    </row>
    <row r="1070" customFormat="false" ht="28.35" hidden="false" customHeight="false" outlineLevel="0" collapsed="false">
      <c r="A1070" s="4" t="n">
        <v>59</v>
      </c>
      <c r="B1070" s="4" t="s">
        <v>1717</v>
      </c>
      <c r="C1070" s="4" t="s">
        <v>431</v>
      </c>
      <c r="D1070" s="4" t="s">
        <v>3468</v>
      </c>
      <c r="E1070" s="4"/>
      <c r="F1070" s="4" t="s">
        <v>484</v>
      </c>
    </row>
    <row r="1071" customFormat="false" ht="28.35" hidden="false" customHeight="false" outlineLevel="0" collapsed="false">
      <c r="A1071" s="4" t="n">
        <v>59</v>
      </c>
      <c r="B1071" s="4" t="s">
        <v>1717</v>
      </c>
      <c r="C1071" s="4" t="s">
        <v>432</v>
      </c>
      <c r="D1071" s="4" t="s">
        <v>3469</v>
      </c>
      <c r="E1071" s="4"/>
      <c r="F1071" s="4" t="s">
        <v>524</v>
      </c>
    </row>
    <row r="1072" customFormat="false" ht="41.75" hidden="false" customHeight="false" outlineLevel="0" collapsed="false">
      <c r="A1072" s="4" t="n">
        <v>59</v>
      </c>
      <c r="B1072" s="4" t="s">
        <v>1717</v>
      </c>
      <c r="C1072" s="4" t="s">
        <v>433</v>
      </c>
      <c r="D1072" s="4" t="s">
        <v>3470</v>
      </c>
      <c r="E1072" s="4"/>
      <c r="F1072" s="4" t="s">
        <v>665</v>
      </c>
    </row>
    <row r="1073" customFormat="false" ht="28.35" hidden="false" customHeight="false" outlineLevel="0" collapsed="false">
      <c r="A1073" s="4" t="n">
        <v>59</v>
      </c>
      <c r="B1073" s="4" t="s">
        <v>1717</v>
      </c>
      <c r="C1073" s="4" t="s">
        <v>434</v>
      </c>
      <c r="D1073" s="4" t="s">
        <v>3482</v>
      </c>
      <c r="E1073" s="4"/>
      <c r="F1073" s="4" t="s">
        <v>666</v>
      </c>
    </row>
    <row r="1074" customFormat="false" ht="28.35" hidden="false" customHeight="false" outlineLevel="0" collapsed="false">
      <c r="A1074" s="4" t="n">
        <v>59</v>
      </c>
      <c r="B1074" s="4" t="s">
        <v>1717</v>
      </c>
      <c r="C1074" s="4" t="s">
        <v>435</v>
      </c>
      <c r="D1074" s="4" t="s">
        <v>3510</v>
      </c>
      <c r="E1074" s="4"/>
      <c r="F1074" s="4" t="s">
        <v>667</v>
      </c>
    </row>
    <row r="1075" customFormat="false" ht="28.35" hidden="false" customHeight="false" outlineLevel="0" collapsed="false">
      <c r="A1075" s="4" t="n">
        <v>59</v>
      </c>
      <c r="B1075" s="4" t="s">
        <v>1717</v>
      </c>
      <c r="C1075" s="4" t="s">
        <v>436</v>
      </c>
      <c r="D1075" s="4" t="s">
        <v>3471</v>
      </c>
      <c r="E1075" s="4"/>
      <c r="F1075" s="4" t="s">
        <v>1736</v>
      </c>
    </row>
    <row r="1076" customFormat="false" ht="95.5" hidden="false" customHeight="false" outlineLevel="0" collapsed="false">
      <c r="A1076" s="4" t="n">
        <v>59</v>
      </c>
      <c r="B1076" s="4" t="s">
        <v>1717</v>
      </c>
      <c r="C1076" s="4" t="s">
        <v>438</v>
      </c>
      <c r="D1076" s="4" t="s">
        <v>3511</v>
      </c>
      <c r="E1076" s="4"/>
      <c r="F1076" s="4" t="s">
        <v>1737</v>
      </c>
    </row>
    <row r="1077" customFormat="false" ht="28.35" hidden="false" customHeight="false" outlineLevel="0" collapsed="false">
      <c r="A1077" s="4" t="n">
        <v>60</v>
      </c>
      <c r="B1077" s="4" t="s">
        <v>1738</v>
      </c>
      <c r="C1077" s="4" t="s">
        <v>369</v>
      </c>
      <c r="D1077" s="4" t="s">
        <v>3503</v>
      </c>
      <c r="E1077" s="4" t="s">
        <v>780</v>
      </c>
      <c r="F1077" s="4" t="s">
        <v>1723</v>
      </c>
    </row>
    <row r="1078" customFormat="false" ht="229.85" hidden="false" customHeight="false" outlineLevel="0" collapsed="false">
      <c r="A1078" s="4" t="n">
        <v>60</v>
      </c>
      <c r="B1078" s="4" t="s">
        <v>1738</v>
      </c>
      <c r="C1078" s="4" t="s">
        <v>372</v>
      </c>
      <c r="D1078" s="4" t="s">
        <v>3504</v>
      </c>
      <c r="E1078" s="4" t="s">
        <v>3622</v>
      </c>
      <c r="F1078" s="4" t="s">
        <v>1744</v>
      </c>
    </row>
    <row r="1079" customFormat="false" ht="55.2" hidden="false" customHeight="false" outlineLevel="0" collapsed="false">
      <c r="A1079" s="4" t="n">
        <v>60</v>
      </c>
      <c r="B1079" s="4" t="s">
        <v>1738</v>
      </c>
      <c r="C1079" s="4" t="s">
        <v>375</v>
      </c>
      <c r="D1079" s="4" t="s">
        <v>3473</v>
      </c>
      <c r="E1079" s="4" t="s">
        <v>3623</v>
      </c>
      <c r="F1079" s="4" t="s">
        <v>1745</v>
      </c>
    </row>
    <row r="1080" customFormat="false" ht="82.05" hidden="false" customHeight="false" outlineLevel="0" collapsed="false">
      <c r="A1080" s="4" t="n">
        <v>60</v>
      </c>
      <c r="B1080" s="4" t="s">
        <v>1738</v>
      </c>
      <c r="C1080" s="4" t="s">
        <v>380</v>
      </c>
      <c r="D1080" s="4" t="s">
        <v>3474</v>
      </c>
      <c r="E1080" s="4" t="s">
        <v>3624</v>
      </c>
      <c r="F1080" s="4" t="s">
        <v>1746</v>
      </c>
    </row>
    <row r="1081" customFormat="false" ht="28.35" hidden="false" customHeight="false" outlineLevel="0" collapsed="false">
      <c r="A1081" s="4" t="n">
        <v>60</v>
      </c>
      <c r="B1081" s="4" t="s">
        <v>1738</v>
      </c>
      <c r="C1081" s="4" t="s">
        <v>381</v>
      </c>
      <c r="D1081" s="4" t="s">
        <v>3526</v>
      </c>
      <c r="E1081" s="4" t="n">
        <v>10.83</v>
      </c>
      <c r="F1081" s="4" t="n">
        <v>4.78125</v>
      </c>
    </row>
    <row r="1082" customFormat="false" ht="28.35" hidden="false" customHeight="false" outlineLevel="0" collapsed="false">
      <c r="A1082" s="4" t="n">
        <v>60</v>
      </c>
      <c r="B1082" s="4" t="s">
        <v>1738</v>
      </c>
      <c r="C1082" s="4" t="s">
        <v>382</v>
      </c>
      <c r="D1082" s="4" t="s">
        <v>3527</v>
      </c>
      <c r="E1082" s="4" t="s">
        <v>3625</v>
      </c>
      <c r="F1082" s="4" t="s">
        <v>1747</v>
      </c>
    </row>
    <row r="1083" customFormat="false" ht="68.65" hidden="false" customHeight="false" outlineLevel="0" collapsed="false">
      <c r="A1083" s="4" t="n">
        <v>60</v>
      </c>
      <c r="B1083" s="4" t="s">
        <v>1738</v>
      </c>
      <c r="C1083" s="4" t="s">
        <v>383</v>
      </c>
      <c r="D1083" s="4" t="s">
        <v>3528</v>
      </c>
      <c r="E1083" s="4" t="s">
        <v>3626</v>
      </c>
      <c r="F1083" s="4" t="s">
        <v>1748</v>
      </c>
    </row>
    <row r="1084" customFormat="false" ht="28.35" hidden="false" customHeight="false" outlineLevel="0" collapsed="false">
      <c r="A1084" s="4" t="n">
        <v>60</v>
      </c>
      <c r="B1084" s="4" t="s">
        <v>1738</v>
      </c>
      <c r="C1084" s="4" t="s">
        <v>384</v>
      </c>
      <c r="D1084" s="4" t="s">
        <v>3529</v>
      </c>
      <c r="E1084" s="4" t="s">
        <v>3627</v>
      </c>
      <c r="F1084" s="4" t="s">
        <v>1749</v>
      </c>
    </row>
    <row r="1085" customFormat="false" ht="55.2" hidden="false" customHeight="false" outlineLevel="0" collapsed="false">
      <c r="A1085" s="4" t="n">
        <v>60</v>
      </c>
      <c r="B1085" s="4" t="s">
        <v>1738</v>
      </c>
      <c r="C1085" s="4" t="s">
        <v>403</v>
      </c>
      <c r="D1085" s="4" t="s">
        <v>3481</v>
      </c>
      <c r="E1085" s="4" t="s">
        <v>1095</v>
      </c>
      <c r="F1085" s="4" t="s">
        <v>1750</v>
      </c>
    </row>
    <row r="1086" customFormat="false" ht="95.5" hidden="false" customHeight="false" outlineLevel="0" collapsed="false">
      <c r="A1086" s="4" t="n">
        <v>60</v>
      </c>
      <c r="B1086" s="4" t="s">
        <v>1738</v>
      </c>
      <c r="C1086" s="4" t="s">
        <v>407</v>
      </c>
      <c r="D1086" s="4" t="s">
        <v>3485</v>
      </c>
      <c r="E1086" s="4" t="s">
        <v>3628</v>
      </c>
      <c r="F1086" s="4" t="s">
        <v>1751</v>
      </c>
    </row>
    <row r="1087" customFormat="false" ht="15" hidden="false" customHeight="false" outlineLevel="0" collapsed="false">
      <c r="A1087" s="4" t="n">
        <v>60</v>
      </c>
      <c r="B1087" s="4" t="s">
        <v>1738</v>
      </c>
      <c r="C1087" s="4" t="s">
        <v>427</v>
      </c>
      <c r="D1087" s="4" t="s">
        <v>3464</v>
      </c>
      <c r="E1087" s="4"/>
      <c r="F1087" s="4" t="s">
        <v>24</v>
      </c>
    </row>
    <row r="1088" customFormat="false" ht="15" hidden="false" customHeight="false" outlineLevel="0" collapsed="false">
      <c r="A1088" s="4" t="n">
        <v>60</v>
      </c>
      <c r="B1088" s="4" t="s">
        <v>1738</v>
      </c>
      <c r="C1088" s="4" t="s">
        <v>428</v>
      </c>
      <c r="D1088" s="4" t="s">
        <v>3465</v>
      </c>
      <c r="E1088" s="4"/>
      <c r="F1088" s="4" t="s">
        <v>31</v>
      </c>
    </row>
    <row r="1089" customFormat="false" ht="15" hidden="false" customHeight="false" outlineLevel="0" collapsed="false">
      <c r="A1089" s="4" t="n">
        <v>60</v>
      </c>
      <c r="B1089" s="4" t="s">
        <v>1738</v>
      </c>
      <c r="C1089" s="4" t="s">
        <v>429</v>
      </c>
      <c r="D1089" s="4" t="s">
        <v>3466</v>
      </c>
      <c r="E1089" s="4"/>
      <c r="F1089" s="4" t="s">
        <v>38</v>
      </c>
    </row>
    <row r="1090" customFormat="false" ht="15" hidden="false" customHeight="false" outlineLevel="0" collapsed="false">
      <c r="A1090" s="4" t="n">
        <v>60</v>
      </c>
      <c r="B1090" s="4" t="s">
        <v>1738</v>
      </c>
      <c r="C1090" s="4" t="s">
        <v>431</v>
      </c>
      <c r="D1090" s="4" t="s">
        <v>3468</v>
      </c>
      <c r="E1090" s="4"/>
      <c r="F1090" s="4" t="s">
        <v>484</v>
      </c>
    </row>
    <row r="1091" customFormat="false" ht="15" hidden="false" customHeight="false" outlineLevel="0" collapsed="false">
      <c r="A1091" s="4" t="n">
        <v>60</v>
      </c>
      <c r="B1091" s="4" t="s">
        <v>1738</v>
      </c>
      <c r="C1091" s="4" t="s">
        <v>432</v>
      </c>
      <c r="D1091" s="4" t="s">
        <v>3469</v>
      </c>
      <c r="E1091" s="4"/>
      <c r="F1091" s="4" t="s">
        <v>524</v>
      </c>
    </row>
    <row r="1092" customFormat="false" ht="41.75" hidden="false" customHeight="false" outlineLevel="0" collapsed="false">
      <c r="A1092" s="4" t="n">
        <v>60</v>
      </c>
      <c r="B1092" s="4" t="s">
        <v>1738</v>
      </c>
      <c r="C1092" s="4" t="s">
        <v>433</v>
      </c>
      <c r="D1092" s="4" t="s">
        <v>3470</v>
      </c>
      <c r="E1092" s="4"/>
      <c r="F1092" s="4" t="s">
        <v>665</v>
      </c>
    </row>
    <row r="1093" customFormat="false" ht="15" hidden="false" customHeight="false" outlineLevel="0" collapsed="false">
      <c r="A1093" s="4" t="n">
        <v>60</v>
      </c>
      <c r="B1093" s="4" t="s">
        <v>1738</v>
      </c>
      <c r="C1093" s="4" t="s">
        <v>434</v>
      </c>
      <c r="D1093" s="4" t="s">
        <v>3482</v>
      </c>
      <c r="E1093" s="4"/>
      <c r="F1093" s="4" t="s">
        <v>666</v>
      </c>
    </row>
    <row r="1094" customFormat="false" ht="28.35" hidden="false" customHeight="false" outlineLevel="0" collapsed="false">
      <c r="A1094" s="4" t="n">
        <v>60</v>
      </c>
      <c r="B1094" s="4" t="s">
        <v>1738</v>
      </c>
      <c r="C1094" s="4" t="s">
        <v>435</v>
      </c>
      <c r="D1094" s="4" t="s">
        <v>3510</v>
      </c>
      <c r="E1094" s="4"/>
      <c r="F1094" s="4" t="s">
        <v>667</v>
      </c>
    </row>
    <row r="1095" customFormat="false" ht="15" hidden="false" customHeight="false" outlineLevel="0" collapsed="false">
      <c r="A1095" s="4" t="n">
        <v>60</v>
      </c>
      <c r="B1095" s="4" t="s">
        <v>1738</v>
      </c>
      <c r="C1095" s="4" t="s">
        <v>436</v>
      </c>
      <c r="D1095" s="4" t="s">
        <v>3471</v>
      </c>
      <c r="E1095" s="4"/>
      <c r="F1095" s="4" t="s">
        <v>1755</v>
      </c>
    </row>
    <row r="1096" customFormat="false" ht="95.5" hidden="false" customHeight="false" outlineLevel="0" collapsed="false">
      <c r="A1096" s="4" t="n">
        <v>60</v>
      </c>
      <c r="B1096" s="4" t="s">
        <v>1738</v>
      </c>
      <c r="C1096" s="4" t="s">
        <v>438</v>
      </c>
      <c r="D1096" s="4" t="s">
        <v>3511</v>
      </c>
      <c r="E1096" s="4"/>
      <c r="F1096" s="4" t="s">
        <v>1756</v>
      </c>
    </row>
    <row r="1097" customFormat="false" ht="28.35" hidden="false" customHeight="false" outlineLevel="0" collapsed="false">
      <c r="A1097" s="4" t="n">
        <v>61</v>
      </c>
      <c r="B1097" s="4" t="s">
        <v>1757</v>
      </c>
      <c r="C1097" s="4" t="s">
        <v>369</v>
      </c>
      <c r="D1097" s="4" t="s">
        <v>3503</v>
      </c>
      <c r="E1097" s="4" t="s">
        <v>780</v>
      </c>
      <c r="F1097" s="4" t="s">
        <v>643</v>
      </c>
    </row>
    <row r="1098" customFormat="false" ht="135.8" hidden="false" customHeight="false" outlineLevel="0" collapsed="false">
      <c r="A1098" s="4" t="n">
        <v>61</v>
      </c>
      <c r="B1098" s="4" t="s">
        <v>1757</v>
      </c>
      <c r="C1098" s="4" t="s">
        <v>372</v>
      </c>
      <c r="D1098" s="4" t="s">
        <v>3504</v>
      </c>
      <c r="E1098" s="4" t="s">
        <v>3592</v>
      </c>
      <c r="F1098" s="4" t="s">
        <v>1763</v>
      </c>
    </row>
    <row r="1099" customFormat="false" ht="41.75" hidden="false" customHeight="false" outlineLevel="0" collapsed="false">
      <c r="A1099" s="4" t="n">
        <v>61</v>
      </c>
      <c r="B1099" s="4" t="s">
        <v>1757</v>
      </c>
      <c r="C1099" s="4" t="s">
        <v>380</v>
      </c>
      <c r="D1099" s="4" t="s">
        <v>3474</v>
      </c>
      <c r="E1099" s="4" t="s">
        <v>3629</v>
      </c>
      <c r="F1099" s="4" t="s">
        <v>1765</v>
      </c>
    </row>
    <row r="1100" customFormat="false" ht="82.05" hidden="false" customHeight="false" outlineLevel="0" collapsed="false">
      <c r="A1100" s="4" t="n">
        <v>61</v>
      </c>
      <c r="B1100" s="4" t="s">
        <v>1757</v>
      </c>
      <c r="C1100" s="4" t="s">
        <v>390</v>
      </c>
      <c r="D1100" s="4" t="s">
        <v>3479</v>
      </c>
      <c r="E1100" s="4" t="s">
        <v>473</v>
      </c>
      <c r="F1100" s="4" t="s">
        <v>1766</v>
      </c>
    </row>
    <row r="1101" customFormat="false" ht="82.05" hidden="false" customHeight="false" outlineLevel="0" collapsed="false">
      <c r="A1101" s="4" t="n">
        <v>61</v>
      </c>
      <c r="B1101" s="4" t="s">
        <v>1757</v>
      </c>
      <c r="C1101" s="4" t="s">
        <v>395</v>
      </c>
      <c r="D1101" s="4" t="s">
        <v>3507</v>
      </c>
      <c r="E1101" s="4" t="s">
        <v>474</v>
      </c>
      <c r="F1101" s="4" t="s">
        <v>1767</v>
      </c>
    </row>
    <row r="1102" customFormat="false" ht="55.2" hidden="false" customHeight="false" outlineLevel="0" collapsed="false">
      <c r="A1102" s="4" t="n">
        <v>61</v>
      </c>
      <c r="B1102" s="4" t="s">
        <v>1757</v>
      </c>
      <c r="C1102" s="4" t="s">
        <v>402</v>
      </c>
      <c r="D1102" s="4" t="s">
        <v>3508</v>
      </c>
      <c r="E1102" s="4" t="s">
        <v>475</v>
      </c>
      <c r="F1102" s="4" t="s">
        <v>1768</v>
      </c>
    </row>
    <row r="1103" customFormat="false" ht="82.05" hidden="false" customHeight="false" outlineLevel="0" collapsed="false">
      <c r="A1103" s="4" t="n">
        <v>61</v>
      </c>
      <c r="B1103" s="4" t="s">
        <v>1757</v>
      </c>
      <c r="C1103" s="4" t="s">
        <v>403</v>
      </c>
      <c r="D1103" s="4" t="s">
        <v>3481</v>
      </c>
      <c r="E1103" s="4" t="s">
        <v>1095</v>
      </c>
      <c r="F1103" s="4" t="s">
        <v>1769</v>
      </c>
    </row>
    <row r="1104" customFormat="false" ht="122.35" hidden="false" customHeight="false" outlineLevel="0" collapsed="false">
      <c r="A1104" s="4" t="n">
        <v>61</v>
      </c>
      <c r="B1104" s="4" t="s">
        <v>1757</v>
      </c>
      <c r="C1104" s="4" t="s">
        <v>407</v>
      </c>
      <c r="D1104" s="4" t="s">
        <v>3485</v>
      </c>
      <c r="E1104" s="4" t="s">
        <v>3630</v>
      </c>
      <c r="F1104" s="4" t="s">
        <v>1770</v>
      </c>
    </row>
    <row r="1105" customFormat="false" ht="15" hidden="false" customHeight="false" outlineLevel="0" collapsed="false">
      <c r="A1105" s="4" t="n">
        <v>61</v>
      </c>
      <c r="B1105" s="4" t="s">
        <v>1757</v>
      </c>
      <c r="C1105" s="4" t="s">
        <v>427</v>
      </c>
      <c r="D1105" s="4" t="s">
        <v>3464</v>
      </c>
      <c r="E1105" s="4"/>
      <c r="F1105" s="4" t="s">
        <v>24</v>
      </c>
    </row>
    <row r="1106" customFormat="false" ht="15" hidden="false" customHeight="false" outlineLevel="0" collapsed="false">
      <c r="A1106" s="4" t="n">
        <v>61</v>
      </c>
      <c r="B1106" s="4" t="s">
        <v>1757</v>
      </c>
      <c r="C1106" s="4" t="s">
        <v>428</v>
      </c>
      <c r="D1106" s="4" t="s">
        <v>3465</v>
      </c>
      <c r="E1106" s="4"/>
      <c r="F1106" s="4" t="s">
        <v>31</v>
      </c>
    </row>
    <row r="1107" customFormat="false" ht="15" hidden="false" customHeight="false" outlineLevel="0" collapsed="false">
      <c r="A1107" s="4" t="n">
        <v>61</v>
      </c>
      <c r="B1107" s="4" t="s">
        <v>1757</v>
      </c>
      <c r="C1107" s="4" t="s">
        <v>429</v>
      </c>
      <c r="D1107" s="4" t="s">
        <v>3466</v>
      </c>
      <c r="E1107" s="4"/>
      <c r="F1107" s="4" t="s">
        <v>38</v>
      </c>
    </row>
    <row r="1108" customFormat="false" ht="15" hidden="false" customHeight="false" outlineLevel="0" collapsed="false">
      <c r="A1108" s="4" t="n">
        <v>61</v>
      </c>
      <c r="B1108" s="4" t="s">
        <v>1757</v>
      </c>
      <c r="C1108" s="4" t="s">
        <v>431</v>
      </c>
      <c r="D1108" s="4" t="s">
        <v>3468</v>
      </c>
      <c r="E1108" s="4"/>
      <c r="F1108" s="4" t="s">
        <v>484</v>
      </c>
    </row>
    <row r="1109" customFormat="false" ht="15" hidden="false" customHeight="false" outlineLevel="0" collapsed="false">
      <c r="A1109" s="4" t="n">
        <v>61</v>
      </c>
      <c r="B1109" s="4" t="s">
        <v>1757</v>
      </c>
      <c r="C1109" s="4" t="s">
        <v>432</v>
      </c>
      <c r="D1109" s="4" t="s">
        <v>3469</v>
      </c>
      <c r="E1109" s="4"/>
      <c r="F1109" s="4" t="s">
        <v>713</v>
      </c>
    </row>
    <row r="1110" customFormat="false" ht="41.75" hidden="false" customHeight="false" outlineLevel="0" collapsed="false">
      <c r="A1110" s="4" t="n">
        <v>61</v>
      </c>
      <c r="B1110" s="4" t="s">
        <v>1757</v>
      </c>
      <c r="C1110" s="4" t="s">
        <v>433</v>
      </c>
      <c r="D1110" s="4" t="s">
        <v>3470</v>
      </c>
      <c r="E1110" s="4"/>
      <c r="F1110" s="4" t="s">
        <v>665</v>
      </c>
    </row>
    <row r="1111" customFormat="false" ht="15" hidden="false" customHeight="false" outlineLevel="0" collapsed="false">
      <c r="A1111" s="4" t="n">
        <v>61</v>
      </c>
      <c r="B1111" s="4" t="s">
        <v>1757</v>
      </c>
      <c r="C1111" s="4" t="s">
        <v>434</v>
      </c>
      <c r="D1111" s="4" t="s">
        <v>3482</v>
      </c>
      <c r="E1111" s="4"/>
      <c r="F1111" s="4" t="s">
        <v>666</v>
      </c>
    </row>
    <row r="1112" customFormat="false" ht="28.35" hidden="false" customHeight="false" outlineLevel="0" collapsed="false">
      <c r="A1112" s="4" t="n">
        <v>61</v>
      </c>
      <c r="B1112" s="4" t="s">
        <v>1757</v>
      </c>
      <c r="C1112" s="4" t="s">
        <v>435</v>
      </c>
      <c r="D1112" s="4" t="s">
        <v>3510</v>
      </c>
      <c r="E1112" s="4"/>
      <c r="F1112" s="4" t="s">
        <v>667</v>
      </c>
    </row>
    <row r="1113" customFormat="false" ht="15" hidden="false" customHeight="false" outlineLevel="0" collapsed="false">
      <c r="A1113" s="4" t="n">
        <v>61</v>
      </c>
      <c r="B1113" s="4" t="s">
        <v>1757</v>
      </c>
      <c r="C1113" s="4" t="s">
        <v>436</v>
      </c>
      <c r="D1113" s="4" t="s">
        <v>3471</v>
      </c>
      <c r="E1113" s="4"/>
      <c r="F1113" s="4" t="s">
        <v>1774</v>
      </c>
    </row>
    <row r="1114" customFormat="false" ht="149.25" hidden="false" customHeight="false" outlineLevel="0" collapsed="false">
      <c r="A1114" s="4" t="n">
        <v>61</v>
      </c>
      <c r="B1114" s="4" t="s">
        <v>1757</v>
      </c>
      <c r="C1114" s="4" t="s">
        <v>438</v>
      </c>
      <c r="D1114" s="4" t="s">
        <v>3511</v>
      </c>
      <c r="E1114" s="4"/>
      <c r="F1114" s="4" t="s">
        <v>1775</v>
      </c>
    </row>
    <row r="1115" customFormat="false" ht="28.35" hidden="false" customHeight="false" outlineLevel="0" collapsed="false">
      <c r="A1115" s="4" t="n">
        <v>62</v>
      </c>
      <c r="B1115" s="4" t="s">
        <v>1776</v>
      </c>
      <c r="C1115" s="4" t="s">
        <v>369</v>
      </c>
      <c r="D1115" s="4" t="s">
        <v>3503</v>
      </c>
      <c r="E1115" s="4" t="s">
        <v>780</v>
      </c>
      <c r="F1115" s="4" t="s">
        <v>643</v>
      </c>
    </row>
    <row r="1116" customFormat="false" ht="108.95" hidden="false" customHeight="false" outlineLevel="0" collapsed="false">
      <c r="A1116" s="4" t="n">
        <v>62</v>
      </c>
      <c r="B1116" s="4" t="s">
        <v>1776</v>
      </c>
      <c r="C1116" s="4" t="s">
        <v>372</v>
      </c>
      <c r="D1116" s="4" t="s">
        <v>3504</v>
      </c>
      <c r="E1116" s="4" t="s">
        <v>3592</v>
      </c>
      <c r="F1116" s="4" t="s">
        <v>1781</v>
      </c>
    </row>
    <row r="1117" customFormat="false" ht="55.2" hidden="false" customHeight="false" outlineLevel="0" collapsed="false">
      <c r="A1117" s="4" t="n">
        <v>62</v>
      </c>
      <c r="B1117" s="4" t="s">
        <v>1776</v>
      </c>
      <c r="C1117" s="4" t="s">
        <v>380</v>
      </c>
      <c r="D1117" s="4" t="s">
        <v>3474</v>
      </c>
      <c r="E1117" s="4" t="s">
        <v>1791</v>
      </c>
      <c r="F1117" s="4" t="s">
        <v>1783</v>
      </c>
    </row>
    <row r="1118" customFormat="false" ht="68.65" hidden="false" customHeight="false" outlineLevel="0" collapsed="false">
      <c r="A1118" s="4" t="n">
        <v>62</v>
      </c>
      <c r="B1118" s="4" t="s">
        <v>1776</v>
      </c>
      <c r="C1118" s="4" t="s">
        <v>390</v>
      </c>
      <c r="D1118" s="4" t="s">
        <v>3479</v>
      </c>
      <c r="E1118" s="4" t="s">
        <v>473</v>
      </c>
      <c r="F1118" s="4" t="s">
        <v>1784</v>
      </c>
    </row>
    <row r="1119" customFormat="false" ht="68.65" hidden="false" customHeight="false" outlineLevel="0" collapsed="false">
      <c r="A1119" s="4" t="n">
        <v>62</v>
      </c>
      <c r="B1119" s="4" t="s">
        <v>1776</v>
      </c>
      <c r="C1119" s="4" t="s">
        <v>395</v>
      </c>
      <c r="D1119" s="4" t="s">
        <v>3507</v>
      </c>
      <c r="E1119" s="4" t="s">
        <v>474</v>
      </c>
      <c r="F1119" s="4" t="s">
        <v>1785</v>
      </c>
    </row>
    <row r="1120" customFormat="false" ht="41.75" hidden="false" customHeight="false" outlineLevel="0" collapsed="false">
      <c r="A1120" s="4" t="n">
        <v>62</v>
      </c>
      <c r="B1120" s="4" t="s">
        <v>1776</v>
      </c>
      <c r="C1120" s="4" t="s">
        <v>402</v>
      </c>
      <c r="D1120" s="4" t="s">
        <v>3508</v>
      </c>
      <c r="E1120" s="4" t="s">
        <v>475</v>
      </c>
      <c r="F1120" s="4" t="s">
        <v>1786</v>
      </c>
    </row>
    <row r="1121" customFormat="false" ht="68.65" hidden="false" customHeight="false" outlineLevel="0" collapsed="false">
      <c r="A1121" s="4" t="n">
        <v>62</v>
      </c>
      <c r="B1121" s="4" t="s">
        <v>1776</v>
      </c>
      <c r="C1121" s="4" t="s">
        <v>403</v>
      </c>
      <c r="D1121" s="4" t="s">
        <v>3481</v>
      </c>
      <c r="E1121" s="4" t="s">
        <v>1095</v>
      </c>
      <c r="F1121" s="4" t="s">
        <v>1787</v>
      </c>
    </row>
    <row r="1122" customFormat="false" ht="95.5" hidden="false" customHeight="false" outlineLevel="0" collapsed="false">
      <c r="A1122" s="4" t="n">
        <v>62</v>
      </c>
      <c r="B1122" s="4" t="s">
        <v>1776</v>
      </c>
      <c r="C1122" s="4" t="s">
        <v>407</v>
      </c>
      <c r="D1122" s="4" t="s">
        <v>3485</v>
      </c>
      <c r="E1122" s="4" t="s">
        <v>3631</v>
      </c>
      <c r="F1122" s="4" t="s">
        <v>1788</v>
      </c>
    </row>
    <row r="1123" customFormat="false" ht="28.35" hidden="false" customHeight="false" outlineLevel="0" collapsed="false">
      <c r="A1123" s="4" t="n">
        <v>62</v>
      </c>
      <c r="B1123" s="4" t="s">
        <v>1776</v>
      </c>
      <c r="C1123" s="4" t="s">
        <v>427</v>
      </c>
      <c r="D1123" s="4" t="s">
        <v>3464</v>
      </c>
      <c r="E1123" s="4"/>
      <c r="F1123" s="4" t="s">
        <v>24</v>
      </c>
    </row>
    <row r="1124" customFormat="false" ht="28.35" hidden="false" customHeight="false" outlineLevel="0" collapsed="false">
      <c r="A1124" s="4" t="n">
        <v>62</v>
      </c>
      <c r="B1124" s="4" t="s">
        <v>1776</v>
      </c>
      <c r="C1124" s="4" t="s">
        <v>428</v>
      </c>
      <c r="D1124" s="4" t="s">
        <v>3465</v>
      </c>
      <c r="E1124" s="4"/>
      <c r="F1124" s="4" t="s">
        <v>31</v>
      </c>
    </row>
    <row r="1125" customFormat="false" ht="28.35" hidden="false" customHeight="false" outlineLevel="0" collapsed="false">
      <c r="A1125" s="4" t="n">
        <v>62</v>
      </c>
      <c r="B1125" s="4" t="s">
        <v>1776</v>
      </c>
      <c r="C1125" s="4" t="s">
        <v>429</v>
      </c>
      <c r="D1125" s="4" t="s">
        <v>3466</v>
      </c>
      <c r="E1125" s="4"/>
      <c r="F1125" s="4" t="s">
        <v>38</v>
      </c>
    </row>
    <row r="1126" customFormat="false" ht="28.35" hidden="false" customHeight="false" outlineLevel="0" collapsed="false">
      <c r="A1126" s="4" t="n">
        <v>62</v>
      </c>
      <c r="B1126" s="4" t="s">
        <v>1776</v>
      </c>
      <c r="C1126" s="4" t="s">
        <v>431</v>
      </c>
      <c r="D1126" s="4" t="s">
        <v>3468</v>
      </c>
      <c r="E1126" s="4"/>
      <c r="F1126" s="4" t="s">
        <v>484</v>
      </c>
    </row>
    <row r="1127" customFormat="false" ht="28.35" hidden="false" customHeight="false" outlineLevel="0" collapsed="false">
      <c r="A1127" s="4" t="n">
        <v>62</v>
      </c>
      <c r="B1127" s="4" t="s">
        <v>1776</v>
      </c>
      <c r="C1127" s="4" t="s">
        <v>432</v>
      </c>
      <c r="D1127" s="4" t="s">
        <v>3469</v>
      </c>
      <c r="E1127" s="4"/>
      <c r="F1127" s="4" t="s">
        <v>713</v>
      </c>
    </row>
    <row r="1128" customFormat="false" ht="41.75" hidden="false" customHeight="false" outlineLevel="0" collapsed="false">
      <c r="A1128" s="4" t="n">
        <v>62</v>
      </c>
      <c r="B1128" s="4" t="s">
        <v>1776</v>
      </c>
      <c r="C1128" s="4" t="s">
        <v>433</v>
      </c>
      <c r="D1128" s="4" t="s">
        <v>3470</v>
      </c>
      <c r="E1128" s="4"/>
      <c r="F1128" s="4" t="s">
        <v>665</v>
      </c>
    </row>
    <row r="1129" customFormat="false" ht="28.35" hidden="false" customHeight="false" outlineLevel="0" collapsed="false">
      <c r="A1129" s="4" t="n">
        <v>62</v>
      </c>
      <c r="B1129" s="4" t="s">
        <v>1776</v>
      </c>
      <c r="C1129" s="4" t="s">
        <v>434</v>
      </c>
      <c r="D1129" s="4" t="s">
        <v>3482</v>
      </c>
      <c r="E1129" s="4"/>
      <c r="F1129" s="4" t="s">
        <v>666</v>
      </c>
    </row>
    <row r="1130" customFormat="false" ht="28.35" hidden="false" customHeight="false" outlineLevel="0" collapsed="false">
      <c r="A1130" s="4" t="n">
        <v>62</v>
      </c>
      <c r="B1130" s="4" t="s">
        <v>1776</v>
      </c>
      <c r="C1130" s="4" t="s">
        <v>435</v>
      </c>
      <c r="D1130" s="4" t="s">
        <v>3510</v>
      </c>
      <c r="E1130" s="4"/>
      <c r="F1130" s="4" t="s">
        <v>667</v>
      </c>
    </row>
    <row r="1131" customFormat="false" ht="28.35" hidden="false" customHeight="false" outlineLevel="0" collapsed="false">
      <c r="A1131" s="4" t="n">
        <v>62</v>
      </c>
      <c r="B1131" s="4" t="s">
        <v>1776</v>
      </c>
      <c r="C1131" s="4" t="s">
        <v>436</v>
      </c>
      <c r="D1131" s="4" t="s">
        <v>3471</v>
      </c>
      <c r="E1131" s="4"/>
      <c r="F1131" s="4" t="s">
        <v>1792</v>
      </c>
    </row>
    <row r="1132" customFormat="false" ht="55.2" hidden="false" customHeight="false" outlineLevel="0" collapsed="false">
      <c r="A1132" s="4" t="n">
        <v>62</v>
      </c>
      <c r="B1132" s="4" t="s">
        <v>1776</v>
      </c>
      <c r="C1132" s="4" t="s">
        <v>438</v>
      </c>
      <c r="D1132" s="4" t="s">
        <v>3511</v>
      </c>
      <c r="E1132" s="4"/>
      <c r="F1132" s="4" t="s">
        <v>1793</v>
      </c>
    </row>
    <row r="1133" customFormat="false" ht="28.35" hidden="false" customHeight="false" outlineLevel="0" collapsed="false">
      <c r="A1133" s="4" t="n">
        <v>63</v>
      </c>
      <c r="B1133" s="4" t="s">
        <v>1794</v>
      </c>
      <c r="C1133" s="4" t="s">
        <v>369</v>
      </c>
      <c r="D1133" s="4" t="s">
        <v>3503</v>
      </c>
      <c r="E1133" s="4" t="s">
        <v>780</v>
      </c>
      <c r="F1133" s="4" t="s">
        <v>643</v>
      </c>
    </row>
    <row r="1134" customFormat="false" ht="189.55" hidden="false" customHeight="false" outlineLevel="0" collapsed="false">
      <c r="A1134" s="4" t="n">
        <v>63</v>
      </c>
      <c r="B1134" s="4" t="s">
        <v>1794</v>
      </c>
      <c r="C1134" s="4" t="s">
        <v>372</v>
      </c>
      <c r="D1134" s="4" t="s">
        <v>3504</v>
      </c>
      <c r="E1134" s="4" t="s">
        <v>3592</v>
      </c>
      <c r="F1134" s="4" t="s">
        <v>1800</v>
      </c>
    </row>
    <row r="1135" customFormat="false" ht="41.75" hidden="false" customHeight="false" outlineLevel="0" collapsed="false">
      <c r="A1135" s="4" t="n">
        <v>63</v>
      </c>
      <c r="B1135" s="4" t="s">
        <v>1794</v>
      </c>
      <c r="C1135" s="4" t="s">
        <v>380</v>
      </c>
      <c r="D1135" s="4" t="s">
        <v>3474</v>
      </c>
      <c r="E1135" s="4" t="s">
        <v>3632</v>
      </c>
      <c r="F1135" s="4" t="s">
        <v>1802</v>
      </c>
    </row>
    <row r="1136" customFormat="false" ht="68.65" hidden="false" customHeight="false" outlineLevel="0" collapsed="false">
      <c r="A1136" s="4" t="n">
        <v>63</v>
      </c>
      <c r="B1136" s="4" t="s">
        <v>1794</v>
      </c>
      <c r="C1136" s="4" t="s">
        <v>390</v>
      </c>
      <c r="D1136" s="4" t="s">
        <v>3479</v>
      </c>
      <c r="E1136" s="4" t="s">
        <v>473</v>
      </c>
      <c r="F1136" s="4" t="s">
        <v>1803</v>
      </c>
    </row>
    <row r="1137" customFormat="false" ht="68.65" hidden="false" customHeight="false" outlineLevel="0" collapsed="false">
      <c r="A1137" s="4" t="n">
        <v>63</v>
      </c>
      <c r="B1137" s="4" t="s">
        <v>1794</v>
      </c>
      <c r="C1137" s="4" t="s">
        <v>395</v>
      </c>
      <c r="D1137" s="4" t="s">
        <v>3507</v>
      </c>
      <c r="E1137" s="4" t="s">
        <v>474</v>
      </c>
      <c r="F1137" s="4" t="s">
        <v>1804</v>
      </c>
    </row>
    <row r="1138" customFormat="false" ht="55.2" hidden="false" customHeight="false" outlineLevel="0" collapsed="false">
      <c r="A1138" s="4" t="n">
        <v>63</v>
      </c>
      <c r="B1138" s="4" t="s">
        <v>1794</v>
      </c>
      <c r="C1138" s="4" t="s">
        <v>402</v>
      </c>
      <c r="D1138" s="4" t="s">
        <v>3508</v>
      </c>
      <c r="E1138" s="4" t="s">
        <v>475</v>
      </c>
      <c r="F1138" s="4" t="s">
        <v>1805</v>
      </c>
    </row>
    <row r="1139" customFormat="false" ht="68.65" hidden="false" customHeight="false" outlineLevel="0" collapsed="false">
      <c r="A1139" s="4" t="n">
        <v>63</v>
      </c>
      <c r="B1139" s="4" t="s">
        <v>1794</v>
      </c>
      <c r="C1139" s="4" t="s">
        <v>403</v>
      </c>
      <c r="D1139" s="4" t="s">
        <v>3481</v>
      </c>
      <c r="E1139" s="4" t="s">
        <v>1095</v>
      </c>
      <c r="F1139" s="4" t="s">
        <v>1806</v>
      </c>
    </row>
    <row r="1140" customFormat="false" ht="122.35" hidden="false" customHeight="false" outlineLevel="0" collapsed="false">
      <c r="A1140" s="4" t="n">
        <v>63</v>
      </c>
      <c r="B1140" s="4" t="s">
        <v>1794</v>
      </c>
      <c r="C1140" s="4" t="s">
        <v>407</v>
      </c>
      <c r="D1140" s="4" t="s">
        <v>3485</v>
      </c>
      <c r="E1140" s="4" t="s">
        <v>3633</v>
      </c>
      <c r="F1140" s="4" t="s">
        <v>1807</v>
      </c>
    </row>
    <row r="1141" customFormat="false" ht="28.35" hidden="false" customHeight="false" outlineLevel="0" collapsed="false">
      <c r="A1141" s="4" t="n">
        <v>63</v>
      </c>
      <c r="B1141" s="4" t="s">
        <v>1794</v>
      </c>
      <c r="C1141" s="4" t="s">
        <v>427</v>
      </c>
      <c r="D1141" s="4" t="s">
        <v>3464</v>
      </c>
      <c r="E1141" s="4"/>
      <c r="F1141" s="4" t="s">
        <v>24</v>
      </c>
    </row>
    <row r="1142" customFormat="false" ht="28.35" hidden="false" customHeight="false" outlineLevel="0" collapsed="false">
      <c r="A1142" s="4" t="n">
        <v>63</v>
      </c>
      <c r="B1142" s="4" t="s">
        <v>1794</v>
      </c>
      <c r="C1142" s="4" t="s">
        <v>428</v>
      </c>
      <c r="D1142" s="4" t="s">
        <v>3465</v>
      </c>
      <c r="E1142" s="4"/>
      <c r="F1142" s="4" t="s">
        <v>31</v>
      </c>
    </row>
    <row r="1143" customFormat="false" ht="28.35" hidden="false" customHeight="false" outlineLevel="0" collapsed="false">
      <c r="A1143" s="4" t="n">
        <v>63</v>
      </c>
      <c r="B1143" s="4" t="s">
        <v>1794</v>
      </c>
      <c r="C1143" s="4" t="s">
        <v>429</v>
      </c>
      <c r="D1143" s="4" t="s">
        <v>3466</v>
      </c>
      <c r="E1143" s="4"/>
      <c r="F1143" s="4" t="s">
        <v>38</v>
      </c>
    </row>
    <row r="1144" customFormat="false" ht="28.35" hidden="false" customHeight="false" outlineLevel="0" collapsed="false">
      <c r="A1144" s="4" t="n">
        <v>63</v>
      </c>
      <c r="B1144" s="4" t="s">
        <v>1794</v>
      </c>
      <c r="C1144" s="4" t="s">
        <v>431</v>
      </c>
      <c r="D1144" s="4" t="s">
        <v>3468</v>
      </c>
      <c r="E1144" s="4"/>
      <c r="F1144" s="4" t="s">
        <v>484</v>
      </c>
    </row>
    <row r="1145" customFormat="false" ht="28.35" hidden="false" customHeight="false" outlineLevel="0" collapsed="false">
      <c r="A1145" s="4" t="n">
        <v>63</v>
      </c>
      <c r="B1145" s="4" t="s">
        <v>1794</v>
      </c>
      <c r="C1145" s="4" t="s">
        <v>432</v>
      </c>
      <c r="D1145" s="4" t="s">
        <v>3469</v>
      </c>
      <c r="E1145" s="4"/>
      <c r="F1145" s="4" t="s">
        <v>713</v>
      </c>
    </row>
    <row r="1146" customFormat="false" ht="41.75" hidden="false" customHeight="false" outlineLevel="0" collapsed="false">
      <c r="A1146" s="4" t="n">
        <v>63</v>
      </c>
      <c r="B1146" s="4" t="s">
        <v>1794</v>
      </c>
      <c r="C1146" s="4" t="s">
        <v>433</v>
      </c>
      <c r="D1146" s="4" t="s">
        <v>3470</v>
      </c>
      <c r="E1146" s="4"/>
      <c r="F1146" s="4" t="s">
        <v>665</v>
      </c>
    </row>
    <row r="1147" customFormat="false" ht="28.35" hidden="false" customHeight="false" outlineLevel="0" collapsed="false">
      <c r="A1147" s="4" t="n">
        <v>63</v>
      </c>
      <c r="B1147" s="4" t="s">
        <v>1794</v>
      </c>
      <c r="C1147" s="4" t="s">
        <v>434</v>
      </c>
      <c r="D1147" s="4" t="s">
        <v>3482</v>
      </c>
      <c r="E1147" s="4"/>
      <c r="F1147" s="4" t="s">
        <v>666</v>
      </c>
    </row>
    <row r="1148" customFormat="false" ht="28.35" hidden="false" customHeight="false" outlineLevel="0" collapsed="false">
      <c r="A1148" s="4" t="n">
        <v>63</v>
      </c>
      <c r="B1148" s="4" t="s">
        <v>1794</v>
      </c>
      <c r="C1148" s="4" t="s">
        <v>435</v>
      </c>
      <c r="D1148" s="4" t="s">
        <v>3510</v>
      </c>
      <c r="E1148" s="4"/>
      <c r="F1148" s="4" t="s">
        <v>667</v>
      </c>
    </row>
    <row r="1149" customFormat="false" ht="28.35" hidden="false" customHeight="false" outlineLevel="0" collapsed="false">
      <c r="A1149" s="4" t="n">
        <v>63</v>
      </c>
      <c r="B1149" s="4" t="s">
        <v>1794</v>
      </c>
      <c r="C1149" s="4" t="s">
        <v>436</v>
      </c>
      <c r="D1149" s="4" t="s">
        <v>3471</v>
      </c>
      <c r="E1149" s="4"/>
      <c r="F1149" s="4" t="s">
        <v>1814</v>
      </c>
    </row>
    <row r="1150" customFormat="false" ht="82.05" hidden="false" customHeight="false" outlineLevel="0" collapsed="false">
      <c r="A1150" s="4" t="n">
        <v>63</v>
      </c>
      <c r="B1150" s="4" t="s">
        <v>1794</v>
      </c>
      <c r="C1150" s="4" t="s">
        <v>438</v>
      </c>
      <c r="D1150" s="4" t="s">
        <v>3511</v>
      </c>
      <c r="E1150" s="4"/>
      <c r="F1150" s="4" t="s">
        <v>1815</v>
      </c>
    </row>
    <row r="1151" customFormat="false" ht="28.35" hidden="false" customHeight="false" outlineLevel="0" collapsed="false">
      <c r="A1151" s="4" t="n">
        <v>64</v>
      </c>
      <c r="B1151" s="4" t="s">
        <v>1816</v>
      </c>
      <c r="C1151" s="4" t="s">
        <v>369</v>
      </c>
      <c r="D1151" s="4" t="s">
        <v>3503</v>
      </c>
      <c r="E1151" s="4" t="s">
        <v>780</v>
      </c>
      <c r="F1151" s="4" t="s">
        <v>643</v>
      </c>
    </row>
    <row r="1152" customFormat="false" ht="202.95" hidden="false" customHeight="false" outlineLevel="0" collapsed="false">
      <c r="A1152" s="4" t="n">
        <v>64</v>
      </c>
      <c r="B1152" s="4" t="s">
        <v>1816</v>
      </c>
      <c r="C1152" s="4" t="s">
        <v>372</v>
      </c>
      <c r="D1152" s="4" t="s">
        <v>3504</v>
      </c>
      <c r="E1152" s="4" t="s">
        <v>3592</v>
      </c>
      <c r="F1152" s="4" t="s">
        <v>1822</v>
      </c>
    </row>
    <row r="1153" customFormat="false" ht="55.2" hidden="false" customHeight="false" outlineLevel="0" collapsed="false">
      <c r="A1153" s="4" t="n">
        <v>64</v>
      </c>
      <c r="B1153" s="4" t="s">
        <v>1816</v>
      </c>
      <c r="C1153" s="4" t="s">
        <v>380</v>
      </c>
      <c r="D1153" s="4" t="s">
        <v>3474</v>
      </c>
      <c r="E1153" s="4" t="s">
        <v>3634</v>
      </c>
      <c r="F1153" s="4" t="s">
        <v>1825</v>
      </c>
    </row>
    <row r="1154" customFormat="false" ht="55.2" hidden="false" customHeight="false" outlineLevel="0" collapsed="false">
      <c r="A1154" s="4" t="n">
        <v>64</v>
      </c>
      <c r="B1154" s="4" t="s">
        <v>1816</v>
      </c>
      <c r="C1154" s="4" t="s">
        <v>390</v>
      </c>
      <c r="D1154" s="4" t="s">
        <v>3479</v>
      </c>
      <c r="E1154" s="4" t="s">
        <v>473</v>
      </c>
      <c r="F1154" s="4" t="s">
        <v>1826</v>
      </c>
    </row>
    <row r="1155" customFormat="false" ht="55.2" hidden="false" customHeight="false" outlineLevel="0" collapsed="false">
      <c r="A1155" s="4" t="n">
        <v>64</v>
      </c>
      <c r="B1155" s="4" t="s">
        <v>1816</v>
      </c>
      <c r="C1155" s="4" t="s">
        <v>395</v>
      </c>
      <c r="D1155" s="4" t="s">
        <v>3507</v>
      </c>
      <c r="E1155" s="4" t="s">
        <v>474</v>
      </c>
      <c r="F1155" s="4" t="s">
        <v>1827</v>
      </c>
    </row>
    <row r="1156" customFormat="false" ht="41.75" hidden="false" customHeight="false" outlineLevel="0" collapsed="false">
      <c r="A1156" s="4" t="n">
        <v>64</v>
      </c>
      <c r="B1156" s="4" t="s">
        <v>1816</v>
      </c>
      <c r="C1156" s="4" t="s">
        <v>402</v>
      </c>
      <c r="D1156" s="4" t="s">
        <v>3508</v>
      </c>
      <c r="E1156" s="4" t="s">
        <v>475</v>
      </c>
      <c r="F1156" s="4" t="s">
        <v>1828</v>
      </c>
    </row>
    <row r="1157" customFormat="false" ht="55.2" hidden="false" customHeight="false" outlineLevel="0" collapsed="false">
      <c r="A1157" s="4" t="n">
        <v>64</v>
      </c>
      <c r="B1157" s="4" t="s">
        <v>1816</v>
      </c>
      <c r="C1157" s="4" t="s">
        <v>403</v>
      </c>
      <c r="D1157" s="4" t="s">
        <v>3481</v>
      </c>
      <c r="E1157" s="4" t="s">
        <v>1095</v>
      </c>
      <c r="F1157" s="4" t="s">
        <v>1829</v>
      </c>
    </row>
    <row r="1158" customFormat="false" ht="108.95" hidden="false" customHeight="false" outlineLevel="0" collapsed="false">
      <c r="A1158" s="4" t="n">
        <v>64</v>
      </c>
      <c r="B1158" s="4" t="s">
        <v>1816</v>
      </c>
      <c r="C1158" s="4" t="s">
        <v>407</v>
      </c>
      <c r="D1158" s="4" t="s">
        <v>3485</v>
      </c>
      <c r="E1158" s="4" t="s">
        <v>3635</v>
      </c>
      <c r="F1158" s="4" t="s">
        <v>1830</v>
      </c>
    </row>
    <row r="1159" customFormat="false" ht="15" hidden="false" customHeight="false" outlineLevel="0" collapsed="false">
      <c r="A1159" s="4" t="n">
        <v>64</v>
      </c>
      <c r="B1159" s="4" t="s">
        <v>1816</v>
      </c>
      <c r="C1159" s="4" t="s">
        <v>427</v>
      </c>
      <c r="D1159" s="4" t="s">
        <v>3464</v>
      </c>
      <c r="E1159" s="4"/>
      <c r="F1159" s="4" t="s">
        <v>24</v>
      </c>
    </row>
    <row r="1160" customFormat="false" ht="15" hidden="false" customHeight="false" outlineLevel="0" collapsed="false">
      <c r="A1160" s="4" t="n">
        <v>64</v>
      </c>
      <c r="B1160" s="4" t="s">
        <v>1816</v>
      </c>
      <c r="C1160" s="4" t="s">
        <v>428</v>
      </c>
      <c r="D1160" s="4" t="s">
        <v>3465</v>
      </c>
      <c r="E1160" s="4"/>
      <c r="F1160" s="4" t="s">
        <v>31</v>
      </c>
    </row>
    <row r="1161" customFormat="false" ht="15" hidden="false" customHeight="false" outlineLevel="0" collapsed="false">
      <c r="A1161" s="4" t="n">
        <v>64</v>
      </c>
      <c r="B1161" s="4" t="s">
        <v>1816</v>
      </c>
      <c r="C1161" s="4" t="s">
        <v>429</v>
      </c>
      <c r="D1161" s="4" t="s">
        <v>3466</v>
      </c>
      <c r="E1161" s="4"/>
      <c r="F1161" s="4" t="s">
        <v>38</v>
      </c>
    </row>
    <row r="1162" customFormat="false" ht="15" hidden="false" customHeight="false" outlineLevel="0" collapsed="false">
      <c r="A1162" s="4" t="n">
        <v>64</v>
      </c>
      <c r="B1162" s="4" t="s">
        <v>1816</v>
      </c>
      <c r="C1162" s="4" t="s">
        <v>431</v>
      </c>
      <c r="D1162" s="4" t="s">
        <v>3468</v>
      </c>
      <c r="E1162" s="4"/>
      <c r="F1162" s="4" t="s">
        <v>484</v>
      </c>
    </row>
    <row r="1163" customFormat="false" ht="15" hidden="false" customHeight="false" outlineLevel="0" collapsed="false">
      <c r="A1163" s="4" t="n">
        <v>64</v>
      </c>
      <c r="B1163" s="4" t="s">
        <v>1816</v>
      </c>
      <c r="C1163" s="4" t="s">
        <v>432</v>
      </c>
      <c r="D1163" s="4" t="s">
        <v>3469</v>
      </c>
      <c r="E1163" s="4"/>
      <c r="F1163" s="4" t="s">
        <v>713</v>
      </c>
    </row>
    <row r="1164" customFormat="false" ht="41.75" hidden="false" customHeight="false" outlineLevel="0" collapsed="false">
      <c r="A1164" s="4" t="n">
        <v>64</v>
      </c>
      <c r="B1164" s="4" t="s">
        <v>1816</v>
      </c>
      <c r="C1164" s="4" t="s">
        <v>433</v>
      </c>
      <c r="D1164" s="4" t="s">
        <v>3470</v>
      </c>
      <c r="E1164" s="4"/>
      <c r="F1164" s="4" t="s">
        <v>665</v>
      </c>
    </row>
    <row r="1165" customFormat="false" ht="15" hidden="false" customHeight="false" outlineLevel="0" collapsed="false">
      <c r="A1165" s="4" t="n">
        <v>64</v>
      </c>
      <c r="B1165" s="4" t="s">
        <v>1816</v>
      </c>
      <c r="C1165" s="4" t="s">
        <v>434</v>
      </c>
      <c r="D1165" s="4" t="s">
        <v>3482</v>
      </c>
      <c r="E1165" s="4"/>
      <c r="F1165" s="4" t="s">
        <v>666</v>
      </c>
    </row>
    <row r="1166" customFormat="false" ht="28.35" hidden="false" customHeight="false" outlineLevel="0" collapsed="false">
      <c r="A1166" s="4" t="n">
        <v>64</v>
      </c>
      <c r="B1166" s="4" t="s">
        <v>1816</v>
      </c>
      <c r="C1166" s="4" t="s">
        <v>435</v>
      </c>
      <c r="D1166" s="4" t="s">
        <v>3510</v>
      </c>
      <c r="E1166" s="4"/>
      <c r="F1166" s="4" t="s">
        <v>667</v>
      </c>
    </row>
    <row r="1167" customFormat="false" ht="15" hidden="false" customHeight="false" outlineLevel="0" collapsed="false">
      <c r="A1167" s="4" t="n">
        <v>64</v>
      </c>
      <c r="B1167" s="4" t="s">
        <v>1816</v>
      </c>
      <c r="C1167" s="4" t="s">
        <v>436</v>
      </c>
      <c r="D1167" s="4" t="s">
        <v>3471</v>
      </c>
      <c r="E1167" s="4"/>
      <c r="F1167" s="4" t="s">
        <v>1834</v>
      </c>
    </row>
    <row r="1168" customFormat="false" ht="55.2" hidden="false" customHeight="false" outlineLevel="0" collapsed="false">
      <c r="A1168" s="4" t="n">
        <v>64</v>
      </c>
      <c r="B1168" s="4" t="s">
        <v>1816</v>
      </c>
      <c r="C1168" s="4" t="s">
        <v>438</v>
      </c>
      <c r="D1168" s="4" t="s">
        <v>3511</v>
      </c>
      <c r="E1168" s="4"/>
      <c r="F1168" s="4" t="s">
        <v>1835</v>
      </c>
    </row>
    <row r="1169" customFormat="false" ht="28.35" hidden="false" customHeight="false" outlineLevel="0" collapsed="false">
      <c r="A1169" s="4" t="n">
        <v>65</v>
      </c>
      <c r="B1169" s="4" t="s">
        <v>1836</v>
      </c>
      <c r="C1169" s="4" t="s">
        <v>369</v>
      </c>
      <c r="D1169" s="4" t="s">
        <v>3503</v>
      </c>
      <c r="E1169" s="4" t="s">
        <v>780</v>
      </c>
      <c r="F1169" s="4" t="s">
        <v>643</v>
      </c>
    </row>
    <row r="1170" customFormat="false" ht="216.4" hidden="false" customHeight="false" outlineLevel="0" collapsed="false">
      <c r="A1170" s="4" t="n">
        <v>65</v>
      </c>
      <c r="B1170" s="4" t="s">
        <v>1836</v>
      </c>
      <c r="C1170" s="4" t="s">
        <v>372</v>
      </c>
      <c r="D1170" s="4" t="s">
        <v>3504</v>
      </c>
      <c r="E1170" s="4" t="s">
        <v>3636</v>
      </c>
      <c r="F1170" s="4" t="s">
        <v>1842</v>
      </c>
    </row>
    <row r="1171" customFormat="false" ht="68.65" hidden="false" customHeight="false" outlineLevel="0" collapsed="false">
      <c r="A1171" s="4" t="n">
        <v>65</v>
      </c>
      <c r="B1171" s="4" t="s">
        <v>1836</v>
      </c>
      <c r="C1171" s="4" t="s">
        <v>380</v>
      </c>
      <c r="D1171" s="4" t="s">
        <v>3474</v>
      </c>
      <c r="E1171" s="4" t="s">
        <v>3637</v>
      </c>
      <c r="F1171" s="4" t="s">
        <v>1844</v>
      </c>
    </row>
    <row r="1172" customFormat="false" ht="55.2" hidden="false" customHeight="false" outlineLevel="0" collapsed="false">
      <c r="A1172" s="4" t="n">
        <v>65</v>
      </c>
      <c r="B1172" s="4" t="s">
        <v>1836</v>
      </c>
      <c r="C1172" s="4" t="s">
        <v>403</v>
      </c>
      <c r="D1172" s="4" t="s">
        <v>3481</v>
      </c>
      <c r="E1172" s="4" t="s">
        <v>1095</v>
      </c>
      <c r="F1172" s="4" t="s">
        <v>1845</v>
      </c>
    </row>
    <row r="1173" customFormat="false" ht="149.25" hidden="false" customHeight="false" outlineLevel="0" collapsed="false">
      <c r="A1173" s="4" t="n">
        <v>65</v>
      </c>
      <c r="B1173" s="4" t="s">
        <v>1836</v>
      </c>
      <c r="C1173" s="4" t="s">
        <v>407</v>
      </c>
      <c r="D1173" s="4" t="s">
        <v>3485</v>
      </c>
      <c r="E1173" s="4" t="s">
        <v>3638</v>
      </c>
      <c r="F1173" s="4" t="s">
        <v>1846</v>
      </c>
    </row>
    <row r="1174" customFormat="false" ht="15" hidden="false" customHeight="false" outlineLevel="0" collapsed="false">
      <c r="A1174" s="4" t="n">
        <v>65</v>
      </c>
      <c r="B1174" s="4" t="s">
        <v>1836</v>
      </c>
      <c r="C1174" s="4" t="s">
        <v>427</v>
      </c>
      <c r="D1174" s="4" t="s">
        <v>3464</v>
      </c>
      <c r="E1174" s="4"/>
      <c r="F1174" s="4" t="s">
        <v>25</v>
      </c>
    </row>
    <row r="1175" customFormat="false" ht="15" hidden="false" customHeight="false" outlineLevel="0" collapsed="false">
      <c r="A1175" s="4" t="n">
        <v>65</v>
      </c>
      <c r="B1175" s="4" t="s">
        <v>1836</v>
      </c>
      <c r="C1175" s="4" t="s">
        <v>428</v>
      </c>
      <c r="D1175" s="4" t="s">
        <v>3465</v>
      </c>
      <c r="E1175" s="4"/>
      <c r="F1175" s="4" t="s">
        <v>32</v>
      </c>
    </row>
    <row r="1176" customFormat="false" ht="15" hidden="false" customHeight="false" outlineLevel="0" collapsed="false">
      <c r="A1176" s="4" t="n">
        <v>65</v>
      </c>
      <c r="B1176" s="4" t="s">
        <v>1836</v>
      </c>
      <c r="C1176" s="4" t="s">
        <v>429</v>
      </c>
      <c r="D1176" s="4" t="s">
        <v>3466</v>
      </c>
      <c r="E1176" s="4"/>
      <c r="F1176" s="4" t="s">
        <v>34</v>
      </c>
    </row>
    <row r="1177" customFormat="false" ht="15" hidden="false" customHeight="false" outlineLevel="0" collapsed="false">
      <c r="A1177" s="4" t="n">
        <v>65</v>
      </c>
      <c r="B1177" s="4" t="s">
        <v>1836</v>
      </c>
      <c r="C1177" s="4" t="s">
        <v>431</v>
      </c>
      <c r="D1177" s="4" t="s">
        <v>3468</v>
      </c>
      <c r="E1177" s="4"/>
      <c r="F1177" s="4" t="s">
        <v>484</v>
      </c>
    </row>
    <row r="1178" customFormat="false" ht="15" hidden="false" customHeight="false" outlineLevel="0" collapsed="false">
      <c r="A1178" s="4" t="n">
        <v>65</v>
      </c>
      <c r="B1178" s="4" t="s">
        <v>1836</v>
      </c>
      <c r="C1178" s="4" t="s">
        <v>432</v>
      </c>
      <c r="D1178" s="4" t="s">
        <v>3469</v>
      </c>
      <c r="E1178" s="4"/>
      <c r="F1178" s="4" t="s">
        <v>524</v>
      </c>
    </row>
    <row r="1179" customFormat="false" ht="15" hidden="false" customHeight="false" outlineLevel="0" collapsed="false">
      <c r="A1179" s="4" t="n">
        <v>65</v>
      </c>
      <c r="B1179" s="4" t="s">
        <v>1836</v>
      </c>
      <c r="C1179" s="4" t="s">
        <v>433</v>
      </c>
      <c r="D1179" s="4" t="s">
        <v>3470</v>
      </c>
      <c r="E1179" s="4"/>
      <c r="F1179" s="4" t="s">
        <v>1852</v>
      </c>
    </row>
    <row r="1180" customFormat="false" ht="15" hidden="false" customHeight="false" outlineLevel="0" collapsed="false">
      <c r="A1180" s="4" t="n">
        <v>65</v>
      </c>
      <c r="B1180" s="4" t="s">
        <v>1836</v>
      </c>
      <c r="C1180" s="4" t="s">
        <v>434</v>
      </c>
      <c r="D1180" s="4" t="s">
        <v>3482</v>
      </c>
      <c r="E1180" s="4"/>
      <c r="F1180" s="4" t="s">
        <v>1853</v>
      </c>
    </row>
    <row r="1181" customFormat="false" ht="15" hidden="false" customHeight="false" outlineLevel="0" collapsed="false">
      <c r="A1181" s="4" t="n">
        <v>65</v>
      </c>
      <c r="B1181" s="4" t="s">
        <v>1836</v>
      </c>
      <c r="C1181" s="4" t="s">
        <v>436</v>
      </c>
      <c r="D1181" s="4" t="s">
        <v>3471</v>
      </c>
      <c r="E1181" s="4"/>
      <c r="F1181" s="4" t="s">
        <v>1854</v>
      </c>
    </row>
    <row r="1182" customFormat="false" ht="28.35" hidden="false" customHeight="false" outlineLevel="0" collapsed="false">
      <c r="A1182" s="4" t="n">
        <v>66</v>
      </c>
      <c r="B1182" s="4" t="s">
        <v>1855</v>
      </c>
      <c r="C1182" s="4" t="s">
        <v>365</v>
      </c>
      <c r="D1182" s="4" t="s">
        <v>3547</v>
      </c>
      <c r="E1182" s="4"/>
      <c r="F1182" s="4" t="n">
        <v>11.1445</v>
      </c>
    </row>
    <row r="1183" customFormat="false" ht="28.35" hidden="false" customHeight="false" outlineLevel="0" collapsed="false">
      <c r="A1183" s="4" t="n">
        <v>66</v>
      </c>
      <c r="B1183" s="4" t="s">
        <v>1855</v>
      </c>
      <c r="C1183" s="4" t="s">
        <v>366</v>
      </c>
      <c r="D1183" s="4" t="s">
        <v>3548</v>
      </c>
      <c r="E1183" s="4"/>
      <c r="F1183" s="4" t="n">
        <v>2026</v>
      </c>
    </row>
    <row r="1184" customFormat="false" ht="28.35" hidden="false" customHeight="false" outlineLevel="0" collapsed="false">
      <c r="A1184" s="4" t="n">
        <v>66</v>
      </c>
      <c r="B1184" s="4" t="s">
        <v>1855</v>
      </c>
      <c r="C1184" s="4" t="s">
        <v>367</v>
      </c>
      <c r="D1184" s="4" t="s">
        <v>3549</v>
      </c>
      <c r="E1184" s="4"/>
      <c r="F1184" s="4" t="s">
        <v>6</v>
      </c>
    </row>
    <row r="1185" customFormat="false" ht="28.35" hidden="false" customHeight="false" outlineLevel="0" collapsed="false">
      <c r="A1185" s="4" t="n">
        <v>66</v>
      </c>
      <c r="B1185" s="4" t="s">
        <v>1855</v>
      </c>
      <c r="C1185" s="4" t="s">
        <v>368</v>
      </c>
      <c r="D1185" s="4" t="s">
        <v>3550</v>
      </c>
      <c r="E1185" s="4"/>
      <c r="F1185" s="4" t="s">
        <v>1861</v>
      </c>
    </row>
    <row r="1186" customFormat="false" ht="28.35" hidden="false" customHeight="false" outlineLevel="0" collapsed="false">
      <c r="A1186" s="4" t="n">
        <v>66</v>
      </c>
      <c r="B1186" s="4" t="s">
        <v>1855</v>
      </c>
      <c r="C1186" s="4" t="s">
        <v>369</v>
      </c>
      <c r="D1186" s="4" t="s">
        <v>3503</v>
      </c>
      <c r="E1186" s="4" t="s">
        <v>780</v>
      </c>
      <c r="F1186" s="4" t="s">
        <v>494</v>
      </c>
    </row>
    <row r="1187" customFormat="false" ht="270.1" hidden="false" customHeight="false" outlineLevel="0" collapsed="false">
      <c r="A1187" s="4" t="n">
        <v>66</v>
      </c>
      <c r="B1187" s="4" t="s">
        <v>1855</v>
      </c>
      <c r="C1187" s="4" t="s">
        <v>372</v>
      </c>
      <c r="D1187" s="4" t="s">
        <v>3504</v>
      </c>
      <c r="E1187" s="4" t="s">
        <v>3639</v>
      </c>
      <c r="F1187" s="4" t="s">
        <v>1862</v>
      </c>
    </row>
    <row r="1188" customFormat="false" ht="176.1" hidden="false" customHeight="false" outlineLevel="0" collapsed="false">
      <c r="A1188" s="4" t="n">
        <v>66</v>
      </c>
      <c r="B1188" s="4" t="s">
        <v>1855</v>
      </c>
      <c r="C1188" s="4" t="s">
        <v>380</v>
      </c>
      <c r="D1188" s="4" t="s">
        <v>3474</v>
      </c>
      <c r="E1188" s="4" t="s">
        <v>1879</v>
      </c>
      <c r="F1188" s="4" t="s">
        <v>1864</v>
      </c>
    </row>
    <row r="1189" customFormat="false" ht="28.35" hidden="false" customHeight="false" outlineLevel="0" collapsed="false">
      <c r="A1189" s="4" t="n">
        <v>66</v>
      </c>
      <c r="B1189" s="4" t="s">
        <v>1855</v>
      </c>
      <c r="C1189" s="4" t="s">
        <v>392</v>
      </c>
      <c r="D1189" s="4" t="s">
        <v>3530</v>
      </c>
      <c r="E1189" s="4"/>
      <c r="F1189" s="4" t="n">
        <v>4</v>
      </c>
    </row>
    <row r="1190" customFormat="false" ht="28.35" hidden="false" customHeight="false" outlineLevel="0" collapsed="false">
      <c r="A1190" s="4" t="n">
        <v>66</v>
      </c>
      <c r="B1190" s="4" t="s">
        <v>1855</v>
      </c>
      <c r="C1190" s="4" t="s">
        <v>393</v>
      </c>
      <c r="D1190" s="4" t="s">
        <v>3531</v>
      </c>
      <c r="E1190" s="4"/>
      <c r="F1190" s="4" t="n">
        <v>2026</v>
      </c>
    </row>
    <row r="1191" customFormat="false" ht="55.2" hidden="false" customHeight="false" outlineLevel="0" collapsed="false">
      <c r="A1191" s="4" t="n">
        <v>66</v>
      </c>
      <c r="B1191" s="4" t="s">
        <v>1855</v>
      </c>
      <c r="C1191" s="4" t="s">
        <v>394</v>
      </c>
      <c r="D1191" s="4" t="s">
        <v>3532</v>
      </c>
      <c r="E1191" s="4"/>
      <c r="F1191" s="4" t="s">
        <v>1865</v>
      </c>
    </row>
    <row r="1192" customFormat="false" ht="28.35" hidden="false" customHeight="false" outlineLevel="0" collapsed="false">
      <c r="A1192" s="4" t="n">
        <v>66</v>
      </c>
      <c r="B1192" s="4" t="s">
        <v>1855</v>
      </c>
      <c r="C1192" s="4" t="s">
        <v>395</v>
      </c>
      <c r="D1192" s="4" t="s">
        <v>3507</v>
      </c>
      <c r="E1192" s="4" t="s">
        <v>474</v>
      </c>
      <c r="F1192" s="4" t="s">
        <v>1866</v>
      </c>
    </row>
    <row r="1193" customFormat="false" ht="28.35" hidden="false" customHeight="false" outlineLevel="0" collapsed="false">
      <c r="A1193" s="4" t="n">
        <v>66</v>
      </c>
      <c r="B1193" s="4" t="s">
        <v>1855</v>
      </c>
      <c r="C1193" s="4" t="s">
        <v>396</v>
      </c>
      <c r="D1193" s="4" t="s">
        <v>3533</v>
      </c>
      <c r="E1193" s="4"/>
      <c r="F1193" s="4" t="s">
        <v>1867</v>
      </c>
    </row>
    <row r="1194" customFormat="false" ht="28.35" hidden="false" customHeight="false" outlineLevel="0" collapsed="false">
      <c r="A1194" s="4" t="n">
        <v>66</v>
      </c>
      <c r="B1194" s="4" t="s">
        <v>1855</v>
      </c>
      <c r="C1194" s="4" t="s">
        <v>397</v>
      </c>
      <c r="D1194" s="4" t="s">
        <v>3553</v>
      </c>
      <c r="E1194" s="4"/>
      <c r="F1194" s="4" t="n">
        <v>1.5708</v>
      </c>
    </row>
    <row r="1195" customFormat="false" ht="28.35" hidden="false" customHeight="false" outlineLevel="0" collapsed="false">
      <c r="A1195" s="4" t="n">
        <v>66</v>
      </c>
      <c r="B1195" s="4" t="s">
        <v>1855</v>
      </c>
      <c r="C1195" s="4" t="s">
        <v>398</v>
      </c>
      <c r="D1195" s="4" t="s">
        <v>3554</v>
      </c>
      <c r="E1195" s="4"/>
      <c r="F1195" s="4" t="n">
        <v>2025</v>
      </c>
    </row>
    <row r="1196" customFormat="false" ht="28.35" hidden="false" customHeight="false" outlineLevel="0" collapsed="false">
      <c r="A1196" s="4" t="n">
        <v>66</v>
      </c>
      <c r="B1196" s="4" t="s">
        <v>1855</v>
      </c>
      <c r="C1196" s="4" t="s">
        <v>399</v>
      </c>
      <c r="D1196" s="4" t="s">
        <v>3555</v>
      </c>
      <c r="E1196" s="4"/>
      <c r="F1196" s="4" t="s">
        <v>1868</v>
      </c>
    </row>
    <row r="1197" customFormat="false" ht="41.75" hidden="false" customHeight="false" outlineLevel="0" collapsed="false">
      <c r="A1197" s="4" t="n">
        <v>66</v>
      </c>
      <c r="B1197" s="4" t="s">
        <v>1855</v>
      </c>
      <c r="C1197" s="4" t="s">
        <v>400</v>
      </c>
      <c r="D1197" s="4" t="s">
        <v>3556</v>
      </c>
      <c r="E1197" s="4"/>
      <c r="F1197" s="4" t="s">
        <v>1869</v>
      </c>
    </row>
    <row r="1198" customFormat="false" ht="28.35" hidden="false" customHeight="false" outlineLevel="0" collapsed="false">
      <c r="A1198" s="4" t="n">
        <v>66</v>
      </c>
      <c r="B1198" s="4" t="s">
        <v>1855</v>
      </c>
      <c r="C1198" s="4" t="s">
        <v>401</v>
      </c>
      <c r="D1198" s="4" t="s">
        <v>3557</v>
      </c>
      <c r="E1198" s="4"/>
      <c r="F1198" s="4" t="s">
        <v>1867</v>
      </c>
    </row>
    <row r="1199" customFormat="false" ht="28.35" hidden="false" customHeight="false" outlineLevel="0" collapsed="false">
      <c r="A1199" s="4" t="n">
        <v>66</v>
      </c>
      <c r="B1199" s="4" t="s">
        <v>1855</v>
      </c>
      <c r="C1199" s="4" t="s">
        <v>402</v>
      </c>
      <c r="D1199" s="4" t="s">
        <v>3508</v>
      </c>
      <c r="E1199" s="4" t="s">
        <v>475</v>
      </c>
      <c r="F1199" s="4" t="s">
        <v>1870</v>
      </c>
    </row>
    <row r="1200" customFormat="false" ht="55.2" hidden="false" customHeight="false" outlineLevel="0" collapsed="false">
      <c r="A1200" s="4" t="n">
        <v>66</v>
      </c>
      <c r="B1200" s="4" t="s">
        <v>1855</v>
      </c>
      <c r="C1200" s="4" t="s">
        <v>403</v>
      </c>
      <c r="D1200" s="4" t="s">
        <v>3481</v>
      </c>
      <c r="E1200" s="4" t="s">
        <v>1095</v>
      </c>
      <c r="F1200" s="4" t="s">
        <v>1871</v>
      </c>
    </row>
    <row r="1201" customFormat="false" ht="28.35" hidden="false" customHeight="false" outlineLevel="0" collapsed="false">
      <c r="A1201" s="4" t="n">
        <v>66</v>
      </c>
      <c r="B1201" s="4" t="s">
        <v>1855</v>
      </c>
      <c r="C1201" s="4" t="s">
        <v>16</v>
      </c>
      <c r="D1201" s="4" t="s">
        <v>3487</v>
      </c>
      <c r="E1201" s="4"/>
      <c r="F1201" s="4" t="n">
        <v>63</v>
      </c>
    </row>
    <row r="1202" customFormat="false" ht="28.35" hidden="false" customHeight="false" outlineLevel="0" collapsed="false">
      <c r="A1202" s="4" t="n">
        <v>66</v>
      </c>
      <c r="B1202" s="4" t="s">
        <v>1855</v>
      </c>
      <c r="C1202" s="4" t="s">
        <v>404</v>
      </c>
      <c r="D1202" s="4" t="s">
        <v>3488</v>
      </c>
      <c r="E1202" s="4"/>
      <c r="F1202" s="4" t="s">
        <v>1872</v>
      </c>
    </row>
    <row r="1203" customFormat="false" ht="82.05" hidden="false" customHeight="false" outlineLevel="0" collapsed="false">
      <c r="A1203" s="4" t="n">
        <v>66</v>
      </c>
      <c r="B1203" s="4" t="s">
        <v>1855</v>
      </c>
      <c r="C1203" s="4" t="s">
        <v>405</v>
      </c>
      <c r="D1203" s="4" t="s">
        <v>3489</v>
      </c>
      <c r="E1203" s="4"/>
      <c r="F1203" s="4" t="s">
        <v>1873</v>
      </c>
    </row>
    <row r="1204" customFormat="false" ht="28.35" hidden="false" customHeight="false" outlineLevel="0" collapsed="false">
      <c r="A1204" s="4" t="n">
        <v>66</v>
      </c>
      <c r="B1204" s="4" t="s">
        <v>1855</v>
      </c>
      <c r="C1204" s="4" t="s">
        <v>406</v>
      </c>
      <c r="D1204" s="4" t="s">
        <v>3490</v>
      </c>
      <c r="E1204" s="4"/>
      <c r="F1204" s="4" t="s">
        <v>1874</v>
      </c>
    </row>
    <row r="1205" customFormat="false" ht="202.95" hidden="false" customHeight="false" outlineLevel="0" collapsed="false">
      <c r="A1205" s="4" t="n">
        <v>66</v>
      </c>
      <c r="B1205" s="4" t="s">
        <v>1855</v>
      </c>
      <c r="C1205" s="4" t="s">
        <v>407</v>
      </c>
      <c r="D1205" s="4" t="s">
        <v>3485</v>
      </c>
      <c r="E1205" s="4"/>
      <c r="F1205" s="4" t="s">
        <v>1875</v>
      </c>
    </row>
    <row r="1206" customFormat="false" ht="135.8" hidden="false" customHeight="false" outlineLevel="0" collapsed="false">
      <c r="A1206" s="4" t="n">
        <v>66</v>
      </c>
      <c r="B1206" s="4" t="s">
        <v>1855</v>
      </c>
      <c r="C1206" s="4" t="s">
        <v>419</v>
      </c>
      <c r="D1206" s="4" t="s">
        <v>3534</v>
      </c>
      <c r="E1206" s="4"/>
      <c r="F1206" s="4" t="s">
        <v>1880</v>
      </c>
    </row>
    <row r="1207" customFormat="false" ht="28.35" hidden="false" customHeight="false" outlineLevel="0" collapsed="false">
      <c r="A1207" s="4" t="n">
        <v>66</v>
      </c>
      <c r="B1207" s="4" t="s">
        <v>1855</v>
      </c>
      <c r="C1207" s="4" t="s">
        <v>426</v>
      </c>
      <c r="D1207" s="4" t="s">
        <v>3562</v>
      </c>
      <c r="E1207" s="4"/>
      <c r="F1207" s="4" t="s">
        <v>1881</v>
      </c>
    </row>
    <row r="1208" customFormat="false" ht="28.35" hidden="false" customHeight="false" outlineLevel="0" collapsed="false">
      <c r="A1208" s="4" t="n">
        <v>66</v>
      </c>
      <c r="B1208" s="4" t="s">
        <v>1855</v>
      </c>
      <c r="C1208" s="4" t="s">
        <v>427</v>
      </c>
      <c r="D1208" s="4" t="s">
        <v>3464</v>
      </c>
      <c r="E1208" s="4"/>
      <c r="F1208" s="4" t="s">
        <v>23</v>
      </c>
    </row>
    <row r="1209" customFormat="false" ht="28.35" hidden="false" customHeight="false" outlineLevel="0" collapsed="false">
      <c r="A1209" s="4" t="n">
        <v>66</v>
      </c>
      <c r="B1209" s="4" t="s">
        <v>1855</v>
      </c>
      <c r="C1209" s="4" t="s">
        <v>428</v>
      </c>
      <c r="D1209" s="4" t="s">
        <v>3465</v>
      </c>
      <c r="E1209" s="4"/>
      <c r="F1209" s="4" t="s">
        <v>29</v>
      </c>
    </row>
    <row r="1210" customFormat="false" ht="28.35" hidden="false" customHeight="false" outlineLevel="0" collapsed="false">
      <c r="A1210" s="4" t="n">
        <v>66</v>
      </c>
      <c r="B1210" s="4" t="s">
        <v>1855</v>
      </c>
      <c r="C1210" s="4" t="s">
        <v>429</v>
      </c>
      <c r="D1210" s="4" t="s">
        <v>3466</v>
      </c>
      <c r="E1210" s="4"/>
      <c r="F1210" s="4" t="s">
        <v>36</v>
      </c>
    </row>
    <row r="1211" customFormat="false" ht="28.35" hidden="false" customHeight="false" outlineLevel="0" collapsed="false">
      <c r="A1211" s="4" t="n">
        <v>66</v>
      </c>
      <c r="B1211" s="4" t="s">
        <v>1855</v>
      </c>
      <c r="C1211" s="4" t="s">
        <v>431</v>
      </c>
      <c r="D1211" s="4" t="s">
        <v>3468</v>
      </c>
      <c r="E1211" s="4"/>
      <c r="F1211" s="4" t="s">
        <v>484</v>
      </c>
    </row>
    <row r="1212" customFormat="false" ht="28.35" hidden="false" customHeight="false" outlineLevel="0" collapsed="false">
      <c r="A1212" s="4" t="n">
        <v>66</v>
      </c>
      <c r="B1212" s="4" t="s">
        <v>1855</v>
      </c>
      <c r="C1212" s="4" t="s">
        <v>432</v>
      </c>
      <c r="D1212" s="4" t="s">
        <v>3469</v>
      </c>
      <c r="E1212" s="4"/>
      <c r="F1212" s="4" t="s">
        <v>664</v>
      </c>
    </row>
    <row r="1213" customFormat="false" ht="41.75" hidden="false" customHeight="false" outlineLevel="0" collapsed="false">
      <c r="A1213" s="4" t="n">
        <v>66</v>
      </c>
      <c r="B1213" s="4" t="s">
        <v>1855</v>
      </c>
      <c r="C1213" s="4" t="s">
        <v>433</v>
      </c>
      <c r="D1213" s="4" t="s">
        <v>3470</v>
      </c>
      <c r="E1213" s="4"/>
      <c r="F1213" s="4" t="s">
        <v>1882</v>
      </c>
    </row>
    <row r="1214" customFormat="false" ht="28.35" hidden="false" customHeight="false" outlineLevel="0" collapsed="false">
      <c r="A1214" s="4" t="n">
        <v>66</v>
      </c>
      <c r="B1214" s="4" t="s">
        <v>1855</v>
      </c>
      <c r="C1214" s="4" t="s">
        <v>434</v>
      </c>
      <c r="D1214" s="4" t="s">
        <v>3482</v>
      </c>
      <c r="E1214" s="4"/>
      <c r="F1214" s="4" t="s">
        <v>1883</v>
      </c>
    </row>
    <row r="1215" customFormat="false" ht="28.35" hidden="false" customHeight="false" outlineLevel="0" collapsed="false">
      <c r="A1215" s="4" t="n">
        <v>66</v>
      </c>
      <c r="B1215" s="4" t="s">
        <v>1855</v>
      </c>
      <c r="C1215" s="4" t="s">
        <v>436</v>
      </c>
      <c r="D1215" s="4" t="s">
        <v>3471</v>
      </c>
      <c r="E1215" s="4"/>
      <c r="F1215" s="4" t="s">
        <v>1884</v>
      </c>
    </row>
    <row r="1216" customFormat="false" ht="28.35" hidden="false" customHeight="false" outlineLevel="0" collapsed="false">
      <c r="A1216" s="4" t="n">
        <v>66</v>
      </c>
      <c r="B1216" s="4" t="s">
        <v>1855</v>
      </c>
      <c r="C1216" s="4" t="s">
        <v>440</v>
      </c>
      <c r="D1216" s="4" t="s">
        <v>3491</v>
      </c>
      <c r="E1216" s="4"/>
      <c r="F1216" s="4" t="n">
        <v>20</v>
      </c>
    </row>
    <row r="1217" customFormat="false" ht="28.35" hidden="false" customHeight="false" outlineLevel="0" collapsed="false">
      <c r="A1217" s="4" t="n">
        <v>66</v>
      </c>
      <c r="B1217" s="4" t="s">
        <v>1855</v>
      </c>
      <c r="C1217" s="4" t="s">
        <v>441</v>
      </c>
      <c r="D1217" s="4" t="s">
        <v>3492</v>
      </c>
      <c r="E1217" s="4"/>
      <c r="F1217" s="4" t="n">
        <v>27</v>
      </c>
    </row>
    <row r="1218" customFormat="false" ht="28.35" hidden="false" customHeight="false" outlineLevel="0" collapsed="false">
      <c r="A1218" s="4" t="n">
        <v>66</v>
      </c>
      <c r="B1218" s="4" t="s">
        <v>1855</v>
      </c>
      <c r="C1218" s="4" t="s">
        <v>442</v>
      </c>
      <c r="D1218" s="4" t="s">
        <v>3493</v>
      </c>
      <c r="E1218" s="4"/>
      <c r="F1218" s="4" t="n">
        <v>2</v>
      </c>
    </row>
    <row r="1219" customFormat="false" ht="28.35" hidden="false" customHeight="false" outlineLevel="0" collapsed="false">
      <c r="A1219" s="4" t="n">
        <v>66</v>
      </c>
      <c r="B1219" s="4" t="s">
        <v>1855</v>
      </c>
      <c r="C1219" s="4" t="s">
        <v>443</v>
      </c>
      <c r="D1219" s="4" t="s">
        <v>3494</v>
      </c>
      <c r="E1219" s="4"/>
      <c r="F1219" s="4" t="n">
        <v>49</v>
      </c>
    </row>
    <row r="1220" customFormat="false" ht="55.2" hidden="false" customHeight="false" outlineLevel="0" collapsed="false">
      <c r="A1220" s="4" t="n">
        <v>66</v>
      </c>
      <c r="B1220" s="4" t="s">
        <v>1855</v>
      </c>
      <c r="C1220" s="4" t="s">
        <v>447</v>
      </c>
      <c r="D1220" s="4" t="s">
        <v>3498</v>
      </c>
      <c r="E1220" s="4"/>
      <c r="F1220" s="4" t="s">
        <v>1885</v>
      </c>
    </row>
    <row r="1221" customFormat="false" ht="202.95" hidden="false" customHeight="false" outlineLevel="0" collapsed="false">
      <c r="A1221" s="4" t="n">
        <v>66</v>
      </c>
      <c r="B1221" s="4" t="s">
        <v>1855</v>
      </c>
      <c r="C1221" s="4" t="s">
        <v>448</v>
      </c>
      <c r="D1221" s="4" t="s">
        <v>3499</v>
      </c>
      <c r="E1221" s="4"/>
      <c r="F1221" s="4" t="s">
        <v>1886</v>
      </c>
    </row>
    <row r="1222" customFormat="false" ht="28.35" hidden="false" customHeight="false" outlineLevel="0" collapsed="false">
      <c r="A1222" s="4" t="n">
        <v>66</v>
      </c>
      <c r="B1222" s="4" t="s">
        <v>1855</v>
      </c>
      <c r="C1222" s="4" t="s">
        <v>449</v>
      </c>
      <c r="D1222" s="4" t="s">
        <v>3500</v>
      </c>
      <c r="E1222" s="4"/>
      <c r="F1222" s="4" t="s">
        <v>1887</v>
      </c>
    </row>
    <row r="1223" customFormat="false" ht="189.55" hidden="false" customHeight="false" outlineLevel="0" collapsed="false">
      <c r="A1223" s="4" t="n">
        <v>66</v>
      </c>
      <c r="B1223" s="4" t="s">
        <v>1855</v>
      </c>
      <c r="C1223" s="4" t="s">
        <v>450</v>
      </c>
      <c r="D1223" s="4" t="s">
        <v>3501</v>
      </c>
      <c r="E1223" s="4"/>
      <c r="F1223" s="4" t="s">
        <v>1888</v>
      </c>
    </row>
    <row r="1224" customFormat="false" ht="28.35" hidden="false" customHeight="false" outlineLevel="0" collapsed="false">
      <c r="A1224" s="4" t="n">
        <v>67</v>
      </c>
      <c r="B1224" s="4" t="s">
        <v>1889</v>
      </c>
      <c r="C1224" s="4" t="s">
        <v>369</v>
      </c>
      <c r="D1224" s="4" t="s">
        <v>3503</v>
      </c>
      <c r="E1224" s="4" t="s">
        <v>780</v>
      </c>
      <c r="F1224" s="4" t="s">
        <v>643</v>
      </c>
    </row>
    <row r="1225" customFormat="false" ht="135.8" hidden="false" customHeight="false" outlineLevel="0" collapsed="false">
      <c r="A1225" s="4" t="n">
        <v>67</v>
      </c>
      <c r="B1225" s="4" t="s">
        <v>1889</v>
      </c>
      <c r="C1225" s="4" t="s">
        <v>372</v>
      </c>
      <c r="D1225" s="4" t="s">
        <v>3504</v>
      </c>
      <c r="E1225" s="4" t="s">
        <v>3592</v>
      </c>
      <c r="F1225" s="4" t="s">
        <v>1895</v>
      </c>
    </row>
    <row r="1226" customFormat="false" ht="28.35" hidden="false" customHeight="false" outlineLevel="0" collapsed="false">
      <c r="A1226" s="4" t="n">
        <v>67</v>
      </c>
      <c r="B1226" s="4" t="s">
        <v>1889</v>
      </c>
      <c r="C1226" s="4" t="s">
        <v>380</v>
      </c>
      <c r="D1226" s="4" t="s">
        <v>3474</v>
      </c>
      <c r="E1226" s="4" t="s">
        <v>1906</v>
      </c>
      <c r="F1226" s="4" t="s">
        <v>1897</v>
      </c>
    </row>
    <row r="1227" customFormat="false" ht="55.2" hidden="false" customHeight="false" outlineLevel="0" collapsed="false">
      <c r="A1227" s="4" t="n">
        <v>67</v>
      </c>
      <c r="B1227" s="4" t="s">
        <v>1889</v>
      </c>
      <c r="C1227" s="4" t="s">
        <v>390</v>
      </c>
      <c r="D1227" s="4" t="s">
        <v>3479</v>
      </c>
      <c r="E1227" s="4" t="s">
        <v>473</v>
      </c>
      <c r="F1227" s="4" t="s">
        <v>1898</v>
      </c>
    </row>
    <row r="1228" customFormat="false" ht="55.2" hidden="false" customHeight="false" outlineLevel="0" collapsed="false">
      <c r="A1228" s="4" t="n">
        <v>67</v>
      </c>
      <c r="B1228" s="4" t="s">
        <v>1889</v>
      </c>
      <c r="C1228" s="4" t="s">
        <v>395</v>
      </c>
      <c r="D1228" s="4" t="s">
        <v>3507</v>
      </c>
      <c r="E1228" s="4" t="s">
        <v>474</v>
      </c>
      <c r="F1228" s="4" t="s">
        <v>1899</v>
      </c>
    </row>
    <row r="1229" customFormat="false" ht="41.75" hidden="false" customHeight="false" outlineLevel="0" collapsed="false">
      <c r="A1229" s="4" t="n">
        <v>67</v>
      </c>
      <c r="B1229" s="4" t="s">
        <v>1889</v>
      </c>
      <c r="C1229" s="4" t="s">
        <v>402</v>
      </c>
      <c r="D1229" s="4" t="s">
        <v>3508</v>
      </c>
      <c r="E1229" s="4" t="s">
        <v>475</v>
      </c>
      <c r="F1229" s="4" t="s">
        <v>1900</v>
      </c>
    </row>
    <row r="1230" customFormat="false" ht="55.2" hidden="false" customHeight="false" outlineLevel="0" collapsed="false">
      <c r="A1230" s="4" t="n">
        <v>67</v>
      </c>
      <c r="B1230" s="4" t="s">
        <v>1889</v>
      </c>
      <c r="C1230" s="4" t="s">
        <v>403</v>
      </c>
      <c r="D1230" s="4" t="s">
        <v>3481</v>
      </c>
      <c r="E1230" s="4" t="s">
        <v>1095</v>
      </c>
      <c r="F1230" s="4" t="s">
        <v>1901</v>
      </c>
    </row>
    <row r="1231" customFormat="false" ht="122.35" hidden="false" customHeight="false" outlineLevel="0" collapsed="false">
      <c r="A1231" s="4" t="n">
        <v>67</v>
      </c>
      <c r="B1231" s="4" t="s">
        <v>1889</v>
      </c>
      <c r="C1231" s="4" t="s">
        <v>407</v>
      </c>
      <c r="D1231" s="4" t="s">
        <v>3485</v>
      </c>
      <c r="E1231" s="4" t="s">
        <v>3640</v>
      </c>
      <c r="F1231" s="4" t="s">
        <v>1902</v>
      </c>
    </row>
    <row r="1232" customFormat="false" ht="15" hidden="false" customHeight="false" outlineLevel="0" collapsed="false">
      <c r="A1232" s="4" t="n">
        <v>67</v>
      </c>
      <c r="B1232" s="4" t="s">
        <v>1889</v>
      </c>
      <c r="C1232" s="4" t="s">
        <v>427</v>
      </c>
      <c r="D1232" s="4" t="s">
        <v>3464</v>
      </c>
      <c r="E1232" s="4"/>
      <c r="F1232" s="4" t="s">
        <v>24</v>
      </c>
    </row>
    <row r="1233" customFormat="false" ht="15" hidden="false" customHeight="false" outlineLevel="0" collapsed="false">
      <c r="A1233" s="4" t="n">
        <v>67</v>
      </c>
      <c r="B1233" s="4" t="s">
        <v>1889</v>
      </c>
      <c r="C1233" s="4" t="s">
        <v>428</v>
      </c>
      <c r="D1233" s="4" t="s">
        <v>3465</v>
      </c>
      <c r="E1233" s="4"/>
      <c r="F1233" s="4" t="s">
        <v>31</v>
      </c>
    </row>
    <row r="1234" customFormat="false" ht="15" hidden="false" customHeight="false" outlineLevel="0" collapsed="false">
      <c r="A1234" s="4" t="n">
        <v>67</v>
      </c>
      <c r="B1234" s="4" t="s">
        <v>1889</v>
      </c>
      <c r="C1234" s="4" t="s">
        <v>429</v>
      </c>
      <c r="D1234" s="4" t="s">
        <v>3466</v>
      </c>
      <c r="E1234" s="4"/>
      <c r="F1234" s="4" t="s">
        <v>38</v>
      </c>
    </row>
    <row r="1235" customFormat="false" ht="15" hidden="false" customHeight="false" outlineLevel="0" collapsed="false">
      <c r="A1235" s="4" t="n">
        <v>67</v>
      </c>
      <c r="B1235" s="4" t="s">
        <v>1889</v>
      </c>
      <c r="C1235" s="4" t="s">
        <v>431</v>
      </c>
      <c r="D1235" s="4" t="s">
        <v>3468</v>
      </c>
      <c r="E1235" s="4"/>
      <c r="F1235" s="4" t="s">
        <v>484</v>
      </c>
    </row>
    <row r="1236" customFormat="false" ht="15" hidden="false" customHeight="false" outlineLevel="0" collapsed="false">
      <c r="A1236" s="4" t="n">
        <v>67</v>
      </c>
      <c r="B1236" s="4" t="s">
        <v>1889</v>
      </c>
      <c r="C1236" s="4" t="s">
        <v>432</v>
      </c>
      <c r="D1236" s="4" t="s">
        <v>3469</v>
      </c>
      <c r="E1236" s="4"/>
      <c r="F1236" s="4" t="s">
        <v>713</v>
      </c>
    </row>
    <row r="1237" customFormat="false" ht="41.75" hidden="false" customHeight="false" outlineLevel="0" collapsed="false">
      <c r="A1237" s="4" t="n">
        <v>67</v>
      </c>
      <c r="B1237" s="4" t="s">
        <v>1889</v>
      </c>
      <c r="C1237" s="4" t="s">
        <v>433</v>
      </c>
      <c r="D1237" s="4" t="s">
        <v>3470</v>
      </c>
      <c r="E1237" s="4"/>
      <c r="F1237" s="4" t="s">
        <v>665</v>
      </c>
    </row>
    <row r="1238" customFormat="false" ht="15" hidden="false" customHeight="false" outlineLevel="0" collapsed="false">
      <c r="A1238" s="4" t="n">
        <v>67</v>
      </c>
      <c r="B1238" s="4" t="s">
        <v>1889</v>
      </c>
      <c r="C1238" s="4" t="s">
        <v>434</v>
      </c>
      <c r="D1238" s="4" t="s">
        <v>3482</v>
      </c>
      <c r="E1238" s="4"/>
      <c r="F1238" s="4" t="s">
        <v>666</v>
      </c>
    </row>
    <row r="1239" customFormat="false" ht="28.35" hidden="false" customHeight="false" outlineLevel="0" collapsed="false">
      <c r="A1239" s="4" t="n">
        <v>67</v>
      </c>
      <c r="B1239" s="4" t="s">
        <v>1889</v>
      </c>
      <c r="C1239" s="4" t="s">
        <v>435</v>
      </c>
      <c r="D1239" s="4" t="s">
        <v>3510</v>
      </c>
      <c r="E1239" s="4"/>
      <c r="F1239" s="4" t="s">
        <v>667</v>
      </c>
    </row>
    <row r="1240" customFormat="false" ht="15" hidden="false" customHeight="false" outlineLevel="0" collapsed="false">
      <c r="A1240" s="4" t="n">
        <v>67</v>
      </c>
      <c r="B1240" s="4" t="s">
        <v>1889</v>
      </c>
      <c r="C1240" s="4" t="s">
        <v>436</v>
      </c>
      <c r="D1240" s="4" t="s">
        <v>3471</v>
      </c>
      <c r="E1240" s="4"/>
      <c r="F1240" s="4" t="s">
        <v>1907</v>
      </c>
    </row>
    <row r="1241" customFormat="false" ht="55.2" hidden="false" customHeight="false" outlineLevel="0" collapsed="false">
      <c r="A1241" s="4" t="n">
        <v>67</v>
      </c>
      <c r="B1241" s="4" t="s">
        <v>1889</v>
      </c>
      <c r="C1241" s="4" t="s">
        <v>438</v>
      </c>
      <c r="D1241" s="4" t="s">
        <v>3511</v>
      </c>
      <c r="E1241" s="4"/>
      <c r="F1241" s="4" t="s">
        <v>1908</v>
      </c>
    </row>
    <row r="1242" customFormat="false" ht="28.35" hidden="false" customHeight="false" outlineLevel="0" collapsed="false">
      <c r="A1242" s="4" t="n">
        <v>68</v>
      </c>
      <c r="B1242" s="4" t="s">
        <v>1909</v>
      </c>
      <c r="C1242" s="4" t="s">
        <v>369</v>
      </c>
      <c r="D1242" s="4" t="s">
        <v>3503</v>
      </c>
      <c r="E1242" s="4" t="s">
        <v>780</v>
      </c>
      <c r="F1242" s="4" t="s">
        <v>643</v>
      </c>
    </row>
    <row r="1243" customFormat="false" ht="283.55" hidden="false" customHeight="false" outlineLevel="0" collapsed="false">
      <c r="A1243" s="4" t="n">
        <v>68</v>
      </c>
      <c r="B1243" s="4" t="s">
        <v>1909</v>
      </c>
      <c r="C1243" s="4" t="s">
        <v>372</v>
      </c>
      <c r="D1243" s="4" t="s">
        <v>3504</v>
      </c>
      <c r="E1243" s="4" t="s">
        <v>3592</v>
      </c>
      <c r="F1243" s="4" t="s">
        <v>1915</v>
      </c>
    </row>
    <row r="1244" customFormat="false" ht="55.2" hidden="false" customHeight="false" outlineLevel="0" collapsed="false">
      <c r="A1244" s="4" t="n">
        <v>68</v>
      </c>
      <c r="B1244" s="4" t="s">
        <v>1909</v>
      </c>
      <c r="C1244" s="4" t="s">
        <v>374</v>
      </c>
      <c r="D1244" s="4" t="s">
        <v>3616</v>
      </c>
      <c r="E1244" s="4" t="s">
        <v>1342</v>
      </c>
      <c r="F1244" s="4" t="s">
        <v>1916</v>
      </c>
    </row>
    <row r="1245" customFormat="false" ht="108.95" hidden="false" customHeight="false" outlineLevel="0" collapsed="false">
      <c r="A1245" s="4" t="n">
        <v>68</v>
      </c>
      <c r="B1245" s="4" t="s">
        <v>1909</v>
      </c>
      <c r="C1245" s="4" t="s">
        <v>380</v>
      </c>
      <c r="D1245" s="4" t="s">
        <v>3474</v>
      </c>
      <c r="E1245" s="4" t="s">
        <v>1929</v>
      </c>
      <c r="F1245" s="4" t="s">
        <v>1918</v>
      </c>
    </row>
    <row r="1246" customFormat="false" ht="28.35" hidden="false" customHeight="false" outlineLevel="0" collapsed="false">
      <c r="A1246" s="4" t="n">
        <v>68</v>
      </c>
      <c r="B1246" s="4" t="s">
        <v>1909</v>
      </c>
      <c r="C1246" s="4" t="s">
        <v>381</v>
      </c>
      <c r="D1246" s="4" t="s">
        <v>3526</v>
      </c>
      <c r="E1246" s="4"/>
      <c r="F1246" s="4" t="n">
        <v>0.1</v>
      </c>
    </row>
    <row r="1247" customFormat="false" ht="28.35" hidden="false" customHeight="false" outlineLevel="0" collapsed="false">
      <c r="A1247" s="4" t="n">
        <v>68</v>
      </c>
      <c r="B1247" s="4" t="s">
        <v>1909</v>
      </c>
      <c r="C1247" s="4" t="s">
        <v>382</v>
      </c>
      <c r="D1247" s="4" t="s">
        <v>3527</v>
      </c>
      <c r="E1247" s="4"/>
      <c r="F1247" s="4" t="s">
        <v>1919</v>
      </c>
    </row>
    <row r="1248" customFormat="false" ht="68.65" hidden="false" customHeight="false" outlineLevel="0" collapsed="false">
      <c r="A1248" s="4" t="n">
        <v>68</v>
      </c>
      <c r="B1248" s="4" t="s">
        <v>1909</v>
      </c>
      <c r="C1248" s="4" t="s">
        <v>383</v>
      </c>
      <c r="D1248" s="4" t="s">
        <v>3528</v>
      </c>
      <c r="E1248" s="4"/>
      <c r="F1248" s="4" t="s">
        <v>1920</v>
      </c>
    </row>
    <row r="1249" customFormat="false" ht="41.75" hidden="false" customHeight="false" outlineLevel="0" collapsed="false">
      <c r="A1249" s="4" t="n">
        <v>68</v>
      </c>
      <c r="B1249" s="4" t="s">
        <v>1909</v>
      </c>
      <c r="C1249" s="4" t="s">
        <v>384</v>
      </c>
      <c r="D1249" s="4" t="s">
        <v>3529</v>
      </c>
      <c r="E1249" s="4"/>
      <c r="F1249" s="4" t="s">
        <v>1921</v>
      </c>
    </row>
    <row r="1250" customFormat="false" ht="68.65" hidden="false" customHeight="false" outlineLevel="0" collapsed="false">
      <c r="A1250" s="4" t="n">
        <v>68</v>
      </c>
      <c r="B1250" s="4" t="s">
        <v>1909</v>
      </c>
      <c r="C1250" s="4" t="s">
        <v>390</v>
      </c>
      <c r="D1250" s="4" t="s">
        <v>3479</v>
      </c>
      <c r="E1250" s="4" t="s">
        <v>473</v>
      </c>
      <c r="F1250" s="4" t="s">
        <v>1922</v>
      </c>
    </row>
    <row r="1251" customFormat="false" ht="55.2" hidden="false" customHeight="false" outlineLevel="0" collapsed="false">
      <c r="A1251" s="4" t="n">
        <v>68</v>
      </c>
      <c r="B1251" s="4" t="s">
        <v>1909</v>
      </c>
      <c r="C1251" s="4" t="s">
        <v>395</v>
      </c>
      <c r="D1251" s="4" t="s">
        <v>3507</v>
      </c>
      <c r="E1251" s="4" t="s">
        <v>474</v>
      </c>
      <c r="F1251" s="4" t="s">
        <v>1923</v>
      </c>
    </row>
    <row r="1252" customFormat="false" ht="41.75" hidden="false" customHeight="false" outlineLevel="0" collapsed="false">
      <c r="A1252" s="4" t="n">
        <v>68</v>
      </c>
      <c r="B1252" s="4" t="s">
        <v>1909</v>
      </c>
      <c r="C1252" s="4" t="s">
        <v>402</v>
      </c>
      <c r="D1252" s="4" t="s">
        <v>3508</v>
      </c>
      <c r="E1252" s="4" t="s">
        <v>475</v>
      </c>
      <c r="F1252" s="4" t="s">
        <v>1924</v>
      </c>
    </row>
    <row r="1253" customFormat="false" ht="68.65" hidden="false" customHeight="false" outlineLevel="0" collapsed="false">
      <c r="A1253" s="4" t="n">
        <v>68</v>
      </c>
      <c r="B1253" s="4" t="s">
        <v>1909</v>
      </c>
      <c r="C1253" s="4" t="s">
        <v>403</v>
      </c>
      <c r="D1253" s="4" t="s">
        <v>3481</v>
      </c>
      <c r="E1253" s="4" t="s">
        <v>1095</v>
      </c>
      <c r="F1253" s="4" t="s">
        <v>1925</v>
      </c>
    </row>
    <row r="1254" customFormat="false" ht="108.95" hidden="false" customHeight="false" outlineLevel="0" collapsed="false">
      <c r="A1254" s="4" t="n">
        <v>68</v>
      </c>
      <c r="B1254" s="4" t="s">
        <v>1909</v>
      </c>
      <c r="C1254" s="4" t="s">
        <v>407</v>
      </c>
      <c r="D1254" s="4" t="s">
        <v>3485</v>
      </c>
      <c r="E1254" s="4" t="s">
        <v>3641</v>
      </c>
      <c r="F1254" s="4" t="s">
        <v>1926</v>
      </c>
    </row>
    <row r="1255" customFormat="false" ht="28.35" hidden="false" customHeight="false" outlineLevel="0" collapsed="false">
      <c r="A1255" s="4" t="n">
        <v>68</v>
      </c>
      <c r="B1255" s="4" t="s">
        <v>1909</v>
      </c>
      <c r="C1255" s="4" t="s">
        <v>427</v>
      </c>
      <c r="D1255" s="4" t="s">
        <v>3464</v>
      </c>
      <c r="E1255" s="4"/>
      <c r="F1255" s="4" t="s">
        <v>24</v>
      </c>
    </row>
    <row r="1256" customFormat="false" ht="28.35" hidden="false" customHeight="false" outlineLevel="0" collapsed="false">
      <c r="A1256" s="4" t="n">
        <v>68</v>
      </c>
      <c r="B1256" s="4" t="s">
        <v>1909</v>
      </c>
      <c r="C1256" s="4" t="s">
        <v>428</v>
      </c>
      <c r="D1256" s="4" t="s">
        <v>3465</v>
      </c>
      <c r="E1256" s="4"/>
      <c r="F1256" s="4" t="s">
        <v>31</v>
      </c>
    </row>
    <row r="1257" customFormat="false" ht="28.35" hidden="false" customHeight="false" outlineLevel="0" collapsed="false">
      <c r="A1257" s="4" t="n">
        <v>68</v>
      </c>
      <c r="B1257" s="4" t="s">
        <v>1909</v>
      </c>
      <c r="C1257" s="4" t="s">
        <v>429</v>
      </c>
      <c r="D1257" s="4" t="s">
        <v>3466</v>
      </c>
      <c r="E1257" s="4"/>
      <c r="F1257" s="4" t="s">
        <v>38</v>
      </c>
    </row>
    <row r="1258" customFormat="false" ht="28.35" hidden="false" customHeight="false" outlineLevel="0" collapsed="false">
      <c r="A1258" s="4" t="n">
        <v>68</v>
      </c>
      <c r="B1258" s="4" t="s">
        <v>1909</v>
      </c>
      <c r="C1258" s="4" t="s">
        <v>431</v>
      </c>
      <c r="D1258" s="4" t="s">
        <v>3468</v>
      </c>
      <c r="E1258" s="4"/>
      <c r="F1258" s="4" t="s">
        <v>484</v>
      </c>
    </row>
    <row r="1259" customFormat="false" ht="28.35" hidden="false" customHeight="false" outlineLevel="0" collapsed="false">
      <c r="A1259" s="4" t="n">
        <v>68</v>
      </c>
      <c r="B1259" s="4" t="s">
        <v>1909</v>
      </c>
      <c r="C1259" s="4" t="s">
        <v>432</v>
      </c>
      <c r="D1259" s="4" t="s">
        <v>3469</v>
      </c>
      <c r="E1259" s="4"/>
      <c r="F1259" s="4" t="s">
        <v>524</v>
      </c>
    </row>
    <row r="1260" customFormat="false" ht="41.75" hidden="false" customHeight="false" outlineLevel="0" collapsed="false">
      <c r="A1260" s="4" t="n">
        <v>68</v>
      </c>
      <c r="B1260" s="4" t="s">
        <v>1909</v>
      </c>
      <c r="C1260" s="4" t="s">
        <v>433</v>
      </c>
      <c r="D1260" s="4" t="s">
        <v>3470</v>
      </c>
      <c r="E1260" s="4"/>
      <c r="F1260" s="4" t="s">
        <v>665</v>
      </c>
    </row>
    <row r="1261" customFormat="false" ht="28.35" hidden="false" customHeight="false" outlineLevel="0" collapsed="false">
      <c r="A1261" s="4" t="n">
        <v>68</v>
      </c>
      <c r="B1261" s="4" t="s">
        <v>1909</v>
      </c>
      <c r="C1261" s="4" t="s">
        <v>434</v>
      </c>
      <c r="D1261" s="4" t="s">
        <v>3482</v>
      </c>
      <c r="E1261" s="4"/>
      <c r="F1261" s="4" t="s">
        <v>666</v>
      </c>
    </row>
    <row r="1262" customFormat="false" ht="28.35" hidden="false" customHeight="false" outlineLevel="0" collapsed="false">
      <c r="A1262" s="4" t="n">
        <v>68</v>
      </c>
      <c r="B1262" s="4" t="s">
        <v>1909</v>
      </c>
      <c r="C1262" s="4" t="s">
        <v>435</v>
      </c>
      <c r="D1262" s="4" t="s">
        <v>3510</v>
      </c>
      <c r="E1262" s="4"/>
      <c r="F1262" s="4" t="s">
        <v>667</v>
      </c>
    </row>
    <row r="1263" customFormat="false" ht="28.35" hidden="false" customHeight="false" outlineLevel="0" collapsed="false">
      <c r="A1263" s="4" t="n">
        <v>68</v>
      </c>
      <c r="B1263" s="4" t="s">
        <v>1909</v>
      </c>
      <c r="C1263" s="4" t="s">
        <v>436</v>
      </c>
      <c r="D1263" s="4" t="s">
        <v>3471</v>
      </c>
      <c r="E1263" s="4"/>
      <c r="F1263" s="4" t="s">
        <v>1930</v>
      </c>
    </row>
    <row r="1264" customFormat="false" ht="55.2" hidden="false" customHeight="false" outlineLevel="0" collapsed="false">
      <c r="A1264" s="4" t="n">
        <v>68</v>
      </c>
      <c r="B1264" s="4" t="s">
        <v>1909</v>
      </c>
      <c r="C1264" s="4" t="s">
        <v>438</v>
      </c>
      <c r="D1264" s="4" t="s">
        <v>3511</v>
      </c>
      <c r="E1264" s="4"/>
      <c r="F1264" s="4" t="s">
        <v>1931</v>
      </c>
    </row>
    <row r="1265" customFormat="false" ht="28.35" hidden="false" customHeight="false" outlineLevel="0" collapsed="false">
      <c r="A1265" s="4" t="n">
        <v>69</v>
      </c>
      <c r="B1265" s="4" t="s">
        <v>1932</v>
      </c>
      <c r="C1265" s="4" t="s">
        <v>369</v>
      </c>
      <c r="D1265" s="4" t="s">
        <v>3503</v>
      </c>
      <c r="E1265" s="4" t="s">
        <v>780</v>
      </c>
      <c r="F1265" s="4" t="s">
        <v>643</v>
      </c>
    </row>
    <row r="1266" customFormat="false" ht="162.65" hidden="false" customHeight="false" outlineLevel="0" collapsed="false">
      <c r="A1266" s="4" t="n">
        <v>69</v>
      </c>
      <c r="B1266" s="4" t="s">
        <v>1932</v>
      </c>
      <c r="C1266" s="4" t="s">
        <v>372</v>
      </c>
      <c r="D1266" s="4" t="s">
        <v>3504</v>
      </c>
      <c r="E1266" s="4" t="s">
        <v>3592</v>
      </c>
      <c r="F1266" s="4" t="s">
        <v>1938</v>
      </c>
    </row>
    <row r="1267" customFormat="false" ht="82.05" hidden="false" customHeight="false" outlineLevel="0" collapsed="false">
      <c r="A1267" s="4" t="n">
        <v>69</v>
      </c>
      <c r="B1267" s="4" t="s">
        <v>1932</v>
      </c>
      <c r="C1267" s="4" t="s">
        <v>380</v>
      </c>
      <c r="D1267" s="4" t="s">
        <v>3474</v>
      </c>
      <c r="E1267" s="4" t="s">
        <v>1950</v>
      </c>
      <c r="F1267" s="4" t="s">
        <v>1940</v>
      </c>
    </row>
    <row r="1268" customFormat="false" ht="68.65" hidden="false" customHeight="false" outlineLevel="0" collapsed="false">
      <c r="A1268" s="4" t="n">
        <v>69</v>
      </c>
      <c r="B1268" s="4" t="s">
        <v>1932</v>
      </c>
      <c r="C1268" s="4" t="s">
        <v>390</v>
      </c>
      <c r="D1268" s="4" t="s">
        <v>3479</v>
      </c>
      <c r="E1268" s="4" t="s">
        <v>473</v>
      </c>
      <c r="F1268" s="4" t="s">
        <v>1941</v>
      </c>
    </row>
    <row r="1269" customFormat="false" ht="55.2" hidden="false" customHeight="false" outlineLevel="0" collapsed="false">
      <c r="A1269" s="4" t="n">
        <v>69</v>
      </c>
      <c r="B1269" s="4" t="s">
        <v>1932</v>
      </c>
      <c r="C1269" s="4" t="s">
        <v>395</v>
      </c>
      <c r="D1269" s="4" t="s">
        <v>3507</v>
      </c>
      <c r="E1269" s="4" t="s">
        <v>474</v>
      </c>
      <c r="F1269" s="4" t="s">
        <v>1942</v>
      </c>
    </row>
    <row r="1270" customFormat="false" ht="41.75" hidden="false" customHeight="false" outlineLevel="0" collapsed="false">
      <c r="A1270" s="4" t="n">
        <v>69</v>
      </c>
      <c r="B1270" s="4" t="s">
        <v>1932</v>
      </c>
      <c r="C1270" s="4" t="s">
        <v>402</v>
      </c>
      <c r="D1270" s="4" t="s">
        <v>3508</v>
      </c>
      <c r="E1270" s="4" t="s">
        <v>475</v>
      </c>
      <c r="F1270" s="4" t="s">
        <v>1943</v>
      </c>
    </row>
    <row r="1271" customFormat="false" ht="55.2" hidden="false" customHeight="false" outlineLevel="0" collapsed="false">
      <c r="A1271" s="4" t="n">
        <v>69</v>
      </c>
      <c r="B1271" s="4" t="s">
        <v>1932</v>
      </c>
      <c r="C1271" s="4" t="s">
        <v>403</v>
      </c>
      <c r="D1271" s="4" t="s">
        <v>3481</v>
      </c>
      <c r="E1271" s="4" t="s">
        <v>1095</v>
      </c>
      <c r="F1271" s="4" t="s">
        <v>1944</v>
      </c>
    </row>
    <row r="1272" customFormat="false" ht="108.95" hidden="false" customHeight="false" outlineLevel="0" collapsed="false">
      <c r="A1272" s="4" t="n">
        <v>69</v>
      </c>
      <c r="B1272" s="4" t="s">
        <v>1932</v>
      </c>
      <c r="C1272" s="4" t="s">
        <v>407</v>
      </c>
      <c r="D1272" s="4" t="s">
        <v>3485</v>
      </c>
      <c r="E1272" s="4" t="s">
        <v>3642</v>
      </c>
      <c r="F1272" s="4" t="s">
        <v>1945</v>
      </c>
    </row>
    <row r="1273" customFormat="false" ht="28.35" hidden="false" customHeight="false" outlineLevel="0" collapsed="false">
      <c r="A1273" s="4" t="n">
        <v>69</v>
      </c>
      <c r="B1273" s="4" t="s">
        <v>1932</v>
      </c>
      <c r="C1273" s="4" t="s">
        <v>427</v>
      </c>
      <c r="D1273" s="4" t="s">
        <v>3464</v>
      </c>
      <c r="E1273" s="4"/>
      <c r="F1273" s="4" t="s">
        <v>24</v>
      </c>
    </row>
    <row r="1274" customFormat="false" ht="28.35" hidden="false" customHeight="false" outlineLevel="0" collapsed="false">
      <c r="A1274" s="4" t="n">
        <v>69</v>
      </c>
      <c r="B1274" s="4" t="s">
        <v>1932</v>
      </c>
      <c r="C1274" s="4" t="s">
        <v>428</v>
      </c>
      <c r="D1274" s="4" t="s">
        <v>3465</v>
      </c>
      <c r="E1274" s="4"/>
      <c r="F1274" s="4" t="s">
        <v>31</v>
      </c>
    </row>
    <row r="1275" customFormat="false" ht="28.35" hidden="false" customHeight="false" outlineLevel="0" collapsed="false">
      <c r="A1275" s="4" t="n">
        <v>69</v>
      </c>
      <c r="B1275" s="4" t="s">
        <v>1932</v>
      </c>
      <c r="C1275" s="4" t="s">
        <v>429</v>
      </c>
      <c r="D1275" s="4" t="s">
        <v>3466</v>
      </c>
      <c r="E1275" s="4"/>
      <c r="F1275" s="4" t="s">
        <v>38</v>
      </c>
    </row>
    <row r="1276" customFormat="false" ht="28.35" hidden="false" customHeight="false" outlineLevel="0" collapsed="false">
      <c r="A1276" s="4" t="n">
        <v>69</v>
      </c>
      <c r="B1276" s="4" t="s">
        <v>1932</v>
      </c>
      <c r="C1276" s="4" t="s">
        <v>431</v>
      </c>
      <c r="D1276" s="4" t="s">
        <v>3468</v>
      </c>
      <c r="E1276" s="4"/>
      <c r="F1276" s="4" t="s">
        <v>484</v>
      </c>
    </row>
    <row r="1277" customFormat="false" ht="28.35" hidden="false" customHeight="false" outlineLevel="0" collapsed="false">
      <c r="A1277" s="4" t="n">
        <v>69</v>
      </c>
      <c r="B1277" s="4" t="s">
        <v>1932</v>
      </c>
      <c r="C1277" s="4" t="s">
        <v>432</v>
      </c>
      <c r="D1277" s="4" t="s">
        <v>3469</v>
      </c>
      <c r="E1277" s="4"/>
      <c r="F1277" s="4" t="s">
        <v>713</v>
      </c>
    </row>
    <row r="1278" customFormat="false" ht="41.75" hidden="false" customHeight="false" outlineLevel="0" collapsed="false">
      <c r="A1278" s="4" t="n">
        <v>69</v>
      </c>
      <c r="B1278" s="4" t="s">
        <v>1932</v>
      </c>
      <c r="C1278" s="4" t="s">
        <v>433</v>
      </c>
      <c r="D1278" s="4" t="s">
        <v>3470</v>
      </c>
      <c r="E1278" s="4"/>
      <c r="F1278" s="4" t="s">
        <v>665</v>
      </c>
    </row>
    <row r="1279" customFormat="false" ht="28.35" hidden="false" customHeight="false" outlineLevel="0" collapsed="false">
      <c r="A1279" s="4" t="n">
        <v>69</v>
      </c>
      <c r="B1279" s="4" t="s">
        <v>1932</v>
      </c>
      <c r="C1279" s="4" t="s">
        <v>434</v>
      </c>
      <c r="D1279" s="4" t="s">
        <v>3482</v>
      </c>
      <c r="E1279" s="4"/>
      <c r="F1279" s="4" t="s">
        <v>666</v>
      </c>
    </row>
    <row r="1280" customFormat="false" ht="28.35" hidden="false" customHeight="false" outlineLevel="0" collapsed="false">
      <c r="A1280" s="4" t="n">
        <v>69</v>
      </c>
      <c r="B1280" s="4" t="s">
        <v>1932</v>
      </c>
      <c r="C1280" s="4" t="s">
        <v>435</v>
      </c>
      <c r="D1280" s="4" t="s">
        <v>3510</v>
      </c>
      <c r="E1280" s="4"/>
      <c r="F1280" s="4" t="s">
        <v>667</v>
      </c>
    </row>
    <row r="1281" customFormat="false" ht="28.35" hidden="false" customHeight="false" outlineLevel="0" collapsed="false">
      <c r="A1281" s="4" t="n">
        <v>69</v>
      </c>
      <c r="B1281" s="4" t="s">
        <v>1932</v>
      </c>
      <c r="C1281" s="4" t="s">
        <v>436</v>
      </c>
      <c r="D1281" s="4" t="s">
        <v>3471</v>
      </c>
      <c r="E1281" s="4"/>
      <c r="F1281" s="4" t="s">
        <v>1951</v>
      </c>
    </row>
    <row r="1282" customFormat="false" ht="55.2" hidden="false" customHeight="false" outlineLevel="0" collapsed="false">
      <c r="A1282" s="4" t="n">
        <v>69</v>
      </c>
      <c r="B1282" s="4" t="s">
        <v>1932</v>
      </c>
      <c r="C1282" s="4" t="s">
        <v>438</v>
      </c>
      <c r="D1282" s="4" t="s">
        <v>3511</v>
      </c>
      <c r="E1282" s="4"/>
      <c r="F1282" s="4" t="s">
        <v>1952</v>
      </c>
    </row>
    <row r="1283" customFormat="false" ht="28.35" hidden="false" customHeight="false" outlineLevel="0" collapsed="false">
      <c r="A1283" s="4" t="n">
        <v>70</v>
      </c>
      <c r="B1283" s="4" t="s">
        <v>1954</v>
      </c>
      <c r="C1283" s="4" t="s">
        <v>427</v>
      </c>
      <c r="D1283" s="4" t="s">
        <v>3464</v>
      </c>
      <c r="E1283" s="4"/>
      <c r="F1283" s="4" t="s">
        <v>26</v>
      </c>
    </row>
    <row r="1284" customFormat="false" ht="28.35" hidden="false" customHeight="false" outlineLevel="0" collapsed="false">
      <c r="A1284" s="4" t="n">
        <v>70</v>
      </c>
      <c r="B1284" s="4" t="s">
        <v>1954</v>
      </c>
      <c r="C1284" s="4" t="s">
        <v>428</v>
      </c>
      <c r="D1284" s="4" t="s">
        <v>3465</v>
      </c>
      <c r="E1284" s="4"/>
      <c r="F1284" s="4" t="s">
        <v>26</v>
      </c>
    </row>
    <row r="1285" customFormat="false" ht="28.35" hidden="false" customHeight="false" outlineLevel="0" collapsed="false">
      <c r="A1285" s="4" t="n">
        <v>70</v>
      </c>
      <c r="B1285" s="4" t="s">
        <v>1954</v>
      </c>
      <c r="C1285" s="4" t="s">
        <v>429</v>
      </c>
      <c r="D1285" s="4" t="s">
        <v>3466</v>
      </c>
      <c r="E1285" s="4"/>
      <c r="F1285" s="4" t="s">
        <v>39</v>
      </c>
    </row>
    <row r="1286" customFormat="false" ht="28.35" hidden="false" customHeight="false" outlineLevel="0" collapsed="false">
      <c r="A1286" s="4" t="n">
        <v>70</v>
      </c>
      <c r="B1286" s="4" t="s">
        <v>1954</v>
      </c>
      <c r="C1286" s="4" t="s">
        <v>430</v>
      </c>
      <c r="D1286" s="4" t="s">
        <v>3467</v>
      </c>
      <c r="E1286" s="4"/>
      <c r="F1286" s="4" t="s">
        <v>1974</v>
      </c>
    </row>
    <row r="1287" customFormat="false" ht="28.35" hidden="false" customHeight="false" outlineLevel="0" collapsed="false">
      <c r="A1287" s="4" t="n">
        <v>70</v>
      </c>
      <c r="B1287" s="4" t="s">
        <v>1954</v>
      </c>
      <c r="C1287" s="4" t="s">
        <v>431</v>
      </c>
      <c r="D1287" s="4" t="s">
        <v>3468</v>
      </c>
      <c r="E1287" s="4"/>
      <c r="F1287" s="4" t="s">
        <v>484</v>
      </c>
    </row>
    <row r="1288" customFormat="false" ht="28.35" hidden="false" customHeight="false" outlineLevel="0" collapsed="false">
      <c r="A1288" s="4" t="n">
        <v>70</v>
      </c>
      <c r="B1288" s="4" t="s">
        <v>1954</v>
      </c>
      <c r="C1288" s="4" t="s">
        <v>432</v>
      </c>
      <c r="D1288" s="4" t="s">
        <v>3469</v>
      </c>
      <c r="E1288" s="4"/>
      <c r="F1288" s="4" t="s">
        <v>485</v>
      </c>
    </row>
    <row r="1289" customFormat="false" ht="28.35" hidden="false" customHeight="false" outlineLevel="0" collapsed="false">
      <c r="A1289" s="4" t="n">
        <v>70</v>
      </c>
      <c r="B1289" s="4" t="s">
        <v>1954</v>
      </c>
      <c r="C1289" s="4" t="s">
        <v>433</v>
      </c>
      <c r="D1289" s="4" t="s">
        <v>3470</v>
      </c>
      <c r="E1289" s="4"/>
      <c r="F1289" s="4" t="s">
        <v>1975</v>
      </c>
    </row>
    <row r="1290" customFormat="false" ht="28.35" hidden="false" customHeight="false" outlineLevel="0" collapsed="false">
      <c r="A1290" s="4" t="n">
        <v>70</v>
      </c>
      <c r="B1290" s="4" t="s">
        <v>1954</v>
      </c>
      <c r="C1290" s="4" t="s">
        <v>436</v>
      </c>
      <c r="D1290" s="4" t="s">
        <v>3471</v>
      </c>
      <c r="E1290" s="4"/>
      <c r="F1290" s="4" t="s">
        <v>347</v>
      </c>
    </row>
    <row r="1291" customFormat="false" ht="28.35" hidden="false" customHeight="false" outlineLevel="0" collapsed="false">
      <c r="A1291" s="4" t="n">
        <v>70</v>
      </c>
      <c r="B1291" s="4" t="s">
        <v>1954</v>
      </c>
      <c r="C1291" s="4" t="s">
        <v>437</v>
      </c>
      <c r="D1291" s="4" t="s">
        <v>3472</v>
      </c>
      <c r="E1291" s="4"/>
      <c r="F1291" s="4" t="n">
        <v>4</v>
      </c>
    </row>
    <row r="1292" customFormat="false" ht="15" hidden="false" customHeight="false" outlineLevel="0" collapsed="false">
      <c r="A1292" s="4" t="n">
        <v>71</v>
      </c>
      <c r="B1292" s="4" t="s">
        <v>1976</v>
      </c>
      <c r="C1292" s="4" t="s">
        <v>427</v>
      </c>
      <c r="D1292" s="4" t="s">
        <v>3464</v>
      </c>
      <c r="E1292" s="4"/>
      <c r="F1292" s="4" t="s">
        <v>26</v>
      </c>
    </row>
    <row r="1293" customFormat="false" ht="15" hidden="false" customHeight="false" outlineLevel="0" collapsed="false">
      <c r="A1293" s="4" t="n">
        <v>71</v>
      </c>
      <c r="B1293" s="4" t="s">
        <v>1976</v>
      </c>
      <c r="C1293" s="4" t="s">
        <v>428</v>
      </c>
      <c r="D1293" s="4" t="s">
        <v>3465</v>
      </c>
      <c r="E1293" s="4"/>
      <c r="F1293" s="4" t="s">
        <v>26</v>
      </c>
    </row>
    <row r="1294" customFormat="false" ht="15" hidden="false" customHeight="false" outlineLevel="0" collapsed="false">
      <c r="A1294" s="4" t="n">
        <v>71</v>
      </c>
      <c r="B1294" s="4" t="s">
        <v>1976</v>
      </c>
      <c r="C1294" s="4" t="s">
        <v>429</v>
      </c>
      <c r="D1294" s="4" t="s">
        <v>3466</v>
      </c>
      <c r="E1294" s="4"/>
      <c r="F1294" s="4" t="s">
        <v>39</v>
      </c>
    </row>
    <row r="1295" customFormat="false" ht="15" hidden="false" customHeight="false" outlineLevel="0" collapsed="false">
      <c r="A1295" s="4" t="n">
        <v>71</v>
      </c>
      <c r="B1295" s="4" t="s">
        <v>1976</v>
      </c>
      <c r="C1295" s="4" t="s">
        <v>431</v>
      </c>
      <c r="D1295" s="4" t="s">
        <v>3468</v>
      </c>
      <c r="E1295" s="4"/>
      <c r="F1295" s="4" t="s">
        <v>484</v>
      </c>
    </row>
    <row r="1296" customFormat="false" ht="15" hidden="false" customHeight="false" outlineLevel="0" collapsed="false">
      <c r="A1296" s="4" t="n">
        <v>71</v>
      </c>
      <c r="B1296" s="4" t="s">
        <v>1976</v>
      </c>
      <c r="C1296" s="4" t="s">
        <v>432</v>
      </c>
      <c r="D1296" s="4" t="s">
        <v>3469</v>
      </c>
      <c r="E1296" s="4"/>
      <c r="F1296" s="4" t="s">
        <v>485</v>
      </c>
    </row>
    <row r="1297" customFormat="false" ht="28.35" hidden="false" customHeight="false" outlineLevel="0" collapsed="false">
      <c r="A1297" s="4" t="n">
        <v>71</v>
      </c>
      <c r="B1297" s="4" t="s">
        <v>1976</v>
      </c>
      <c r="C1297" s="4" t="s">
        <v>433</v>
      </c>
      <c r="D1297" s="4" t="s">
        <v>3470</v>
      </c>
      <c r="E1297" s="4"/>
      <c r="F1297" s="4" t="s">
        <v>1992</v>
      </c>
    </row>
    <row r="1298" customFormat="false" ht="15" hidden="false" customHeight="false" outlineLevel="0" collapsed="false">
      <c r="A1298" s="4" t="n">
        <v>71</v>
      </c>
      <c r="B1298" s="4" t="s">
        <v>1976</v>
      </c>
      <c r="C1298" s="4" t="s">
        <v>436</v>
      </c>
      <c r="D1298" s="4" t="s">
        <v>3471</v>
      </c>
      <c r="E1298" s="4"/>
      <c r="F1298" s="4" t="s">
        <v>1993</v>
      </c>
    </row>
    <row r="1299" customFormat="false" ht="28.35" hidden="false" customHeight="false" outlineLevel="0" collapsed="false">
      <c r="A1299" s="4" t="n">
        <v>72</v>
      </c>
      <c r="B1299" s="4" t="s">
        <v>1994</v>
      </c>
      <c r="C1299" s="4" t="s">
        <v>427</v>
      </c>
      <c r="D1299" s="4" t="s">
        <v>3464</v>
      </c>
      <c r="E1299" s="4"/>
      <c r="F1299" s="4" t="s">
        <v>26</v>
      </c>
    </row>
    <row r="1300" customFormat="false" ht="28.35" hidden="false" customHeight="false" outlineLevel="0" collapsed="false">
      <c r="A1300" s="4" t="n">
        <v>72</v>
      </c>
      <c r="B1300" s="4" t="s">
        <v>1994</v>
      </c>
      <c r="C1300" s="4" t="s">
        <v>428</v>
      </c>
      <c r="D1300" s="4" t="s">
        <v>3465</v>
      </c>
      <c r="E1300" s="4"/>
      <c r="F1300" s="4" t="s">
        <v>26</v>
      </c>
    </row>
    <row r="1301" customFormat="false" ht="28.35" hidden="false" customHeight="false" outlineLevel="0" collapsed="false">
      <c r="A1301" s="4" t="n">
        <v>72</v>
      </c>
      <c r="B1301" s="4" t="s">
        <v>1994</v>
      </c>
      <c r="C1301" s="4" t="s">
        <v>429</v>
      </c>
      <c r="D1301" s="4" t="s">
        <v>3466</v>
      </c>
      <c r="E1301" s="4"/>
      <c r="F1301" s="4" t="s">
        <v>39</v>
      </c>
    </row>
    <row r="1302" customFormat="false" ht="28.35" hidden="false" customHeight="false" outlineLevel="0" collapsed="false">
      <c r="A1302" s="4" t="n">
        <v>72</v>
      </c>
      <c r="B1302" s="4" t="s">
        <v>1994</v>
      </c>
      <c r="C1302" s="4" t="s">
        <v>431</v>
      </c>
      <c r="D1302" s="4" t="s">
        <v>3468</v>
      </c>
      <c r="E1302" s="4"/>
      <c r="F1302" s="4" t="s">
        <v>484</v>
      </c>
    </row>
    <row r="1303" customFormat="false" ht="28.35" hidden="false" customHeight="false" outlineLevel="0" collapsed="false">
      <c r="A1303" s="4" t="n">
        <v>72</v>
      </c>
      <c r="B1303" s="4" t="s">
        <v>1994</v>
      </c>
      <c r="C1303" s="4" t="s">
        <v>432</v>
      </c>
      <c r="D1303" s="4" t="s">
        <v>3469</v>
      </c>
      <c r="E1303" s="4"/>
      <c r="F1303" s="4" t="s">
        <v>485</v>
      </c>
    </row>
    <row r="1304" customFormat="false" ht="28.35" hidden="false" customHeight="false" outlineLevel="0" collapsed="false">
      <c r="A1304" s="4" t="n">
        <v>72</v>
      </c>
      <c r="B1304" s="4" t="s">
        <v>1994</v>
      </c>
      <c r="C1304" s="4" t="s">
        <v>433</v>
      </c>
      <c r="D1304" s="4" t="s">
        <v>3470</v>
      </c>
      <c r="E1304" s="4"/>
      <c r="F1304" s="4" t="s">
        <v>2008</v>
      </c>
    </row>
    <row r="1305" customFormat="false" ht="28.35" hidden="false" customHeight="false" outlineLevel="0" collapsed="false">
      <c r="A1305" s="4" t="n">
        <v>72</v>
      </c>
      <c r="B1305" s="4" t="s">
        <v>1994</v>
      </c>
      <c r="C1305" s="4" t="s">
        <v>436</v>
      </c>
      <c r="D1305" s="4" t="s">
        <v>3471</v>
      </c>
      <c r="E1305" s="4"/>
      <c r="F1305" s="4" t="s">
        <v>2009</v>
      </c>
    </row>
    <row r="1306" customFormat="false" ht="95.5" hidden="false" customHeight="false" outlineLevel="0" collapsed="false">
      <c r="A1306" s="4" t="n">
        <v>73</v>
      </c>
      <c r="B1306" s="4" t="s">
        <v>2012</v>
      </c>
      <c r="C1306" s="4" t="s">
        <v>372</v>
      </c>
      <c r="D1306" s="4" t="s">
        <v>3504</v>
      </c>
      <c r="E1306" s="4" t="s">
        <v>3643</v>
      </c>
      <c r="F1306" s="4" t="s">
        <v>2019</v>
      </c>
    </row>
    <row r="1307" customFormat="false" ht="323.85" hidden="false" customHeight="false" outlineLevel="0" collapsed="false">
      <c r="A1307" s="4" t="n">
        <v>73</v>
      </c>
      <c r="B1307" s="4" t="s">
        <v>2012</v>
      </c>
      <c r="C1307" s="4" t="s">
        <v>380</v>
      </c>
      <c r="D1307" s="4" t="s">
        <v>3474</v>
      </c>
      <c r="E1307" s="4" t="s">
        <v>3644</v>
      </c>
      <c r="F1307" s="4" t="s">
        <v>2024</v>
      </c>
    </row>
    <row r="1308" customFormat="false" ht="28.35" hidden="false" customHeight="false" outlineLevel="0" collapsed="false">
      <c r="A1308" s="4" t="n">
        <v>73</v>
      </c>
      <c r="B1308" s="4" t="s">
        <v>2012</v>
      </c>
      <c r="C1308" s="4" t="s">
        <v>387</v>
      </c>
      <c r="D1308" s="4" t="s">
        <v>3476</v>
      </c>
      <c r="E1308" s="4"/>
      <c r="F1308" s="4" t="n">
        <v>52</v>
      </c>
    </row>
    <row r="1309" customFormat="false" ht="28.35" hidden="false" customHeight="false" outlineLevel="0" collapsed="false">
      <c r="A1309" s="4" t="n">
        <v>73</v>
      </c>
      <c r="B1309" s="4" t="s">
        <v>2012</v>
      </c>
      <c r="C1309" s="4" t="s">
        <v>388</v>
      </c>
      <c r="D1309" s="4" t="s">
        <v>3477</v>
      </c>
      <c r="E1309" s="4"/>
      <c r="F1309" s="4" t="s">
        <v>2025</v>
      </c>
    </row>
    <row r="1310" customFormat="false" ht="68.65" hidden="false" customHeight="false" outlineLevel="0" collapsed="false">
      <c r="A1310" s="4" t="n">
        <v>73</v>
      </c>
      <c r="B1310" s="4" t="s">
        <v>2012</v>
      </c>
      <c r="C1310" s="4" t="s">
        <v>389</v>
      </c>
      <c r="D1310" s="4" t="s">
        <v>3478</v>
      </c>
      <c r="E1310" s="4" t="s">
        <v>472</v>
      </c>
      <c r="F1310" s="4" t="s">
        <v>2026</v>
      </c>
    </row>
    <row r="1311" customFormat="false" ht="28.35" hidden="false" customHeight="false" outlineLevel="0" collapsed="false">
      <c r="A1311" s="4" t="n">
        <v>73</v>
      </c>
      <c r="B1311" s="4" t="s">
        <v>2012</v>
      </c>
      <c r="C1311" s="4" t="s">
        <v>390</v>
      </c>
      <c r="D1311" s="4" t="s">
        <v>3479</v>
      </c>
      <c r="E1311" s="4" t="s">
        <v>473</v>
      </c>
      <c r="F1311" s="4" t="s">
        <v>503</v>
      </c>
    </row>
    <row r="1312" customFormat="false" ht="41.75" hidden="false" customHeight="false" outlineLevel="0" collapsed="false">
      <c r="A1312" s="4" t="n">
        <v>73</v>
      </c>
      <c r="B1312" s="4" t="s">
        <v>2012</v>
      </c>
      <c r="C1312" s="4" t="s">
        <v>391</v>
      </c>
      <c r="D1312" s="4" t="s">
        <v>3480</v>
      </c>
      <c r="E1312" s="4"/>
      <c r="F1312" s="4" t="s">
        <v>2027</v>
      </c>
    </row>
    <row r="1313" customFormat="false" ht="28.35" hidden="false" customHeight="false" outlineLevel="0" collapsed="false">
      <c r="A1313" s="4" t="n">
        <v>73</v>
      </c>
      <c r="B1313" s="4" t="s">
        <v>2012</v>
      </c>
      <c r="C1313" s="4" t="s">
        <v>392</v>
      </c>
      <c r="D1313" s="4" t="s">
        <v>3530</v>
      </c>
      <c r="E1313" s="4"/>
      <c r="F1313" s="4" t="n">
        <v>3.84425</v>
      </c>
    </row>
    <row r="1314" customFormat="false" ht="28.35" hidden="false" customHeight="false" outlineLevel="0" collapsed="false">
      <c r="A1314" s="4" t="n">
        <v>73</v>
      </c>
      <c r="B1314" s="4" t="s">
        <v>2012</v>
      </c>
      <c r="C1314" s="4" t="s">
        <v>393</v>
      </c>
      <c r="D1314" s="4" t="s">
        <v>3531</v>
      </c>
      <c r="E1314" s="4"/>
      <c r="F1314" s="4" t="n">
        <v>2026</v>
      </c>
    </row>
    <row r="1315" customFormat="false" ht="41.75" hidden="false" customHeight="false" outlineLevel="0" collapsed="false">
      <c r="A1315" s="4" t="n">
        <v>73</v>
      </c>
      <c r="B1315" s="4" t="s">
        <v>2012</v>
      </c>
      <c r="C1315" s="4" t="s">
        <v>394</v>
      </c>
      <c r="D1315" s="4" t="s">
        <v>3532</v>
      </c>
      <c r="E1315" s="4"/>
      <c r="F1315" s="4" t="s">
        <v>2028</v>
      </c>
    </row>
    <row r="1316" customFormat="false" ht="28.35" hidden="false" customHeight="false" outlineLevel="0" collapsed="false">
      <c r="A1316" s="4" t="n">
        <v>73</v>
      </c>
      <c r="B1316" s="4" t="s">
        <v>2012</v>
      </c>
      <c r="C1316" s="4" t="s">
        <v>395</v>
      </c>
      <c r="D1316" s="4" t="s">
        <v>3507</v>
      </c>
      <c r="E1316" s="4" t="s">
        <v>474</v>
      </c>
      <c r="F1316" s="4" t="s">
        <v>506</v>
      </c>
    </row>
    <row r="1317" customFormat="false" ht="28.35" hidden="false" customHeight="false" outlineLevel="0" collapsed="false">
      <c r="A1317" s="4" t="n">
        <v>73</v>
      </c>
      <c r="B1317" s="4" t="s">
        <v>2012</v>
      </c>
      <c r="C1317" s="4" t="s">
        <v>396</v>
      </c>
      <c r="D1317" s="4" t="s">
        <v>3533</v>
      </c>
      <c r="E1317" s="4"/>
      <c r="F1317" s="4" t="s">
        <v>2029</v>
      </c>
    </row>
    <row r="1318" customFormat="false" ht="28.35" hidden="false" customHeight="false" outlineLevel="0" collapsed="false">
      <c r="A1318" s="4" t="n">
        <v>73</v>
      </c>
      <c r="B1318" s="4" t="s">
        <v>2012</v>
      </c>
      <c r="C1318" s="4" t="s">
        <v>397</v>
      </c>
      <c r="D1318" s="4" t="s">
        <v>3553</v>
      </c>
      <c r="E1318" s="4"/>
      <c r="F1318" s="4" t="n">
        <v>0.750766</v>
      </c>
    </row>
    <row r="1319" customFormat="false" ht="28.35" hidden="false" customHeight="false" outlineLevel="0" collapsed="false">
      <c r="A1319" s="4" t="n">
        <v>73</v>
      </c>
      <c r="B1319" s="4" t="s">
        <v>2012</v>
      </c>
      <c r="C1319" s="4" t="s">
        <v>398</v>
      </c>
      <c r="D1319" s="4" t="s">
        <v>3554</v>
      </c>
      <c r="E1319" s="4"/>
      <c r="F1319" s="4" t="n">
        <v>2026</v>
      </c>
    </row>
    <row r="1320" customFormat="false" ht="28.35" hidden="false" customHeight="false" outlineLevel="0" collapsed="false">
      <c r="A1320" s="4" t="n">
        <v>73</v>
      </c>
      <c r="B1320" s="4" t="s">
        <v>2012</v>
      </c>
      <c r="C1320" s="4" t="s">
        <v>399</v>
      </c>
      <c r="D1320" s="4" t="s">
        <v>3555</v>
      </c>
      <c r="E1320" s="4"/>
      <c r="F1320" s="4" t="s">
        <v>2030</v>
      </c>
    </row>
    <row r="1321" customFormat="false" ht="41.75" hidden="false" customHeight="false" outlineLevel="0" collapsed="false">
      <c r="A1321" s="4" t="n">
        <v>73</v>
      </c>
      <c r="B1321" s="4" t="s">
        <v>2012</v>
      </c>
      <c r="C1321" s="4" t="s">
        <v>400</v>
      </c>
      <c r="D1321" s="4" t="s">
        <v>3556</v>
      </c>
      <c r="E1321" s="4"/>
      <c r="F1321" s="4" t="s">
        <v>2031</v>
      </c>
    </row>
    <row r="1322" customFormat="false" ht="41.75" hidden="false" customHeight="false" outlineLevel="0" collapsed="false">
      <c r="A1322" s="4" t="n">
        <v>73</v>
      </c>
      <c r="B1322" s="4" t="s">
        <v>2012</v>
      </c>
      <c r="C1322" s="4" t="s">
        <v>401</v>
      </c>
      <c r="D1322" s="4" t="s">
        <v>3557</v>
      </c>
      <c r="E1322" s="4"/>
      <c r="F1322" s="4" t="s">
        <v>2032</v>
      </c>
    </row>
    <row r="1323" customFormat="false" ht="28.35" hidden="false" customHeight="false" outlineLevel="0" collapsed="false">
      <c r="A1323" s="4" t="n">
        <v>73</v>
      </c>
      <c r="B1323" s="4" t="s">
        <v>2012</v>
      </c>
      <c r="C1323" s="4" t="s">
        <v>402</v>
      </c>
      <c r="D1323" s="4" t="s">
        <v>3508</v>
      </c>
      <c r="E1323" s="4" t="s">
        <v>475</v>
      </c>
      <c r="F1323" s="4" t="s">
        <v>2033</v>
      </c>
    </row>
    <row r="1324" customFormat="false" ht="41.75" hidden="false" customHeight="false" outlineLevel="0" collapsed="false">
      <c r="A1324" s="4" t="n">
        <v>73</v>
      </c>
      <c r="B1324" s="4" t="s">
        <v>2012</v>
      </c>
      <c r="C1324" s="4" t="s">
        <v>403</v>
      </c>
      <c r="D1324" s="4" t="s">
        <v>3481</v>
      </c>
      <c r="E1324" s="4" t="s">
        <v>3645</v>
      </c>
      <c r="F1324" s="4" t="s">
        <v>2604</v>
      </c>
    </row>
    <row r="1325" customFormat="false" ht="68.65" hidden="false" customHeight="false" outlineLevel="0" collapsed="false">
      <c r="A1325" s="4" t="n">
        <v>73</v>
      </c>
      <c r="B1325" s="4" t="s">
        <v>2012</v>
      </c>
      <c r="C1325" s="4" t="s">
        <v>403</v>
      </c>
      <c r="D1325" s="4" t="s">
        <v>3481</v>
      </c>
      <c r="E1325" s="4" t="s">
        <v>2604</v>
      </c>
      <c r="F1325" s="4" t="s">
        <v>2034</v>
      </c>
    </row>
    <row r="1326" customFormat="false" ht="28.35" hidden="false" customHeight="false" outlineLevel="0" collapsed="false">
      <c r="A1326" s="4" t="n">
        <v>73</v>
      </c>
      <c r="B1326" s="4" t="s">
        <v>2012</v>
      </c>
      <c r="C1326" s="4" t="s">
        <v>16</v>
      </c>
      <c r="D1326" s="4" t="s">
        <v>3487</v>
      </c>
      <c r="E1326" s="4"/>
      <c r="F1326" s="4" t="n">
        <v>56</v>
      </c>
    </row>
    <row r="1327" customFormat="false" ht="28.35" hidden="false" customHeight="false" outlineLevel="0" collapsed="false">
      <c r="A1327" s="4" t="n">
        <v>73</v>
      </c>
      <c r="B1327" s="4" t="s">
        <v>2012</v>
      </c>
      <c r="C1327" s="4" t="s">
        <v>404</v>
      </c>
      <c r="D1327" s="4" t="s">
        <v>3488</v>
      </c>
      <c r="E1327" s="4"/>
      <c r="F1327" s="4" t="s">
        <v>964</v>
      </c>
    </row>
    <row r="1328" customFormat="false" ht="41.75" hidden="false" customHeight="false" outlineLevel="0" collapsed="false">
      <c r="A1328" s="4" t="n">
        <v>73</v>
      </c>
      <c r="B1328" s="4" t="s">
        <v>2012</v>
      </c>
      <c r="C1328" s="4" t="s">
        <v>405</v>
      </c>
      <c r="D1328" s="4" t="s">
        <v>3489</v>
      </c>
      <c r="E1328" s="4"/>
      <c r="F1328" s="4" t="s">
        <v>2035</v>
      </c>
    </row>
    <row r="1329" customFormat="false" ht="28.35" hidden="false" customHeight="false" outlineLevel="0" collapsed="false">
      <c r="A1329" s="4" t="n">
        <v>73</v>
      </c>
      <c r="B1329" s="4" t="s">
        <v>2012</v>
      </c>
      <c r="C1329" s="4" t="s">
        <v>406</v>
      </c>
      <c r="D1329" s="4" t="s">
        <v>3490</v>
      </c>
      <c r="E1329" s="4"/>
      <c r="F1329" s="4" t="s">
        <v>2036</v>
      </c>
    </row>
    <row r="1330" customFormat="false" ht="55.2" hidden="false" customHeight="false" outlineLevel="0" collapsed="false">
      <c r="A1330" s="4" t="n">
        <v>73</v>
      </c>
      <c r="B1330" s="4" t="s">
        <v>2012</v>
      </c>
      <c r="C1330" s="4" t="s">
        <v>407</v>
      </c>
      <c r="D1330" s="4" t="s">
        <v>3485</v>
      </c>
      <c r="E1330" s="4"/>
      <c r="F1330" s="4" t="s">
        <v>2037</v>
      </c>
    </row>
    <row r="1331" customFormat="false" ht="108.95" hidden="false" customHeight="false" outlineLevel="0" collapsed="false">
      <c r="A1331" s="4" t="n">
        <v>73</v>
      </c>
      <c r="B1331" s="4" t="s">
        <v>2012</v>
      </c>
      <c r="C1331" s="4" t="s">
        <v>419</v>
      </c>
      <c r="D1331" s="4" t="s">
        <v>3534</v>
      </c>
      <c r="E1331" s="4"/>
      <c r="F1331" s="4" t="s">
        <v>3646</v>
      </c>
    </row>
    <row r="1332" customFormat="false" ht="297" hidden="false" customHeight="false" outlineLevel="0" collapsed="false">
      <c r="A1332" s="4" t="n">
        <v>73</v>
      </c>
      <c r="B1332" s="4" t="s">
        <v>2012</v>
      </c>
      <c r="C1332" s="4" t="s">
        <v>419</v>
      </c>
      <c r="D1332" s="4" t="s">
        <v>3534</v>
      </c>
      <c r="E1332" s="4" t="s">
        <v>3646</v>
      </c>
      <c r="F1332" s="4" t="s">
        <v>2044</v>
      </c>
    </row>
    <row r="1333" customFormat="false" ht="28.35" hidden="false" customHeight="false" outlineLevel="0" collapsed="false">
      <c r="A1333" s="4" t="n">
        <v>73</v>
      </c>
      <c r="B1333" s="4" t="s">
        <v>2012</v>
      </c>
      <c r="C1333" s="4" t="s">
        <v>420</v>
      </c>
      <c r="D1333" s="4" t="s">
        <v>3647</v>
      </c>
      <c r="E1333" s="4"/>
      <c r="F1333" s="4" t="n">
        <v>3.753485</v>
      </c>
    </row>
    <row r="1334" customFormat="false" ht="28.35" hidden="false" customHeight="false" outlineLevel="0" collapsed="false">
      <c r="A1334" s="4" t="n">
        <v>73</v>
      </c>
      <c r="B1334" s="4" t="s">
        <v>2012</v>
      </c>
      <c r="C1334" s="4" t="s">
        <v>421</v>
      </c>
      <c r="D1334" s="4" t="s">
        <v>3558</v>
      </c>
      <c r="E1334" s="4"/>
      <c r="F1334" s="4" t="n">
        <v>3.256042</v>
      </c>
    </row>
    <row r="1335" customFormat="false" ht="28.35" hidden="false" customHeight="false" outlineLevel="0" collapsed="false">
      <c r="A1335" s="4" t="n">
        <v>73</v>
      </c>
      <c r="B1335" s="4" t="s">
        <v>2012</v>
      </c>
      <c r="C1335" s="4" t="s">
        <v>422</v>
      </c>
      <c r="D1335" s="4" t="s">
        <v>3648</v>
      </c>
      <c r="E1335" s="4"/>
      <c r="F1335" s="4" t="n">
        <v>3.256042</v>
      </c>
    </row>
    <row r="1336" customFormat="false" ht="41.75" hidden="false" customHeight="false" outlineLevel="0" collapsed="false">
      <c r="A1336" s="4" t="n">
        <v>73</v>
      </c>
      <c r="B1336" s="4" t="s">
        <v>2012</v>
      </c>
      <c r="C1336" s="4" t="s">
        <v>423</v>
      </c>
      <c r="D1336" s="4" t="s">
        <v>3559</v>
      </c>
      <c r="E1336" s="4"/>
      <c r="F1336" s="4" t="s">
        <v>2045</v>
      </c>
    </row>
    <row r="1337" customFormat="false" ht="28.35" hidden="false" customHeight="false" outlineLevel="0" collapsed="false">
      <c r="A1337" s="4" t="n">
        <v>73</v>
      </c>
      <c r="B1337" s="4" t="s">
        <v>2012</v>
      </c>
      <c r="C1337" s="4" t="s">
        <v>424</v>
      </c>
      <c r="D1337" s="4" t="s">
        <v>3560</v>
      </c>
      <c r="E1337" s="4"/>
      <c r="F1337" s="4" t="s">
        <v>2046</v>
      </c>
    </row>
    <row r="1338" customFormat="false" ht="41.75" hidden="false" customHeight="false" outlineLevel="0" collapsed="false">
      <c r="A1338" s="4" t="n">
        <v>73</v>
      </c>
      <c r="B1338" s="4" t="s">
        <v>2012</v>
      </c>
      <c r="C1338" s="4" t="s">
        <v>425</v>
      </c>
      <c r="D1338" s="4" t="s">
        <v>3561</v>
      </c>
      <c r="E1338" s="4"/>
      <c r="F1338" s="4" t="s">
        <v>2047</v>
      </c>
    </row>
    <row r="1339" customFormat="false" ht="108.95" hidden="false" customHeight="false" outlineLevel="0" collapsed="false">
      <c r="A1339" s="4" t="n">
        <v>73</v>
      </c>
      <c r="B1339" s="4" t="s">
        <v>2012</v>
      </c>
      <c r="C1339" s="4" t="s">
        <v>426</v>
      </c>
      <c r="D1339" s="4" t="s">
        <v>3562</v>
      </c>
      <c r="E1339" s="4"/>
      <c r="F1339" s="4" t="s">
        <v>2048</v>
      </c>
    </row>
    <row r="1340" customFormat="false" ht="28.35" hidden="false" customHeight="false" outlineLevel="0" collapsed="false">
      <c r="A1340" s="4" t="n">
        <v>73</v>
      </c>
      <c r="B1340" s="4" t="s">
        <v>2012</v>
      </c>
      <c r="C1340" s="4" t="s">
        <v>427</v>
      </c>
      <c r="D1340" s="4" t="s">
        <v>3464</v>
      </c>
      <c r="E1340" s="4"/>
      <c r="F1340" s="4" t="s">
        <v>24</v>
      </c>
    </row>
    <row r="1341" customFormat="false" ht="28.35" hidden="false" customHeight="false" outlineLevel="0" collapsed="false">
      <c r="A1341" s="4" t="n">
        <v>73</v>
      </c>
      <c r="B1341" s="4" t="s">
        <v>2012</v>
      </c>
      <c r="C1341" s="4" t="s">
        <v>428</v>
      </c>
      <c r="D1341" s="4" t="s">
        <v>3465</v>
      </c>
      <c r="E1341" s="4"/>
      <c r="F1341" s="4" t="s">
        <v>31</v>
      </c>
    </row>
    <row r="1342" customFormat="false" ht="28.35" hidden="false" customHeight="false" outlineLevel="0" collapsed="false">
      <c r="A1342" s="4" t="n">
        <v>73</v>
      </c>
      <c r="B1342" s="4" t="s">
        <v>2012</v>
      </c>
      <c r="C1342" s="4" t="s">
        <v>429</v>
      </c>
      <c r="D1342" s="4" t="s">
        <v>3466</v>
      </c>
      <c r="E1342" s="4"/>
      <c r="F1342" s="4" t="s">
        <v>36</v>
      </c>
    </row>
    <row r="1343" customFormat="false" ht="41.75" hidden="false" customHeight="false" outlineLevel="0" collapsed="false">
      <c r="A1343" s="4" t="n">
        <v>73</v>
      </c>
      <c r="B1343" s="4" t="s">
        <v>2012</v>
      </c>
      <c r="C1343" s="4" t="s">
        <v>430</v>
      </c>
      <c r="D1343" s="4" t="s">
        <v>3467</v>
      </c>
      <c r="E1343" s="4"/>
      <c r="F1343" s="4" t="s">
        <v>2049</v>
      </c>
    </row>
    <row r="1344" customFormat="false" ht="28.35" hidden="false" customHeight="false" outlineLevel="0" collapsed="false">
      <c r="A1344" s="4" t="n">
        <v>73</v>
      </c>
      <c r="B1344" s="4" t="s">
        <v>2012</v>
      </c>
      <c r="C1344" s="4" t="s">
        <v>431</v>
      </c>
      <c r="D1344" s="4" t="s">
        <v>3468</v>
      </c>
      <c r="E1344" s="4"/>
      <c r="F1344" s="4" t="s">
        <v>484</v>
      </c>
    </row>
    <row r="1345" customFormat="false" ht="28.35" hidden="false" customHeight="false" outlineLevel="0" collapsed="false">
      <c r="A1345" s="4" t="n">
        <v>73</v>
      </c>
      <c r="B1345" s="4" t="s">
        <v>2012</v>
      </c>
      <c r="C1345" s="4" t="s">
        <v>432</v>
      </c>
      <c r="D1345" s="4" t="s">
        <v>3469</v>
      </c>
      <c r="E1345" s="4"/>
      <c r="F1345" s="4" t="s">
        <v>524</v>
      </c>
    </row>
    <row r="1346" customFormat="false" ht="41.75" hidden="false" customHeight="false" outlineLevel="0" collapsed="false">
      <c r="A1346" s="4" t="n">
        <v>73</v>
      </c>
      <c r="B1346" s="4" t="s">
        <v>2012</v>
      </c>
      <c r="C1346" s="4" t="s">
        <v>433</v>
      </c>
      <c r="D1346" s="4" t="s">
        <v>3470</v>
      </c>
      <c r="E1346" s="4"/>
      <c r="F1346" s="4" t="s">
        <v>2050</v>
      </c>
    </row>
    <row r="1347" customFormat="false" ht="28.35" hidden="false" customHeight="false" outlineLevel="0" collapsed="false">
      <c r="A1347" s="4" t="n">
        <v>73</v>
      </c>
      <c r="B1347" s="4" t="s">
        <v>2012</v>
      </c>
      <c r="C1347" s="4" t="s">
        <v>434</v>
      </c>
      <c r="D1347" s="4" t="s">
        <v>3482</v>
      </c>
      <c r="E1347" s="4"/>
      <c r="F1347" s="4" t="s">
        <v>2051</v>
      </c>
    </row>
    <row r="1348" customFormat="false" ht="28.35" hidden="false" customHeight="false" outlineLevel="0" collapsed="false">
      <c r="A1348" s="4" t="n">
        <v>73</v>
      </c>
      <c r="B1348" s="4" t="s">
        <v>2012</v>
      </c>
      <c r="C1348" s="4" t="s">
        <v>436</v>
      </c>
      <c r="D1348" s="4" t="s">
        <v>3471</v>
      </c>
      <c r="E1348" s="4"/>
      <c r="F1348" s="4" t="s">
        <v>257</v>
      </c>
    </row>
    <row r="1349" customFormat="false" ht="28.35" hidden="false" customHeight="false" outlineLevel="0" collapsed="false">
      <c r="A1349" s="4" t="n">
        <v>73</v>
      </c>
      <c r="B1349" s="4" t="s">
        <v>2012</v>
      </c>
      <c r="C1349" s="4" t="s">
        <v>437</v>
      </c>
      <c r="D1349" s="4" t="s">
        <v>3472</v>
      </c>
      <c r="E1349" s="4"/>
      <c r="F1349" s="4" t="n">
        <v>6</v>
      </c>
    </row>
    <row r="1350" customFormat="false" ht="28.35" hidden="false" customHeight="false" outlineLevel="0" collapsed="false">
      <c r="A1350" s="4" t="n">
        <v>73</v>
      </c>
      <c r="B1350" s="4" t="s">
        <v>2012</v>
      </c>
      <c r="C1350" s="4" t="s">
        <v>440</v>
      </c>
      <c r="D1350" s="4" t="s">
        <v>3491</v>
      </c>
      <c r="E1350" s="4"/>
      <c r="F1350" s="4" t="n">
        <v>26</v>
      </c>
    </row>
    <row r="1351" customFormat="false" ht="28.35" hidden="false" customHeight="false" outlineLevel="0" collapsed="false">
      <c r="A1351" s="4" t="n">
        <v>73</v>
      </c>
      <c r="B1351" s="4" t="s">
        <v>2012</v>
      </c>
      <c r="C1351" s="4" t="s">
        <v>441</v>
      </c>
      <c r="D1351" s="4" t="s">
        <v>3492</v>
      </c>
      <c r="E1351" s="4"/>
      <c r="F1351" s="4" t="n">
        <v>18</v>
      </c>
    </row>
    <row r="1352" customFormat="false" ht="28.35" hidden="false" customHeight="false" outlineLevel="0" collapsed="false">
      <c r="A1352" s="4" t="n">
        <v>73</v>
      </c>
      <c r="B1352" s="4" t="s">
        <v>2012</v>
      </c>
      <c r="C1352" s="4" t="s">
        <v>442</v>
      </c>
      <c r="D1352" s="4" t="s">
        <v>3493</v>
      </c>
      <c r="E1352" s="4"/>
      <c r="F1352" s="4" t="n">
        <v>12</v>
      </c>
    </row>
    <row r="1353" customFormat="false" ht="28.35" hidden="false" customHeight="false" outlineLevel="0" collapsed="false">
      <c r="A1353" s="4" t="n">
        <v>73</v>
      </c>
      <c r="B1353" s="4" t="s">
        <v>2012</v>
      </c>
      <c r="C1353" s="4" t="s">
        <v>443</v>
      </c>
      <c r="D1353" s="4" t="s">
        <v>3494</v>
      </c>
      <c r="E1353" s="4"/>
      <c r="F1353" s="4" t="n">
        <v>56</v>
      </c>
    </row>
    <row r="1354" customFormat="false" ht="41.75" hidden="false" customHeight="false" outlineLevel="0" collapsed="false">
      <c r="A1354" s="4" t="n">
        <v>73</v>
      </c>
      <c r="B1354" s="4" t="s">
        <v>2012</v>
      </c>
      <c r="C1354" s="4" t="s">
        <v>447</v>
      </c>
      <c r="D1354" s="4" t="s">
        <v>3498</v>
      </c>
      <c r="E1354" s="4"/>
      <c r="F1354" s="4" t="s">
        <v>2052</v>
      </c>
    </row>
    <row r="1355" customFormat="false" ht="149.25" hidden="false" customHeight="false" outlineLevel="0" collapsed="false">
      <c r="A1355" s="4" t="n">
        <v>73</v>
      </c>
      <c r="B1355" s="4" t="s">
        <v>2012</v>
      </c>
      <c r="C1355" s="4" t="s">
        <v>448</v>
      </c>
      <c r="D1355" s="4" t="s">
        <v>3499</v>
      </c>
      <c r="E1355" s="4"/>
      <c r="F1355" s="4" t="s">
        <v>2053</v>
      </c>
    </row>
    <row r="1356" customFormat="false" ht="28.35" hidden="false" customHeight="false" outlineLevel="0" collapsed="false">
      <c r="A1356" s="4" t="n">
        <v>73</v>
      </c>
      <c r="B1356" s="4" t="s">
        <v>2012</v>
      </c>
      <c r="C1356" s="4" t="s">
        <v>449</v>
      </c>
      <c r="D1356" s="4" t="s">
        <v>3500</v>
      </c>
      <c r="E1356" s="4"/>
      <c r="F1356" s="4" t="s">
        <v>2036</v>
      </c>
    </row>
    <row r="1357" customFormat="false" ht="256.7" hidden="false" customHeight="false" outlineLevel="0" collapsed="false">
      <c r="A1357" s="4" t="n">
        <v>73</v>
      </c>
      <c r="B1357" s="4" t="s">
        <v>2012</v>
      </c>
      <c r="C1357" s="4" t="s">
        <v>450</v>
      </c>
      <c r="D1357" s="4" t="s">
        <v>3501</v>
      </c>
      <c r="E1357" s="4"/>
      <c r="F1357" s="4" t="s">
        <v>2054</v>
      </c>
    </row>
    <row r="1358" customFormat="false" ht="28.35" hidden="false" customHeight="false" outlineLevel="0" collapsed="false">
      <c r="A1358" s="4" t="n">
        <v>74</v>
      </c>
      <c r="B1358" s="4" t="s">
        <v>2055</v>
      </c>
      <c r="C1358" s="4" t="s">
        <v>365</v>
      </c>
      <c r="D1358" s="4" t="s">
        <v>3547</v>
      </c>
      <c r="E1358" s="4"/>
      <c r="F1358" s="4" t="n">
        <v>3.030314</v>
      </c>
    </row>
    <row r="1359" customFormat="false" ht="28.35" hidden="false" customHeight="false" outlineLevel="0" collapsed="false">
      <c r="A1359" s="4" t="n">
        <v>74</v>
      </c>
      <c r="B1359" s="4" t="s">
        <v>2055</v>
      </c>
      <c r="C1359" s="4" t="s">
        <v>366</v>
      </c>
      <c r="D1359" s="4" t="s">
        <v>3548</v>
      </c>
      <c r="E1359" s="4"/>
      <c r="F1359" s="4" t="n">
        <v>2026</v>
      </c>
    </row>
    <row r="1360" customFormat="false" ht="28.35" hidden="false" customHeight="false" outlineLevel="0" collapsed="false">
      <c r="A1360" s="4" t="n">
        <v>74</v>
      </c>
      <c r="B1360" s="4" t="s">
        <v>2055</v>
      </c>
      <c r="C1360" s="4" t="s">
        <v>367</v>
      </c>
      <c r="D1360" s="4" t="s">
        <v>3549</v>
      </c>
      <c r="E1360" s="4"/>
      <c r="F1360" s="4" t="s">
        <v>5</v>
      </c>
    </row>
    <row r="1361" customFormat="false" ht="28.35" hidden="false" customHeight="false" outlineLevel="0" collapsed="false">
      <c r="A1361" s="4" t="n">
        <v>74</v>
      </c>
      <c r="B1361" s="4" t="s">
        <v>2055</v>
      </c>
      <c r="C1361" s="4" t="s">
        <v>368</v>
      </c>
      <c r="D1361" s="4" t="s">
        <v>3550</v>
      </c>
      <c r="E1361" s="4"/>
      <c r="F1361" s="4" t="s">
        <v>2018</v>
      </c>
    </row>
    <row r="1362" customFormat="false" ht="28.35" hidden="false" customHeight="false" outlineLevel="0" collapsed="false">
      <c r="A1362" s="4" t="n">
        <v>74</v>
      </c>
      <c r="B1362" s="4" t="s">
        <v>2055</v>
      </c>
      <c r="C1362" s="4" t="s">
        <v>369</v>
      </c>
      <c r="D1362" s="4" t="s">
        <v>3503</v>
      </c>
      <c r="E1362" s="4" t="s">
        <v>780</v>
      </c>
      <c r="F1362" s="4" t="s">
        <v>494</v>
      </c>
    </row>
    <row r="1363" customFormat="false" ht="28.35" hidden="false" customHeight="false" outlineLevel="0" collapsed="false">
      <c r="A1363" s="4" t="n">
        <v>74</v>
      </c>
      <c r="B1363" s="4" t="s">
        <v>2055</v>
      </c>
      <c r="C1363" s="4" t="s">
        <v>370</v>
      </c>
      <c r="D1363" s="4" t="s">
        <v>3649</v>
      </c>
      <c r="E1363" s="4"/>
      <c r="F1363" s="4" t="n">
        <v>3.030314</v>
      </c>
    </row>
    <row r="1364" customFormat="false" ht="122.35" hidden="false" customHeight="false" outlineLevel="0" collapsed="false">
      <c r="A1364" s="4" t="n">
        <v>74</v>
      </c>
      <c r="B1364" s="4" t="s">
        <v>2055</v>
      </c>
      <c r="C1364" s="4" t="s">
        <v>372</v>
      </c>
      <c r="D1364" s="4" t="s">
        <v>3504</v>
      </c>
      <c r="E1364" s="4" t="s">
        <v>2390</v>
      </c>
      <c r="F1364" s="4" t="s">
        <v>2061</v>
      </c>
    </row>
    <row r="1365" customFormat="false" ht="135.8" hidden="false" customHeight="false" outlineLevel="0" collapsed="false">
      <c r="A1365" s="4" t="n">
        <v>74</v>
      </c>
      <c r="B1365" s="4" t="s">
        <v>2055</v>
      </c>
      <c r="C1365" s="4" t="s">
        <v>380</v>
      </c>
      <c r="D1365" s="4" t="s">
        <v>3474</v>
      </c>
      <c r="E1365" s="4" t="s">
        <v>2076</v>
      </c>
      <c r="F1365" s="4" t="s">
        <v>2066</v>
      </c>
    </row>
    <row r="1366" customFormat="false" ht="28.35" hidden="false" customHeight="false" outlineLevel="0" collapsed="false">
      <c r="A1366" s="4" t="n">
        <v>74</v>
      </c>
      <c r="B1366" s="4" t="s">
        <v>2055</v>
      </c>
      <c r="C1366" s="4" t="s">
        <v>392</v>
      </c>
      <c r="D1366" s="4" t="s">
        <v>3530</v>
      </c>
      <c r="E1366" s="4"/>
      <c r="F1366" s="4" t="n">
        <v>2.541433</v>
      </c>
    </row>
    <row r="1367" customFormat="false" ht="28.35" hidden="false" customHeight="false" outlineLevel="0" collapsed="false">
      <c r="A1367" s="4" t="n">
        <v>74</v>
      </c>
      <c r="B1367" s="4" t="s">
        <v>2055</v>
      </c>
      <c r="C1367" s="4" t="s">
        <v>393</v>
      </c>
      <c r="D1367" s="4" t="s">
        <v>3531</v>
      </c>
      <c r="E1367" s="4"/>
      <c r="F1367" s="4" t="n">
        <v>2026</v>
      </c>
    </row>
    <row r="1368" customFormat="false" ht="28.35" hidden="false" customHeight="false" outlineLevel="0" collapsed="false">
      <c r="A1368" s="4" t="n">
        <v>74</v>
      </c>
      <c r="B1368" s="4" t="s">
        <v>2055</v>
      </c>
      <c r="C1368" s="4" t="s">
        <v>394</v>
      </c>
      <c r="D1368" s="4" t="s">
        <v>3532</v>
      </c>
      <c r="E1368" s="4"/>
      <c r="F1368" s="4" t="s">
        <v>2067</v>
      </c>
    </row>
    <row r="1369" customFormat="false" ht="28.35" hidden="false" customHeight="false" outlineLevel="0" collapsed="false">
      <c r="A1369" s="4" t="n">
        <v>74</v>
      </c>
      <c r="B1369" s="4" t="s">
        <v>2055</v>
      </c>
      <c r="C1369" s="4" t="s">
        <v>395</v>
      </c>
      <c r="D1369" s="4" t="s">
        <v>3507</v>
      </c>
      <c r="E1369" s="4" t="s">
        <v>474</v>
      </c>
      <c r="F1369" s="4" t="s">
        <v>506</v>
      </c>
    </row>
    <row r="1370" customFormat="false" ht="28.35" hidden="false" customHeight="false" outlineLevel="0" collapsed="false">
      <c r="A1370" s="4" t="n">
        <v>74</v>
      </c>
      <c r="B1370" s="4" t="s">
        <v>2055</v>
      </c>
      <c r="C1370" s="4" t="s">
        <v>396</v>
      </c>
      <c r="D1370" s="4" t="s">
        <v>3533</v>
      </c>
      <c r="E1370" s="4"/>
      <c r="F1370" s="4" t="s">
        <v>2068</v>
      </c>
    </row>
    <row r="1371" customFormat="false" ht="41.75" hidden="false" customHeight="false" outlineLevel="0" collapsed="false">
      <c r="A1371" s="4" t="n">
        <v>74</v>
      </c>
      <c r="B1371" s="4" t="s">
        <v>2055</v>
      </c>
      <c r="C1371" s="4" t="s">
        <v>403</v>
      </c>
      <c r="D1371" s="4" t="s">
        <v>3481</v>
      </c>
      <c r="E1371" s="4" t="s">
        <v>476</v>
      </c>
      <c r="F1371" s="4" t="s">
        <v>2069</v>
      </c>
    </row>
    <row r="1372" customFormat="false" ht="28.35" hidden="false" customHeight="false" outlineLevel="0" collapsed="false">
      <c r="A1372" s="4" t="n">
        <v>74</v>
      </c>
      <c r="B1372" s="4" t="s">
        <v>2055</v>
      </c>
      <c r="C1372" s="4" t="s">
        <v>16</v>
      </c>
      <c r="D1372" s="4" t="s">
        <v>3487</v>
      </c>
      <c r="E1372" s="4"/>
      <c r="F1372" s="4" t="n">
        <v>41</v>
      </c>
    </row>
    <row r="1373" customFormat="false" ht="28.35" hidden="false" customHeight="false" outlineLevel="0" collapsed="false">
      <c r="A1373" s="4" t="n">
        <v>74</v>
      </c>
      <c r="B1373" s="4" t="s">
        <v>2055</v>
      </c>
      <c r="C1373" s="4" t="s">
        <v>404</v>
      </c>
      <c r="D1373" s="4" t="s">
        <v>3488</v>
      </c>
      <c r="E1373" s="4"/>
      <c r="F1373" s="4" t="s">
        <v>964</v>
      </c>
    </row>
    <row r="1374" customFormat="false" ht="55.2" hidden="false" customHeight="false" outlineLevel="0" collapsed="false">
      <c r="A1374" s="4" t="n">
        <v>74</v>
      </c>
      <c r="B1374" s="4" t="s">
        <v>2055</v>
      </c>
      <c r="C1374" s="4" t="s">
        <v>405</v>
      </c>
      <c r="D1374" s="4" t="s">
        <v>3489</v>
      </c>
      <c r="E1374" s="4"/>
      <c r="F1374" s="4" t="s">
        <v>2070</v>
      </c>
    </row>
    <row r="1375" customFormat="false" ht="28.35" hidden="false" customHeight="false" outlineLevel="0" collapsed="false">
      <c r="A1375" s="4" t="n">
        <v>74</v>
      </c>
      <c r="B1375" s="4" t="s">
        <v>2055</v>
      </c>
      <c r="C1375" s="4" t="s">
        <v>406</v>
      </c>
      <c r="D1375" s="4" t="s">
        <v>3490</v>
      </c>
      <c r="E1375" s="4"/>
      <c r="F1375" s="4" t="s">
        <v>2071</v>
      </c>
    </row>
    <row r="1376" customFormat="false" ht="41.75" hidden="false" customHeight="false" outlineLevel="0" collapsed="false">
      <c r="A1376" s="4" t="n">
        <v>74</v>
      </c>
      <c r="B1376" s="4" t="s">
        <v>2055</v>
      </c>
      <c r="C1376" s="4" t="s">
        <v>407</v>
      </c>
      <c r="D1376" s="4" t="s">
        <v>3485</v>
      </c>
      <c r="E1376" s="4"/>
      <c r="F1376" s="4" t="s">
        <v>2072</v>
      </c>
    </row>
    <row r="1377" customFormat="false" ht="55.2" hidden="false" customHeight="false" outlineLevel="0" collapsed="false">
      <c r="A1377" s="4" t="n">
        <v>74</v>
      </c>
      <c r="B1377" s="4" t="s">
        <v>2055</v>
      </c>
      <c r="C1377" s="4" t="s">
        <v>419</v>
      </c>
      <c r="D1377" s="4" t="s">
        <v>3534</v>
      </c>
      <c r="E1377" s="4"/>
      <c r="F1377" s="4" t="s">
        <v>3650</v>
      </c>
    </row>
    <row r="1378" customFormat="false" ht="243.25" hidden="false" customHeight="false" outlineLevel="0" collapsed="false">
      <c r="A1378" s="4" t="n">
        <v>74</v>
      </c>
      <c r="B1378" s="4" t="s">
        <v>2055</v>
      </c>
      <c r="C1378" s="4" t="s">
        <v>419</v>
      </c>
      <c r="D1378" s="4" t="s">
        <v>3534</v>
      </c>
      <c r="E1378" s="4" t="s">
        <v>3650</v>
      </c>
      <c r="F1378" s="4" t="s">
        <v>2077</v>
      </c>
    </row>
    <row r="1379" customFormat="false" ht="28.35" hidden="false" customHeight="false" outlineLevel="0" collapsed="false">
      <c r="A1379" s="4" t="n">
        <v>74</v>
      </c>
      <c r="B1379" s="4" t="s">
        <v>2055</v>
      </c>
      <c r="C1379" s="4" t="s">
        <v>427</v>
      </c>
      <c r="D1379" s="4" t="s">
        <v>3464</v>
      </c>
      <c r="E1379" s="4"/>
      <c r="F1379" s="4" t="s">
        <v>24</v>
      </c>
    </row>
    <row r="1380" customFormat="false" ht="28.35" hidden="false" customHeight="false" outlineLevel="0" collapsed="false">
      <c r="A1380" s="4" t="n">
        <v>74</v>
      </c>
      <c r="B1380" s="4" t="s">
        <v>2055</v>
      </c>
      <c r="C1380" s="4" t="s">
        <v>428</v>
      </c>
      <c r="D1380" s="4" t="s">
        <v>3465</v>
      </c>
      <c r="E1380" s="4"/>
      <c r="F1380" s="4" t="s">
        <v>30</v>
      </c>
    </row>
    <row r="1381" customFormat="false" ht="28.35" hidden="false" customHeight="false" outlineLevel="0" collapsed="false">
      <c r="A1381" s="4" t="n">
        <v>74</v>
      </c>
      <c r="B1381" s="4" t="s">
        <v>2055</v>
      </c>
      <c r="C1381" s="4" t="s">
        <v>429</v>
      </c>
      <c r="D1381" s="4" t="s">
        <v>3466</v>
      </c>
      <c r="E1381" s="4"/>
      <c r="F1381" s="4" t="s">
        <v>35</v>
      </c>
    </row>
    <row r="1382" customFormat="false" ht="28.35" hidden="false" customHeight="false" outlineLevel="0" collapsed="false">
      <c r="A1382" s="4" t="n">
        <v>74</v>
      </c>
      <c r="B1382" s="4" t="s">
        <v>2055</v>
      </c>
      <c r="C1382" s="4" t="s">
        <v>430</v>
      </c>
      <c r="D1382" s="4" t="s">
        <v>3467</v>
      </c>
      <c r="E1382" s="4"/>
      <c r="F1382" s="4" t="s">
        <v>2078</v>
      </c>
    </row>
    <row r="1383" customFormat="false" ht="28.35" hidden="false" customHeight="false" outlineLevel="0" collapsed="false">
      <c r="A1383" s="4" t="n">
        <v>74</v>
      </c>
      <c r="B1383" s="4" t="s">
        <v>2055</v>
      </c>
      <c r="C1383" s="4" t="s">
        <v>431</v>
      </c>
      <c r="D1383" s="4" t="s">
        <v>3468</v>
      </c>
      <c r="E1383" s="4"/>
      <c r="F1383" s="4" t="s">
        <v>484</v>
      </c>
    </row>
    <row r="1384" customFormat="false" ht="28.35" hidden="false" customHeight="false" outlineLevel="0" collapsed="false">
      <c r="A1384" s="4" t="n">
        <v>74</v>
      </c>
      <c r="B1384" s="4" t="s">
        <v>2055</v>
      </c>
      <c r="C1384" s="4" t="s">
        <v>432</v>
      </c>
      <c r="D1384" s="4" t="s">
        <v>3469</v>
      </c>
      <c r="E1384" s="4"/>
      <c r="F1384" s="4" t="s">
        <v>664</v>
      </c>
    </row>
    <row r="1385" customFormat="false" ht="28.35" hidden="false" customHeight="false" outlineLevel="0" collapsed="false">
      <c r="A1385" s="4" t="n">
        <v>74</v>
      </c>
      <c r="B1385" s="4" t="s">
        <v>2055</v>
      </c>
      <c r="C1385" s="4" t="s">
        <v>433</v>
      </c>
      <c r="D1385" s="4" t="s">
        <v>3470</v>
      </c>
      <c r="E1385" s="4"/>
      <c r="F1385" s="4" t="s">
        <v>2079</v>
      </c>
    </row>
    <row r="1386" customFormat="false" ht="28.35" hidden="false" customHeight="false" outlineLevel="0" collapsed="false">
      <c r="A1386" s="4" t="n">
        <v>74</v>
      </c>
      <c r="B1386" s="4" t="s">
        <v>2055</v>
      </c>
      <c r="C1386" s="4" t="s">
        <v>434</v>
      </c>
      <c r="D1386" s="4" t="s">
        <v>3482</v>
      </c>
      <c r="E1386" s="4"/>
      <c r="F1386" s="4" t="s">
        <v>2080</v>
      </c>
    </row>
    <row r="1387" customFormat="false" ht="28.35" hidden="false" customHeight="false" outlineLevel="0" collapsed="false">
      <c r="A1387" s="4" t="n">
        <v>74</v>
      </c>
      <c r="B1387" s="4" t="s">
        <v>2055</v>
      </c>
      <c r="C1387" s="4" t="s">
        <v>435</v>
      </c>
      <c r="D1387" s="4" t="s">
        <v>3510</v>
      </c>
      <c r="E1387" s="4"/>
      <c r="F1387" s="4" t="s">
        <v>121</v>
      </c>
    </row>
    <row r="1388" customFormat="false" ht="28.35" hidden="false" customHeight="false" outlineLevel="0" collapsed="false">
      <c r="A1388" s="4" t="n">
        <v>74</v>
      </c>
      <c r="B1388" s="4" t="s">
        <v>2055</v>
      </c>
      <c r="C1388" s="4" t="s">
        <v>436</v>
      </c>
      <c r="D1388" s="4" t="s">
        <v>3471</v>
      </c>
      <c r="E1388" s="4"/>
      <c r="F1388" s="4" t="s">
        <v>120</v>
      </c>
    </row>
    <row r="1389" customFormat="false" ht="28.35" hidden="false" customHeight="false" outlineLevel="0" collapsed="false">
      <c r="A1389" s="4" t="n">
        <v>74</v>
      </c>
      <c r="B1389" s="4" t="s">
        <v>2055</v>
      </c>
      <c r="C1389" s="4" t="s">
        <v>437</v>
      </c>
      <c r="D1389" s="4" t="s">
        <v>3472</v>
      </c>
      <c r="E1389" s="4"/>
      <c r="F1389" s="4" t="n">
        <v>10</v>
      </c>
    </row>
    <row r="1390" customFormat="false" ht="28.35" hidden="false" customHeight="false" outlineLevel="0" collapsed="false">
      <c r="A1390" s="4" t="n">
        <v>74</v>
      </c>
      <c r="B1390" s="4" t="s">
        <v>2055</v>
      </c>
      <c r="C1390" s="4" t="s">
        <v>440</v>
      </c>
      <c r="D1390" s="4" t="s">
        <v>3491</v>
      </c>
      <c r="E1390" s="4"/>
      <c r="F1390" s="4" t="n">
        <v>23</v>
      </c>
    </row>
    <row r="1391" customFormat="false" ht="28.35" hidden="false" customHeight="false" outlineLevel="0" collapsed="false">
      <c r="A1391" s="4" t="n">
        <v>74</v>
      </c>
      <c r="B1391" s="4" t="s">
        <v>2055</v>
      </c>
      <c r="C1391" s="4" t="s">
        <v>441</v>
      </c>
      <c r="D1391" s="4" t="s">
        <v>3492</v>
      </c>
      <c r="E1391" s="4"/>
      <c r="F1391" s="4" t="n">
        <v>13</v>
      </c>
    </row>
    <row r="1392" customFormat="false" ht="28.35" hidden="false" customHeight="false" outlineLevel="0" collapsed="false">
      <c r="A1392" s="4" t="n">
        <v>74</v>
      </c>
      <c r="B1392" s="4" t="s">
        <v>2055</v>
      </c>
      <c r="C1392" s="4" t="s">
        <v>442</v>
      </c>
      <c r="D1392" s="4" t="s">
        <v>3493</v>
      </c>
      <c r="E1392" s="4"/>
      <c r="F1392" s="4" t="n">
        <v>4</v>
      </c>
    </row>
    <row r="1393" customFormat="false" ht="28.35" hidden="false" customHeight="false" outlineLevel="0" collapsed="false">
      <c r="A1393" s="4" t="n">
        <v>74</v>
      </c>
      <c r="B1393" s="4" t="s">
        <v>2055</v>
      </c>
      <c r="C1393" s="4" t="s">
        <v>443</v>
      </c>
      <c r="D1393" s="4" t="s">
        <v>3494</v>
      </c>
      <c r="E1393" s="4"/>
      <c r="F1393" s="4" t="n">
        <v>40</v>
      </c>
    </row>
    <row r="1394" customFormat="false" ht="28.35" hidden="false" customHeight="false" outlineLevel="0" collapsed="false">
      <c r="A1394" s="4" t="n">
        <v>74</v>
      </c>
      <c r="B1394" s="4" t="s">
        <v>2055</v>
      </c>
      <c r="C1394" s="4" t="s">
        <v>445</v>
      </c>
      <c r="D1394" s="4" t="s">
        <v>3496</v>
      </c>
      <c r="E1394" s="4"/>
      <c r="F1394" s="4" t="n">
        <v>1</v>
      </c>
    </row>
    <row r="1395" customFormat="false" ht="28.35" hidden="false" customHeight="false" outlineLevel="0" collapsed="false">
      <c r="A1395" s="4" t="n">
        <v>74</v>
      </c>
      <c r="B1395" s="4" t="s">
        <v>2055</v>
      </c>
      <c r="C1395" s="4" t="s">
        <v>447</v>
      </c>
      <c r="D1395" s="4" t="s">
        <v>3498</v>
      </c>
      <c r="E1395" s="4"/>
      <c r="F1395" s="4" t="s">
        <v>2081</v>
      </c>
    </row>
    <row r="1396" customFormat="false" ht="82.05" hidden="false" customHeight="false" outlineLevel="0" collapsed="false">
      <c r="A1396" s="4" t="n">
        <v>74</v>
      </c>
      <c r="B1396" s="4" t="s">
        <v>2055</v>
      </c>
      <c r="C1396" s="4" t="s">
        <v>448</v>
      </c>
      <c r="D1396" s="4" t="s">
        <v>3499</v>
      </c>
      <c r="E1396" s="4"/>
      <c r="F1396" s="4" t="s">
        <v>2082</v>
      </c>
    </row>
    <row r="1397" customFormat="false" ht="28.35" hidden="false" customHeight="false" outlineLevel="0" collapsed="false">
      <c r="A1397" s="4" t="n">
        <v>74</v>
      </c>
      <c r="B1397" s="4" t="s">
        <v>2055</v>
      </c>
      <c r="C1397" s="4" t="s">
        <v>449</v>
      </c>
      <c r="D1397" s="4" t="s">
        <v>3500</v>
      </c>
      <c r="E1397" s="4"/>
      <c r="F1397" s="4" t="s">
        <v>2071</v>
      </c>
    </row>
    <row r="1398" customFormat="false" ht="122.35" hidden="false" customHeight="false" outlineLevel="0" collapsed="false">
      <c r="A1398" s="4" t="n">
        <v>74</v>
      </c>
      <c r="B1398" s="4" t="s">
        <v>2055</v>
      </c>
      <c r="C1398" s="4" t="s">
        <v>450</v>
      </c>
      <c r="D1398" s="4" t="s">
        <v>3501</v>
      </c>
      <c r="E1398" s="4"/>
      <c r="F1398" s="4" t="s">
        <v>2083</v>
      </c>
    </row>
    <row r="1399" customFormat="false" ht="350.7" hidden="false" customHeight="false" outlineLevel="0" collapsed="false">
      <c r="A1399" s="4" t="n">
        <v>75</v>
      </c>
      <c r="B1399" s="4" t="s">
        <v>2084</v>
      </c>
      <c r="C1399" s="4" t="s">
        <v>380</v>
      </c>
      <c r="D1399" s="4" t="s">
        <v>3474</v>
      </c>
      <c r="E1399" s="4" t="s">
        <v>3651</v>
      </c>
      <c r="F1399" s="4" t="s">
        <v>2091</v>
      </c>
    </row>
    <row r="1400" customFormat="false" ht="15" hidden="false" customHeight="false" outlineLevel="0" collapsed="false">
      <c r="A1400" s="4" t="n">
        <v>75</v>
      </c>
      <c r="B1400" s="4" t="s">
        <v>2084</v>
      </c>
      <c r="C1400" s="4" t="s">
        <v>387</v>
      </c>
      <c r="D1400" s="4" t="s">
        <v>3476</v>
      </c>
      <c r="E1400" s="4"/>
      <c r="F1400" s="4" t="n">
        <v>703</v>
      </c>
    </row>
    <row r="1401" customFormat="false" ht="15" hidden="false" customHeight="false" outlineLevel="0" collapsed="false">
      <c r="A1401" s="4" t="n">
        <v>75</v>
      </c>
      <c r="B1401" s="4" t="s">
        <v>2084</v>
      </c>
      <c r="C1401" s="4" t="s">
        <v>388</v>
      </c>
      <c r="D1401" s="4" t="s">
        <v>3477</v>
      </c>
      <c r="E1401" s="4"/>
      <c r="F1401" s="4" t="s">
        <v>2025</v>
      </c>
    </row>
    <row r="1402" customFormat="false" ht="68.65" hidden="false" customHeight="false" outlineLevel="0" collapsed="false">
      <c r="A1402" s="4" t="n">
        <v>75</v>
      </c>
      <c r="B1402" s="4" t="s">
        <v>2084</v>
      </c>
      <c r="C1402" s="4" t="s">
        <v>389</v>
      </c>
      <c r="D1402" s="4" t="s">
        <v>3478</v>
      </c>
      <c r="E1402" s="4" t="s">
        <v>472</v>
      </c>
      <c r="F1402" s="4" t="s">
        <v>2092</v>
      </c>
    </row>
    <row r="1403" customFormat="false" ht="28.35" hidden="false" customHeight="false" outlineLevel="0" collapsed="false">
      <c r="A1403" s="4" t="n">
        <v>75</v>
      </c>
      <c r="B1403" s="4" t="s">
        <v>2084</v>
      </c>
      <c r="C1403" s="4" t="s">
        <v>390</v>
      </c>
      <c r="D1403" s="4" t="s">
        <v>3479</v>
      </c>
      <c r="E1403" s="4" t="s">
        <v>473</v>
      </c>
      <c r="F1403" s="4" t="s">
        <v>503</v>
      </c>
    </row>
    <row r="1404" customFormat="false" ht="41.75" hidden="false" customHeight="false" outlineLevel="0" collapsed="false">
      <c r="A1404" s="4" t="n">
        <v>75</v>
      </c>
      <c r="B1404" s="4" t="s">
        <v>2084</v>
      </c>
      <c r="C1404" s="4" t="s">
        <v>391</v>
      </c>
      <c r="D1404" s="4" t="s">
        <v>3480</v>
      </c>
      <c r="E1404" s="4"/>
      <c r="F1404" s="4" t="s">
        <v>2093</v>
      </c>
    </row>
    <row r="1405" customFormat="false" ht="28.35" hidden="false" customHeight="false" outlineLevel="0" collapsed="false">
      <c r="A1405" s="4" t="n">
        <v>75</v>
      </c>
      <c r="B1405" s="4" t="s">
        <v>2084</v>
      </c>
      <c r="C1405" s="4" t="s">
        <v>397</v>
      </c>
      <c r="D1405" s="4" t="s">
        <v>3553</v>
      </c>
      <c r="E1405" s="4"/>
      <c r="F1405" s="4" t="n">
        <v>8.825436</v>
      </c>
    </row>
    <row r="1406" customFormat="false" ht="15" hidden="false" customHeight="false" outlineLevel="0" collapsed="false">
      <c r="A1406" s="4" t="n">
        <v>75</v>
      </c>
      <c r="B1406" s="4" t="s">
        <v>2084</v>
      </c>
      <c r="C1406" s="4" t="s">
        <v>398</v>
      </c>
      <c r="D1406" s="4" t="s">
        <v>3554</v>
      </c>
      <c r="E1406" s="4"/>
      <c r="F1406" s="4" t="n">
        <v>2026</v>
      </c>
    </row>
    <row r="1407" customFormat="false" ht="15" hidden="false" customHeight="false" outlineLevel="0" collapsed="false">
      <c r="A1407" s="4" t="n">
        <v>75</v>
      </c>
      <c r="B1407" s="4" t="s">
        <v>2084</v>
      </c>
      <c r="C1407" s="4" t="s">
        <v>399</v>
      </c>
      <c r="D1407" s="4" t="s">
        <v>3555</v>
      </c>
      <c r="E1407" s="4"/>
      <c r="F1407" s="4" t="s">
        <v>2030</v>
      </c>
    </row>
    <row r="1408" customFormat="false" ht="55.2" hidden="false" customHeight="false" outlineLevel="0" collapsed="false">
      <c r="A1408" s="4" t="n">
        <v>75</v>
      </c>
      <c r="B1408" s="4" t="s">
        <v>2084</v>
      </c>
      <c r="C1408" s="4" t="s">
        <v>400</v>
      </c>
      <c r="D1408" s="4" t="s">
        <v>3556</v>
      </c>
      <c r="E1408" s="4"/>
      <c r="F1408" s="4" t="s">
        <v>2097</v>
      </c>
    </row>
    <row r="1409" customFormat="false" ht="41.75" hidden="false" customHeight="false" outlineLevel="0" collapsed="false">
      <c r="A1409" s="4" t="n">
        <v>75</v>
      </c>
      <c r="B1409" s="4" t="s">
        <v>2084</v>
      </c>
      <c r="C1409" s="4" t="s">
        <v>401</v>
      </c>
      <c r="D1409" s="4" t="s">
        <v>3557</v>
      </c>
      <c r="E1409" s="4"/>
      <c r="F1409" s="4" t="s">
        <v>2098</v>
      </c>
    </row>
    <row r="1410" customFormat="false" ht="28.35" hidden="false" customHeight="false" outlineLevel="0" collapsed="false">
      <c r="A1410" s="4" t="n">
        <v>75</v>
      </c>
      <c r="B1410" s="4" t="s">
        <v>2084</v>
      </c>
      <c r="C1410" s="4" t="s">
        <v>402</v>
      </c>
      <c r="D1410" s="4" t="s">
        <v>3508</v>
      </c>
      <c r="E1410" s="4" t="s">
        <v>475</v>
      </c>
      <c r="F1410" s="4" t="s">
        <v>2033</v>
      </c>
    </row>
    <row r="1411" customFormat="false" ht="41.75" hidden="false" customHeight="false" outlineLevel="0" collapsed="false">
      <c r="A1411" s="4" t="n">
        <v>75</v>
      </c>
      <c r="B1411" s="4" t="s">
        <v>2084</v>
      </c>
      <c r="C1411" s="4" t="s">
        <v>403</v>
      </c>
      <c r="D1411" s="4" t="s">
        <v>3481</v>
      </c>
      <c r="E1411" s="4" t="s">
        <v>476</v>
      </c>
      <c r="F1411" s="4" t="s">
        <v>3652</v>
      </c>
    </row>
    <row r="1412" customFormat="false" ht="68.65" hidden="false" customHeight="false" outlineLevel="0" collapsed="false">
      <c r="A1412" s="4" t="n">
        <v>75</v>
      </c>
      <c r="B1412" s="4" t="s">
        <v>2084</v>
      </c>
      <c r="C1412" s="4" t="s">
        <v>403</v>
      </c>
      <c r="D1412" s="4" t="s">
        <v>3481</v>
      </c>
      <c r="E1412" s="4" t="s">
        <v>3652</v>
      </c>
      <c r="F1412" s="4" t="s">
        <v>2099</v>
      </c>
    </row>
    <row r="1413" customFormat="false" ht="82.05" hidden="false" customHeight="false" outlineLevel="0" collapsed="false">
      <c r="A1413" s="4" t="n">
        <v>75</v>
      </c>
      <c r="B1413" s="4" t="s">
        <v>2084</v>
      </c>
      <c r="C1413" s="4" t="s">
        <v>407</v>
      </c>
      <c r="D1413" s="4" t="s">
        <v>3485</v>
      </c>
      <c r="E1413" s="4" t="s">
        <v>3653</v>
      </c>
      <c r="F1413" s="4" t="s">
        <v>2101</v>
      </c>
    </row>
    <row r="1414" customFormat="false" ht="28.35" hidden="false" customHeight="false" outlineLevel="0" collapsed="false">
      <c r="A1414" s="4" t="n">
        <v>75</v>
      </c>
      <c r="B1414" s="4" t="s">
        <v>2084</v>
      </c>
      <c r="C1414" s="4" t="s">
        <v>417</v>
      </c>
      <c r="D1414" s="4" t="s">
        <v>3654</v>
      </c>
      <c r="E1414" s="4"/>
      <c r="F1414" s="4" t="n">
        <v>44.855925</v>
      </c>
    </row>
    <row r="1415" customFormat="false" ht="28.35" hidden="false" customHeight="false" outlineLevel="0" collapsed="false">
      <c r="A1415" s="4" t="n">
        <v>75</v>
      </c>
      <c r="B1415" s="4" t="s">
        <v>2084</v>
      </c>
      <c r="C1415" s="4" t="s">
        <v>418</v>
      </c>
      <c r="D1415" s="4" t="s">
        <v>3655</v>
      </c>
      <c r="E1415" s="4"/>
      <c r="F1415" s="4" t="s">
        <v>2106</v>
      </c>
    </row>
    <row r="1416" customFormat="false" ht="135.8" hidden="false" customHeight="false" outlineLevel="0" collapsed="false">
      <c r="A1416" s="4" t="n">
        <v>75</v>
      </c>
      <c r="B1416" s="4" t="s">
        <v>2084</v>
      </c>
      <c r="C1416" s="4" t="s">
        <v>419</v>
      </c>
      <c r="D1416" s="4" t="s">
        <v>3534</v>
      </c>
      <c r="E1416" s="4"/>
      <c r="F1416" s="4" t="s">
        <v>3656</v>
      </c>
    </row>
    <row r="1417" customFormat="false" ht="310.4" hidden="false" customHeight="false" outlineLevel="0" collapsed="false">
      <c r="A1417" s="4" t="n">
        <v>75</v>
      </c>
      <c r="B1417" s="4" t="s">
        <v>2084</v>
      </c>
      <c r="C1417" s="4" t="s">
        <v>419</v>
      </c>
      <c r="D1417" s="4" t="s">
        <v>3534</v>
      </c>
      <c r="E1417" s="4" t="s">
        <v>3656</v>
      </c>
      <c r="F1417" s="4" t="s">
        <v>2107</v>
      </c>
    </row>
    <row r="1418" customFormat="false" ht="28.35" hidden="false" customHeight="false" outlineLevel="0" collapsed="false">
      <c r="A1418" s="4" t="n">
        <v>75</v>
      </c>
      <c r="B1418" s="4" t="s">
        <v>2084</v>
      </c>
      <c r="C1418" s="4" t="s">
        <v>420</v>
      </c>
      <c r="D1418" s="4" t="s">
        <v>3647</v>
      </c>
      <c r="E1418" s="4"/>
      <c r="F1418" s="4" t="n">
        <v>44.459851</v>
      </c>
    </row>
    <row r="1419" customFormat="false" ht="28.35" hidden="false" customHeight="false" outlineLevel="0" collapsed="false">
      <c r="A1419" s="4" t="n">
        <v>75</v>
      </c>
      <c r="B1419" s="4" t="s">
        <v>2084</v>
      </c>
      <c r="C1419" s="4" t="s">
        <v>421</v>
      </c>
      <c r="D1419" s="4" t="s">
        <v>3558</v>
      </c>
      <c r="E1419" s="4"/>
      <c r="F1419" s="4" t="n">
        <v>38.427661</v>
      </c>
    </row>
    <row r="1420" customFormat="false" ht="28.35" hidden="false" customHeight="false" outlineLevel="0" collapsed="false">
      <c r="A1420" s="4" t="n">
        <v>75</v>
      </c>
      <c r="B1420" s="4" t="s">
        <v>2084</v>
      </c>
      <c r="C1420" s="4" t="s">
        <v>422</v>
      </c>
      <c r="D1420" s="4" t="s">
        <v>3648</v>
      </c>
      <c r="E1420" s="4"/>
      <c r="F1420" s="4" t="n">
        <v>38.427661</v>
      </c>
    </row>
    <row r="1421" customFormat="false" ht="41.75" hidden="false" customHeight="false" outlineLevel="0" collapsed="false">
      <c r="A1421" s="4" t="n">
        <v>75</v>
      </c>
      <c r="B1421" s="4" t="s">
        <v>2084</v>
      </c>
      <c r="C1421" s="4" t="s">
        <v>423</v>
      </c>
      <c r="D1421" s="4" t="s">
        <v>3559</v>
      </c>
      <c r="E1421" s="4"/>
      <c r="F1421" s="4" t="s">
        <v>2045</v>
      </c>
    </row>
    <row r="1422" customFormat="false" ht="28.35" hidden="false" customHeight="false" outlineLevel="0" collapsed="false">
      <c r="A1422" s="4" t="n">
        <v>75</v>
      </c>
      <c r="B1422" s="4" t="s">
        <v>2084</v>
      </c>
      <c r="C1422" s="4" t="s">
        <v>424</v>
      </c>
      <c r="D1422" s="4" t="s">
        <v>3560</v>
      </c>
      <c r="E1422" s="4"/>
      <c r="F1422" s="4" t="s">
        <v>2046</v>
      </c>
    </row>
    <row r="1423" customFormat="false" ht="41.75" hidden="false" customHeight="false" outlineLevel="0" collapsed="false">
      <c r="A1423" s="4" t="n">
        <v>75</v>
      </c>
      <c r="B1423" s="4" t="s">
        <v>2084</v>
      </c>
      <c r="C1423" s="4" t="s">
        <v>425</v>
      </c>
      <c r="D1423" s="4" t="s">
        <v>3561</v>
      </c>
      <c r="E1423" s="4"/>
      <c r="F1423" s="4" t="s">
        <v>2108</v>
      </c>
    </row>
    <row r="1424" customFormat="false" ht="122.35" hidden="false" customHeight="false" outlineLevel="0" collapsed="false">
      <c r="A1424" s="4" t="n">
        <v>75</v>
      </c>
      <c r="B1424" s="4" t="s">
        <v>2084</v>
      </c>
      <c r="C1424" s="4" t="s">
        <v>426</v>
      </c>
      <c r="D1424" s="4" t="s">
        <v>3562</v>
      </c>
      <c r="E1424" s="4"/>
      <c r="F1424" s="4" t="s">
        <v>2109</v>
      </c>
    </row>
    <row r="1425" customFormat="false" ht="15" hidden="false" customHeight="false" outlineLevel="0" collapsed="false">
      <c r="A1425" s="4" t="n">
        <v>75</v>
      </c>
      <c r="B1425" s="4" t="s">
        <v>2084</v>
      </c>
      <c r="C1425" s="4" t="s">
        <v>427</v>
      </c>
      <c r="D1425" s="4" t="s">
        <v>3464</v>
      </c>
      <c r="E1425" s="4"/>
      <c r="F1425" s="4" t="s">
        <v>24</v>
      </c>
    </row>
    <row r="1426" customFormat="false" ht="15" hidden="false" customHeight="false" outlineLevel="0" collapsed="false">
      <c r="A1426" s="4" t="n">
        <v>75</v>
      </c>
      <c r="B1426" s="4" t="s">
        <v>2084</v>
      </c>
      <c r="C1426" s="4" t="s">
        <v>428</v>
      </c>
      <c r="D1426" s="4" t="s">
        <v>3465</v>
      </c>
      <c r="E1426" s="4"/>
      <c r="F1426" s="4" t="s">
        <v>30</v>
      </c>
    </row>
    <row r="1427" customFormat="false" ht="15" hidden="false" customHeight="false" outlineLevel="0" collapsed="false">
      <c r="A1427" s="4" t="n">
        <v>75</v>
      </c>
      <c r="B1427" s="4" t="s">
        <v>2084</v>
      </c>
      <c r="C1427" s="4" t="s">
        <v>429</v>
      </c>
      <c r="D1427" s="4" t="s">
        <v>3466</v>
      </c>
      <c r="E1427" s="4"/>
      <c r="F1427" s="4" t="s">
        <v>34</v>
      </c>
    </row>
    <row r="1428" customFormat="false" ht="41.75" hidden="false" customHeight="false" outlineLevel="0" collapsed="false">
      <c r="A1428" s="4" t="n">
        <v>75</v>
      </c>
      <c r="B1428" s="4" t="s">
        <v>2084</v>
      </c>
      <c r="C1428" s="4" t="s">
        <v>430</v>
      </c>
      <c r="D1428" s="4" t="s">
        <v>3467</v>
      </c>
      <c r="E1428" s="4"/>
      <c r="F1428" s="4" t="s">
        <v>2110</v>
      </c>
    </row>
    <row r="1429" customFormat="false" ht="15" hidden="false" customHeight="false" outlineLevel="0" collapsed="false">
      <c r="A1429" s="4" t="n">
        <v>75</v>
      </c>
      <c r="B1429" s="4" t="s">
        <v>2084</v>
      </c>
      <c r="C1429" s="4" t="s">
        <v>431</v>
      </c>
      <c r="D1429" s="4" t="s">
        <v>3468</v>
      </c>
      <c r="E1429" s="4"/>
      <c r="F1429" s="4" t="s">
        <v>484</v>
      </c>
    </row>
    <row r="1430" customFormat="false" ht="15" hidden="false" customHeight="false" outlineLevel="0" collapsed="false">
      <c r="A1430" s="4" t="n">
        <v>75</v>
      </c>
      <c r="B1430" s="4" t="s">
        <v>2084</v>
      </c>
      <c r="C1430" s="4" t="s">
        <v>432</v>
      </c>
      <c r="D1430" s="4" t="s">
        <v>3469</v>
      </c>
      <c r="E1430" s="4"/>
      <c r="F1430" s="4" t="s">
        <v>524</v>
      </c>
    </row>
    <row r="1431" customFormat="false" ht="28.35" hidden="false" customHeight="false" outlineLevel="0" collapsed="false">
      <c r="A1431" s="4" t="n">
        <v>75</v>
      </c>
      <c r="B1431" s="4" t="s">
        <v>2084</v>
      </c>
      <c r="C1431" s="4" t="s">
        <v>433</v>
      </c>
      <c r="D1431" s="4" t="s">
        <v>3470</v>
      </c>
      <c r="E1431" s="4"/>
      <c r="F1431" s="4" t="s">
        <v>2111</v>
      </c>
    </row>
    <row r="1432" customFormat="false" ht="15" hidden="false" customHeight="false" outlineLevel="0" collapsed="false">
      <c r="A1432" s="4" t="n">
        <v>75</v>
      </c>
      <c r="B1432" s="4" t="s">
        <v>2084</v>
      </c>
      <c r="C1432" s="4" t="s">
        <v>434</v>
      </c>
      <c r="D1432" s="4" t="s">
        <v>3482</v>
      </c>
      <c r="E1432" s="4"/>
      <c r="F1432" s="4" t="s">
        <v>2112</v>
      </c>
    </row>
    <row r="1433" customFormat="false" ht="15" hidden="false" customHeight="false" outlineLevel="0" collapsed="false">
      <c r="A1433" s="4" t="n">
        <v>75</v>
      </c>
      <c r="B1433" s="4" t="s">
        <v>2084</v>
      </c>
      <c r="C1433" s="4" t="s">
        <v>435</v>
      </c>
      <c r="D1433" s="4" t="s">
        <v>3510</v>
      </c>
      <c r="E1433" s="4"/>
      <c r="F1433" s="4" t="s">
        <v>79</v>
      </c>
    </row>
    <row r="1434" customFormat="false" ht="15" hidden="false" customHeight="false" outlineLevel="0" collapsed="false">
      <c r="A1434" s="4" t="n">
        <v>75</v>
      </c>
      <c r="B1434" s="4" t="s">
        <v>2084</v>
      </c>
      <c r="C1434" s="4" t="s">
        <v>436</v>
      </c>
      <c r="D1434" s="4" t="s">
        <v>3471</v>
      </c>
      <c r="E1434" s="4"/>
      <c r="F1434" s="4" t="s">
        <v>78</v>
      </c>
    </row>
    <row r="1435" customFormat="false" ht="28.35" hidden="false" customHeight="false" outlineLevel="0" collapsed="false">
      <c r="A1435" s="4" t="n">
        <v>75</v>
      </c>
      <c r="B1435" s="4" t="s">
        <v>2084</v>
      </c>
      <c r="C1435" s="4" t="s">
        <v>437</v>
      </c>
      <c r="D1435" s="4" t="s">
        <v>3472</v>
      </c>
      <c r="E1435" s="4"/>
      <c r="F1435" s="4" t="n">
        <v>12</v>
      </c>
    </row>
    <row r="1436" customFormat="false" ht="28.35" hidden="false" customHeight="false" outlineLevel="0" collapsed="false">
      <c r="A1436" s="4" t="n">
        <v>75</v>
      </c>
      <c r="B1436" s="4" t="s">
        <v>2084</v>
      </c>
      <c r="C1436" s="4" t="s">
        <v>440</v>
      </c>
      <c r="D1436" s="4" t="s">
        <v>3491</v>
      </c>
      <c r="E1436" s="4"/>
      <c r="F1436" s="4" t="n">
        <v>446</v>
      </c>
    </row>
    <row r="1437" customFormat="false" ht="28.35" hidden="false" customHeight="false" outlineLevel="0" collapsed="false">
      <c r="A1437" s="4" t="n">
        <v>75</v>
      </c>
      <c r="B1437" s="4" t="s">
        <v>2084</v>
      </c>
      <c r="C1437" s="4" t="s">
        <v>441</v>
      </c>
      <c r="D1437" s="4" t="s">
        <v>3492</v>
      </c>
      <c r="E1437" s="4"/>
      <c r="F1437" s="4" t="n">
        <v>333</v>
      </c>
    </row>
    <row r="1438" customFormat="false" ht="15" hidden="false" customHeight="false" outlineLevel="0" collapsed="false">
      <c r="A1438" s="4" t="n">
        <v>75</v>
      </c>
      <c r="B1438" s="4" t="s">
        <v>2084</v>
      </c>
      <c r="C1438" s="4" t="s">
        <v>442</v>
      </c>
      <c r="D1438" s="4" t="s">
        <v>3493</v>
      </c>
      <c r="E1438" s="4"/>
      <c r="F1438" s="4" t="n">
        <v>52</v>
      </c>
    </row>
    <row r="1439" customFormat="false" ht="15" hidden="false" customHeight="false" outlineLevel="0" collapsed="false">
      <c r="A1439" s="4" t="n">
        <v>75</v>
      </c>
      <c r="B1439" s="4" t="s">
        <v>2084</v>
      </c>
      <c r="C1439" s="4" t="s">
        <v>443</v>
      </c>
      <c r="D1439" s="4" t="s">
        <v>3494</v>
      </c>
      <c r="E1439" s="4"/>
      <c r="F1439" s="4" t="n">
        <v>831</v>
      </c>
    </row>
    <row r="1440" customFormat="false" ht="15" hidden="false" customHeight="false" outlineLevel="0" collapsed="false">
      <c r="A1440" s="4" t="n">
        <v>75</v>
      </c>
      <c r="B1440" s="4" t="s">
        <v>2084</v>
      </c>
      <c r="C1440" s="4" t="s">
        <v>445</v>
      </c>
      <c r="D1440" s="4" t="s">
        <v>3496</v>
      </c>
      <c r="E1440" s="4"/>
      <c r="F1440" s="4" t="n">
        <v>1</v>
      </c>
    </row>
    <row r="1441" customFormat="false" ht="28.35" hidden="false" customHeight="false" outlineLevel="0" collapsed="false">
      <c r="A1441" s="4" t="n">
        <v>75</v>
      </c>
      <c r="B1441" s="4" t="s">
        <v>2084</v>
      </c>
      <c r="C1441" s="4" t="s">
        <v>447</v>
      </c>
      <c r="D1441" s="4" t="s">
        <v>3498</v>
      </c>
      <c r="E1441" s="4"/>
      <c r="F1441" s="4" t="s">
        <v>2113</v>
      </c>
    </row>
    <row r="1442" customFormat="false" ht="82.05" hidden="false" customHeight="false" outlineLevel="0" collapsed="false">
      <c r="A1442" s="4" t="n">
        <v>75</v>
      </c>
      <c r="B1442" s="4" t="s">
        <v>2084</v>
      </c>
      <c r="C1442" s="4" t="s">
        <v>448</v>
      </c>
      <c r="D1442" s="4" t="s">
        <v>3499</v>
      </c>
      <c r="E1442" s="4"/>
      <c r="F1442" s="4" t="s">
        <v>2082</v>
      </c>
    </row>
    <row r="1443" customFormat="false" ht="28.35" hidden="false" customHeight="false" outlineLevel="0" collapsed="false">
      <c r="A1443" s="4" t="n">
        <v>75</v>
      </c>
      <c r="B1443" s="4" t="s">
        <v>2084</v>
      </c>
      <c r="C1443" s="4" t="s">
        <v>449</v>
      </c>
      <c r="D1443" s="4" t="s">
        <v>3500</v>
      </c>
      <c r="E1443" s="4"/>
      <c r="F1443" s="4" t="s">
        <v>2114</v>
      </c>
    </row>
    <row r="1444" customFormat="false" ht="162.65" hidden="false" customHeight="false" outlineLevel="0" collapsed="false">
      <c r="A1444" s="4" t="n">
        <v>75</v>
      </c>
      <c r="B1444" s="4" t="s">
        <v>2084</v>
      </c>
      <c r="C1444" s="4" t="s">
        <v>450</v>
      </c>
      <c r="D1444" s="4" t="s">
        <v>3501</v>
      </c>
      <c r="E1444" s="4"/>
      <c r="F1444" s="4" t="s">
        <v>2115</v>
      </c>
    </row>
    <row r="1445" customFormat="false" ht="28.35" hidden="false" customHeight="false" outlineLevel="0" collapsed="false">
      <c r="A1445" s="4" t="n">
        <v>76</v>
      </c>
      <c r="B1445" s="4" t="s">
        <v>2117</v>
      </c>
      <c r="C1445" s="4" t="s">
        <v>365</v>
      </c>
      <c r="D1445" s="4" t="s">
        <v>3547</v>
      </c>
      <c r="E1445" s="4"/>
      <c r="F1445" s="4" t="n">
        <v>4.713195</v>
      </c>
    </row>
    <row r="1446" customFormat="false" ht="28.35" hidden="false" customHeight="false" outlineLevel="0" collapsed="false">
      <c r="A1446" s="4" t="n">
        <v>76</v>
      </c>
      <c r="B1446" s="4" t="s">
        <v>2117</v>
      </c>
      <c r="C1446" s="4" t="s">
        <v>366</v>
      </c>
      <c r="D1446" s="4" t="s">
        <v>3548</v>
      </c>
      <c r="E1446" s="4"/>
      <c r="F1446" s="4" t="n">
        <v>2026</v>
      </c>
    </row>
    <row r="1447" customFormat="false" ht="28.35" hidden="false" customHeight="false" outlineLevel="0" collapsed="false">
      <c r="A1447" s="4" t="n">
        <v>76</v>
      </c>
      <c r="B1447" s="4" t="s">
        <v>2117</v>
      </c>
      <c r="C1447" s="4" t="s">
        <v>367</v>
      </c>
      <c r="D1447" s="4" t="s">
        <v>3549</v>
      </c>
      <c r="E1447" s="4"/>
      <c r="F1447" s="4" t="s">
        <v>5</v>
      </c>
    </row>
    <row r="1448" customFormat="false" ht="28.35" hidden="false" customHeight="false" outlineLevel="0" collapsed="false">
      <c r="A1448" s="4" t="n">
        <v>76</v>
      </c>
      <c r="B1448" s="4" t="s">
        <v>2117</v>
      </c>
      <c r="C1448" s="4" t="s">
        <v>368</v>
      </c>
      <c r="D1448" s="4" t="s">
        <v>3550</v>
      </c>
      <c r="E1448" s="4"/>
      <c r="F1448" s="4" t="s">
        <v>2018</v>
      </c>
    </row>
    <row r="1449" customFormat="false" ht="28.35" hidden="false" customHeight="false" outlineLevel="0" collapsed="false">
      <c r="A1449" s="4" t="n">
        <v>76</v>
      </c>
      <c r="B1449" s="4" t="s">
        <v>2117</v>
      </c>
      <c r="C1449" s="4" t="s">
        <v>369</v>
      </c>
      <c r="D1449" s="4" t="s">
        <v>3503</v>
      </c>
      <c r="E1449" s="4" t="s">
        <v>780</v>
      </c>
      <c r="F1449" s="4" t="s">
        <v>494</v>
      </c>
    </row>
    <row r="1450" customFormat="false" ht="28.35" hidden="false" customHeight="false" outlineLevel="0" collapsed="false">
      <c r="A1450" s="4" t="n">
        <v>76</v>
      </c>
      <c r="B1450" s="4" t="s">
        <v>2117</v>
      </c>
      <c r="C1450" s="4" t="s">
        <v>370</v>
      </c>
      <c r="D1450" s="4" t="s">
        <v>3649</v>
      </c>
      <c r="E1450" s="4"/>
      <c r="F1450" s="4" t="n">
        <v>4.713195</v>
      </c>
    </row>
    <row r="1451" customFormat="false" ht="82.05" hidden="false" customHeight="false" outlineLevel="0" collapsed="false">
      <c r="A1451" s="4" t="n">
        <v>76</v>
      </c>
      <c r="B1451" s="4" t="s">
        <v>2117</v>
      </c>
      <c r="C1451" s="4" t="s">
        <v>372</v>
      </c>
      <c r="D1451" s="4" t="s">
        <v>3504</v>
      </c>
      <c r="E1451" s="4" t="s">
        <v>3657</v>
      </c>
      <c r="F1451" s="4" t="s">
        <v>2122</v>
      </c>
    </row>
    <row r="1452" customFormat="false" ht="350.7" hidden="false" customHeight="false" outlineLevel="0" collapsed="false">
      <c r="A1452" s="4" t="n">
        <v>76</v>
      </c>
      <c r="B1452" s="4" t="s">
        <v>2117</v>
      </c>
      <c r="C1452" s="4" t="s">
        <v>380</v>
      </c>
      <c r="D1452" s="4" t="s">
        <v>3474</v>
      </c>
      <c r="E1452" s="4" t="s">
        <v>3658</v>
      </c>
      <c r="F1452" s="4" t="s">
        <v>2124</v>
      </c>
    </row>
    <row r="1453" customFormat="false" ht="28.35" hidden="false" customHeight="false" outlineLevel="0" collapsed="false">
      <c r="A1453" s="4" t="n">
        <v>76</v>
      </c>
      <c r="B1453" s="4" t="s">
        <v>2117</v>
      </c>
      <c r="C1453" s="4" t="s">
        <v>387</v>
      </c>
      <c r="D1453" s="4" t="s">
        <v>3476</v>
      </c>
      <c r="E1453" s="4"/>
      <c r="F1453" s="4" t="n">
        <v>43</v>
      </c>
    </row>
    <row r="1454" customFormat="false" ht="28.35" hidden="false" customHeight="false" outlineLevel="0" collapsed="false">
      <c r="A1454" s="4" t="n">
        <v>76</v>
      </c>
      <c r="B1454" s="4" t="s">
        <v>2117</v>
      </c>
      <c r="C1454" s="4" t="s">
        <v>388</v>
      </c>
      <c r="D1454" s="4" t="s">
        <v>3477</v>
      </c>
      <c r="E1454" s="4"/>
      <c r="F1454" s="4" t="s">
        <v>2125</v>
      </c>
    </row>
    <row r="1455" customFormat="false" ht="95.5" hidden="false" customHeight="false" outlineLevel="0" collapsed="false">
      <c r="A1455" s="4" t="n">
        <v>76</v>
      </c>
      <c r="B1455" s="4" t="s">
        <v>2117</v>
      </c>
      <c r="C1455" s="4" t="s">
        <v>389</v>
      </c>
      <c r="D1455" s="4" t="s">
        <v>3478</v>
      </c>
      <c r="E1455" s="4" t="s">
        <v>472</v>
      </c>
      <c r="F1455" s="4" t="s">
        <v>2126</v>
      </c>
    </row>
    <row r="1456" customFormat="false" ht="28.35" hidden="false" customHeight="false" outlineLevel="0" collapsed="false">
      <c r="A1456" s="4" t="n">
        <v>76</v>
      </c>
      <c r="B1456" s="4" t="s">
        <v>2117</v>
      </c>
      <c r="C1456" s="4" t="s">
        <v>390</v>
      </c>
      <c r="D1456" s="4" t="s">
        <v>3479</v>
      </c>
      <c r="E1456" s="4" t="s">
        <v>473</v>
      </c>
      <c r="F1456" s="4" t="s">
        <v>503</v>
      </c>
    </row>
    <row r="1457" customFormat="false" ht="55.2" hidden="false" customHeight="false" outlineLevel="0" collapsed="false">
      <c r="A1457" s="4" t="n">
        <v>76</v>
      </c>
      <c r="B1457" s="4" t="s">
        <v>2117</v>
      </c>
      <c r="C1457" s="4" t="s">
        <v>391</v>
      </c>
      <c r="D1457" s="4" t="s">
        <v>3480</v>
      </c>
      <c r="E1457" s="4"/>
      <c r="F1457" s="4" t="s">
        <v>2127</v>
      </c>
    </row>
    <row r="1458" customFormat="false" ht="28.35" hidden="false" customHeight="false" outlineLevel="0" collapsed="false">
      <c r="A1458" s="4" t="n">
        <v>76</v>
      </c>
      <c r="B1458" s="4" t="s">
        <v>2117</v>
      </c>
      <c r="C1458" s="4" t="s">
        <v>392</v>
      </c>
      <c r="D1458" s="4" t="s">
        <v>3530</v>
      </c>
      <c r="E1458" s="4"/>
      <c r="F1458" s="4" t="n">
        <v>3.480037</v>
      </c>
    </row>
    <row r="1459" customFormat="false" ht="28.35" hidden="false" customHeight="false" outlineLevel="0" collapsed="false">
      <c r="A1459" s="4" t="n">
        <v>76</v>
      </c>
      <c r="B1459" s="4" t="s">
        <v>2117</v>
      </c>
      <c r="C1459" s="4" t="s">
        <v>393</v>
      </c>
      <c r="D1459" s="4" t="s">
        <v>3531</v>
      </c>
      <c r="E1459" s="4"/>
      <c r="F1459" s="4" t="n">
        <v>2026</v>
      </c>
    </row>
    <row r="1460" customFormat="false" ht="28.35" hidden="false" customHeight="false" outlineLevel="0" collapsed="false">
      <c r="A1460" s="4" t="n">
        <v>76</v>
      </c>
      <c r="B1460" s="4" t="s">
        <v>2117</v>
      </c>
      <c r="C1460" s="4" t="s">
        <v>394</v>
      </c>
      <c r="D1460" s="4" t="s">
        <v>3532</v>
      </c>
      <c r="E1460" s="4"/>
      <c r="F1460" s="4" t="s">
        <v>2128</v>
      </c>
    </row>
    <row r="1461" customFormat="false" ht="28.35" hidden="false" customHeight="false" outlineLevel="0" collapsed="false">
      <c r="A1461" s="4" t="n">
        <v>76</v>
      </c>
      <c r="B1461" s="4" t="s">
        <v>2117</v>
      </c>
      <c r="C1461" s="4" t="s">
        <v>395</v>
      </c>
      <c r="D1461" s="4" t="s">
        <v>3507</v>
      </c>
      <c r="E1461" s="4" t="s">
        <v>474</v>
      </c>
      <c r="F1461" s="4" t="s">
        <v>506</v>
      </c>
    </row>
    <row r="1462" customFormat="false" ht="28.35" hidden="false" customHeight="false" outlineLevel="0" collapsed="false">
      <c r="A1462" s="4" t="n">
        <v>76</v>
      </c>
      <c r="B1462" s="4" t="s">
        <v>2117</v>
      </c>
      <c r="C1462" s="4" t="s">
        <v>396</v>
      </c>
      <c r="D1462" s="4" t="s">
        <v>3533</v>
      </c>
      <c r="E1462" s="4"/>
      <c r="F1462" s="4" t="s">
        <v>2129</v>
      </c>
    </row>
    <row r="1463" customFormat="false" ht="41.75" hidden="false" customHeight="false" outlineLevel="0" collapsed="false">
      <c r="A1463" s="4" t="n">
        <v>76</v>
      </c>
      <c r="B1463" s="4" t="s">
        <v>2117</v>
      </c>
      <c r="C1463" s="4" t="s">
        <v>403</v>
      </c>
      <c r="D1463" s="4" t="s">
        <v>3481</v>
      </c>
      <c r="E1463" s="4" t="s">
        <v>476</v>
      </c>
      <c r="F1463" s="4" t="s">
        <v>2069</v>
      </c>
    </row>
    <row r="1464" customFormat="false" ht="55.2" hidden="false" customHeight="false" outlineLevel="0" collapsed="false">
      <c r="A1464" s="4" t="n">
        <v>76</v>
      </c>
      <c r="B1464" s="4" t="s">
        <v>2117</v>
      </c>
      <c r="C1464" s="4" t="s">
        <v>403</v>
      </c>
      <c r="D1464" s="4" t="s">
        <v>3481</v>
      </c>
      <c r="E1464" s="4" t="s">
        <v>2069</v>
      </c>
      <c r="F1464" s="4" t="s">
        <v>2130</v>
      </c>
    </row>
    <row r="1465" customFormat="false" ht="28.35" hidden="false" customHeight="false" outlineLevel="0" collapsed="false">
      <c r="A1465" s="4" t="n">
        <v>76</v>
      </c>
      <c r="B1465" s="4" t="s">
        <v>2117</v>
      </c>
      <c r="C1465" s="4" t="s">
        <v>16</v>
      </c>
      <c r="D1465" s="4" t="s">
        <v>3487</v>
      </c>
      <c r="E1465" s="4"/>
      <c r="F1465" s="4" t="n">
        <v>52</v>
      </c>
    </row>
    <row r="1466" customFormat="false" ht="28.35" hidden="false" customHeight="false" outlineLevel="0" collapsed="false">
      <c r="A1466" s="4" t="n">
        <v>76</v>
      </c>
      <c r="B1466" s="4" t="s">
        <v>2117</v>
      </c>
      <c r="C1466" s="4" t="s">
        <v>404</v>
      </c>
      <c r="D1466" s="4" t="s">
        <v>3488</v>
      </c>
      <c r="E1466" s="4"/>
      <c r="F1466" s="4" t="s">
        <v>964</v>
      </c>
    </row>
    <row r="1467" customFormat="false" ht="55.2" hidden="false" customHeight="false" outlineLevel="0" collapsed="false">
      <c r="A1467" s="4" t="n">
        <v>76</v>
      </c>
      <c r="B1467" s="4" t="s">
        <v>2117</v>
      </c>
      <c r="C1467" s="4" t="s">
        <v>405</v>
      </c>
      <c r="D1467" s="4" t="s">
        <v>3489</v>
      </c>
      <c r="E1467" s="4"/>
      <c r="F1467" s="4" t="s">
        <v>2131</v>
      </c>
    </row>
    <row r="1468" customFormat="false" ht="28.35" hidden="false" customHeight="false" outlineLevel="0" collapsed="false">
      <c r="A1468" s="4" t="n">
        <v>76</v>
      </c>
      <c r="B1468" s="4" t="s">
        <v>2117</v>
      </c>
      <c r="C1468" s="4" t="s">
        <v>406</v>
      </c>
      <c r="D1468" s="4" t="s">
        <v>3490</v>
      </c>
      <c r="E1468" s="4"/>
      <c r="F1468" s="4" t="s">
        <v>2132</v>
      </c>
    </row>
    <row r="1469" customFormat="false" ht="55.2" hidden="false" customHeight="false" outlineLevel="0" collapsed="false">
      <c r="A1469" s="4" t="n">
        <v>76</v>
      </c>
      <c r="B1469" s="4" t="s">
        <v>2117</v>
      </c>
      <c r="C1469" s="4" t="s">
        <v>407</v>
      </c>
      <c r="D1469" s="4" t="s">
        <v>3485</v>
      </c>
      <c r="E1469" s="4"/>
      <c r="F1469" s="4" t="s">
        <v>3659</v>
      </c>
    </row>
    <row r="1470" customFormat="false" ht="122.35" hidden="false" customHeight="false" outlineLevel="0" collapsed="false">
      <c r="A1470" s="4" t="n">
        <v>76</v>
      </c>
      <c r="B1470" s="4" t="s">
        <v>2117</v>
      </c>
      <c r="C1470" s="4" t="s">
        <v>407</v>
      </c>
      <c r="D1470" s="4" t="s">
        <v>3485</v>
      </c>
      <c r="E1470" s="4" t="s">
        <v>3659</v>
      </c>
      <c r="F1470" s="4" t="s">
        <v>2133</v>
      </c>
    </row>
    <row r="1471" customFormat="false" ht="55.2" hidden="false" customHeight="false" outlineLevel="0" collapsed="false">
      <c r="A1471" s="4" t="n">
        <v>76</v>
      </c>
      <c r="B1471" s="4" t="s">
        <v>2117</v>
      </c>
      <c r="C1471" s="4" t="s">
        <v>419</v>
      </c>
      <c r="D1471" s="4" t="s">
        <v>3534</v>
      </c>
      <c r="E1471" s="4"/>
      <c r="F1471" s="4" t="s">
        <v>3660</v>
      </c>
    </row>
    <row r="1472" customFormat="false" ht="297" hidden="false" customHeight="false" outlineLevel="0" collapsed="false">
      <c r="A1472" s="4" t="n">
        <v>76</v>
      </c>
      <c r="B1472" s="4" t="s">
        <v>2117</v>
      </c>
      <c r="C1472" s="4" t="s">
        <v>419</v>
      </c>
      <c r="D1472" s="4" t="s">
        <v>3534</v>
      </c>
      <c r="E1472" s="4" t="s">
        <v>3660</v>
      </c>
      <c r="F1472" s="4" t="s">
        <v>2140</v>
      </c>
    </row>
    <row r="1473" customFormat="false" ht="28.35" hidden="false" customHeight="false" outlineLevel="0" collapsed="false">
      <c r="A1473" s="4" t="n">
        <v>76</v>
      </c>
      <c r="B1473" s="4" t="s">
        <v>2117</v>
      </c>
      <c r="C1473" s="4" t="s">
        <v>427</v>
      </c>
      <c r="D1473" s="4" t="s">
        <v>3464</v>
      </c>
      <c r="E1473" s="4"/>
      <c r="F1473" s="4" t="s">
        <v>24</v>
      </c>
    </row>
    <row r="1474" customFormat="false" ht="28.35" hidden="false" customHeight="false" outlineLevel="0" collapsed="false">
      <c r="A1474" s="4" t="n">
        <v>76</v>
      </c>
      <c r="B1474" s="4" t="s">
        <v>2117</v>
      </c>
      <c r="C1474" s="4" t="s">
        <v>428</v>
      </c>
      <c r="D1474" s="4" t="s">
        <v>3465</v>
      </c>
      <c r="E1474" s="4"/>
      <c r="F1474" s="4" t="s">
        <v>30</v>
      </c>
    </row>
    <row r="1475" customFormat="false" ht="28.35" hidden="false" customHeight="false" outlineLevel="0" collapsed="false">
      <c r="A1475" s="4" t="n">
        <v>76</v>
      </c>
      <c r="B1475" s="4" t="s">
        <v>2117</v>
      </c>
      <c r="C1475" s="4" t="s">
        <v>429</v>
      </c>
      <c r="D1475" s="4" t="s">
        <v>3466</v>
      </c>
      <c r="E1475" s="4"/>
      <c r="F1475" s="4" t="s">
        <v>37</v>
      </c>
    </row>
    <row r="1476" customFormat="false" ht="28.35" hidden="false" customHeight="false" outlineLevel="0" collapsed="false">
      <c r="A1476" s="4" t="n">
        <v>76</v>
      </c>
      <c r="B1476" s="4" t="s">
        <v>2117</v>
      </c>
      <c r="C1476" s="4" t="s">
        <v>430</v>
      </c>
      <c r="D1476" s="4" t="s">
        <v>3467</v>
      </c>
      <c r="E1476" s="4"/>
      <c r="F1476" s="4" t="s">
        <v>2141</v>
      </c>
    </row>
    <row r="1477" customFormat="false" ht="28.35" hidden="false" customHeight="false" outlineLevel="0" collapsed="false">
      <c r="A1477" s="4" t="n">
        <v>76</v>
      </c>
      <c r="B1477" s="4" t="s">
        <v>2117</v>
      </c>
      <c r="C1477" s="4" t="s">
        <v>431</v>
      </c>
      <c r="D1477" s="4" t="s">
        <v>3468</v>
      </c>
      <c r="E1477" s="4"/>
      <c r="F1477" s="4" t="s">
        <v>484</v>
      </c>
    </row>
    <row r="1478" customFormat="false" ht="28.35" hidden="false" customHeight="false" outlineLevel="0" collapsed="false">
      <c r="A1478" s="4" t="n">
        <v>76</v>
      </c>
      <c r="B1478" s="4" t="s">
        <v>2117</v>
      </c>
      <c r="C1478" s="4" t="s">
        <v>432</v>
      </c>
      <c r="D1478" s="4" t="s">
        <v>3469</v>
      </c>
      <c r="E1478" s="4"/>
      <c r="F1478" s="4" t="s">
        <v>524</v>
      </c>
    </row>
    <row r="1479" customFormat="false" ht="41.75" hidden="false" customHeight="false" outlineLevel="0" collapsed="false">
      <c r="A1479" s="4" t="n">
        <v>76</v>
      </c>
      <c r="B1479" s="4" t="s">
        <v>2117</v>
      </c>
      <c r="C1479" s="4" t="s">
        <v>433</v>
      </c>
      <c r="D1479" s="4" t="s">
        <v>3470</v>
      </c>
      <c r="E1479" s="4"/>
      <c r="F1479" s="4" t="s">
        <v>2142</v>
      </c>
    </row>
    <row r="1480" customFormat="false" ht="28.35" hidden="false" customHeight="false" outlineLevel="0" collapsed="false">
      <c r="A1480" s="4" t="n">
        <v>76</v>
      </c>
      <c r="B1480" s="4" t="s">
        <v>2117</v>
      </c>
      <c r="C1480" s="4" t="s">
        <v>434</v>
      </c>
      <c r="D1480" s="4" t="s">
        <v>3482</v>
      </c>
      <c r="E1480" s="4"/>
      <c r="F1480" s="4" t="s">
        <v>2143</v>
      </c>
    </row>
    <row r="1481" customFormat="false" ht="28.35" hidden="false" customHeight="false" outlineLevel="0" collapsed="false">
      <c r="A1481" s="4" t="n">
        <v>76</v>
      </c>
      <c r="B1481" s="4" t="s">
        <v>2117</v>
      </c>
      <c r="C1481" s="4" t="s">
        <v>435</v>
      </c>
      <c r="D1481" s="4" t="s">
        <v>3510</v>
      </c>
      <c r="E1481" s="4"/>
      <c r="F1481" s="4" t="s">
        <v>2144</v>
      </c>
    </row>
    <row r="1482" customFormat="false" ht="28.35" hidden="false" customHeight="false" outlineLevel="0" collapsed="false">
      <c r="A1482" s="4" t="n">
        <v>76</v>
      </c>
      <c r="B1482" s="4" t="s">
        <v>2117</v>
      </c>
      <c r="C1482" s="4" t="s">
        <v>436</v>
      </c>
      <c r="D1482" s="4" t="s">
        <v>3471</v>
      </c>
      <c r="E1482" s="4"/>
      <c r="F1482" s="4" t="s">
        <v>95</v>
      </c>
    </row>
    <row r="1483" customFormat="false" ht="28.35" hidden="false" customHeight="false" outlineLevel="0" collapsed="false">
      <c r="A1483" s="4" t="n">
        <v>76</v>
      </c>
      <c r="B1483" s="4" t="s">
        <v>2117</v>
      </c>
      <c r="C1483" s="4" t="s">
        <v>437</v>
      </c>
      <c r="D1483" s="4" t="s">
        <v>3472</v>
      </c>
      <c r="E1483" s="4"/>
      <c r="F1483" s="4" t="n">
        <v>13</v>
      </c>
    </row>
    <row r="1484" customFormat="false" ht="28.35" hidden="false" customHeight="false" outlineLevel="0" collapsed="false">
      <c r="A1484" s="4" t="n">
        <v>76</v>
      </c>
      <c r="B1484" s="4" t="s">
        <v>2117</v>
      </c>
      <c r="C1484" s="4" t="s">
        <v>440</v>
      </c>
      <c r="D1484" s="4" t="s">
        <v>3491</v>
      </c>
      <c r="E1484" s="4"/>
      <c r="F1484" s="4" t="n">
        <v>36</v>
      </c>
    </row>
    <row r="1485" customFormat="false" ht="28.35" hidden="false" customHeight="false" outlineLevel="0" collapsed="false">
      <c r="A1485" s="4" t="n">
        <v>76</v>
      </c>
      <c r="B1485" s="4" t="s">
        <v>2117</v>
      </c>
      <c r="C1485" s="4" t="s">
        <v>441</v>
      </c>
      <c r="D1485" s="4" t="s">
        <v>3492</v>
      </c>
      <c r="E1485" s="4"/>
      <c r="F1485" s="4" t="n">
        <v>11</v>
      </c>
    </row>
    <row r="1486" customFormat="false" ht="28.35" hidden="false" customHeight="false" outlineLevel="0" collapsed="false">
      <c r="A1486" s="4" t="n">
        <v>76</v>
      </c>
      <c r="B1486" s="4" t="s">
        <v>2117</v>
      </c>
      <c r="C1486" s="4" t="s">
        <v>442</v>
      </c>
      <c r="D1486" s="4" t="s">
        <v>3493</v>
      </c>
      <c r="E1486" s="4"/>
      <c r="F1486" s="4" t="n">
        <v>4</v>
      </c>
    </row>
    <row r="1487" customFormat="false" ht="28.35" hidden="false" customHeight="false" outlineLevel="0" collapsed="false">
      <c r="A1487" s="4" t="n">
        <v>76</v>
      </c>
      <c r="B1487" s="4" t="s">
        <v>2117</v>
      </c>
      <c r="C1487" s="4" t="s">
        <v>443</v>
      </c>
      <c r="D1487" s="4" t="s">
        <v>3494</v>
      </c>
      <c r="E1487" s="4"/>
      <c r="F1487" s="4" t="n">
        <v>51</v>
      </c>
    </row>
    <row r="1488" customFormat="false" ht="28.35" hidden="false" customHeight="false" outlineLevel="0" collapsed="false">
      <c r="A1488" s="4" t="n">
        <v>76</v>
      </c>
      <c r="B1488" s="4" t="s">
        <v>2117</v>
      </c>
      <c r="C1488" s="4" t="s">
        <v>444</v>
      </c>
      <c r="D1488" s="4" t="s">
        <v>3495</v>
      </c>
      <c r="E1488" s="4"/>
      <c r="F1488" s="4" t="n">
        <v>20</v>
      </c>
    </row>
    <row r="1489" customFormat="false" ht="28.35" hidden="false" customHeight="false" outlineLevel="0" collapsed="false">
      <c r="A1489" s="4" t="n">
        <v>76</v>
      </c>
      <c r="B1489" s="4" t="s">
        <v>2117</v>
      </c>
      <c r="C1489" s="4" t="s">
        <v>445</v>
      </c>
      <c r="D1489" s="4" t="s">
        <v>3496</v>
      </c>
      <c r="E1489" s="4"/>
      <c r="F1489" s="4" t="n">
        <v>1</v>
      </c>
    </row>
    <row r="1490" customFormat="false" ht="28.35" hidden="false" customHeight="false" outlineLevel="0" collapsed="false">
      <c r="A1490" s="4" t="n">
        <v>76</v>
      </c>
      <c r="B1490" s="4" t="s">
        <v>2117</v>
      </c>
      <c r="C1490" s="4" t="s">
        <v>446</v>
      </c>
      <c r="D1490" s="4" t="s">
        <v>3497</v>
      </c>
      <c r="E1490" s="4"/>
      <c r="F1490" s="4" t="n">
        <v>2</v>
      </c>
    </row>
    <row r="1491" customFormat="false" ht="41.75" hidden="false" customHeight="false" outlineLevel="0" collapsed="false">
      <c r="A1491" s="4" t="n">
        <v>76</v>
      </c>
      <c r="B1491" s="4" t="s">
        <v>2117</v>
      </c>
      <c r="C1491" s="4" t="s">
        <v>447</v>
      </c>
      <c r="D1491" s="4" t="s">
        <v>3498</v>
      </c>
      <c r="E1491" s="4"/>
      <c r="F1491" s="4" t="s">
        <v>2145</v>
      </c>
    </row>
    <row r="1492" customFormat="false" ht="95.5" hidden="false" customHeight="false" outlineLevel="0" collapsed="false">
      <c r="A1492" s="4" t="n">
        <v>76</v>
      </c>
      <c r="B1492" s="4" t="s">
        <v>2117</v>
      </c>
      <c r="C1492" s="4" t="s">
        <v>448</v>
      </c>
      <c r="D1492" s="4" t="s">
        <v>3499</v>
      </c>
      <c r="E1492" s="4"/>
      <c r="F1492" s="4" t="s">
        <v>2146</v>
      </c>
    </row>
    <row r="1493" customFormat="false" ht="28.35" hidden="false" customHeight="false" outlineLevel="0" collapsed="false">
      <c r="A1493" s="4" t="n">
        <v>76</v>
      </c>
      <c r="B1493" s="4" t="s">
        <v>2117</v>
      </c>
      <c r="C1493" s="4" t="s">
        <v>449</v>
      </c>
      <c r="D1493" s="4" t="s">
        <v>3500</v>
      </c>
      <c r="E1493" s="4"/>
      <c r="F1493" s="4" t="s">
        <v>2132</v>
      </c>
    </row>
    <row r="1494" customFormat="false" ht="229.85" hidden="false" customHeight="false" outlineLevel="0" collapsed="false">
      <c r="A1494" s="4" t="n">
        <v>76</v>
      </c>
      <c r="B1494" s="4" t="s">
        <v>2117</v>
      </c>
      <c r="C1494" s="4" t="s">
        <v>450</v>
      </c>
      <c r="D1494" s="4" t="s">
        <v>3501</v>
      </c>
      <c r="E1494" s="4"/>
      <c r="F1494" s="4" t="s">
        <v>2147</v>
      </c>
    </row>
    <row r="1495" customFormat="false" ht="28.35" hidden="false" customHeight="false" outlineLevel="0" collapsed="false">
      <c r="A1495" s="4" t="n">
        <v>77</v>
      </c>
      <c r="B1495" s="4" t="s">
        <v>2148</v>
      </c>
      <c r="C1495" s="4" t="s">
        <v>369</v>
      </c>
      <c r="D1495" s="4" t="s">
        <v>3503</v>
      </c>
      <c r="E1495" s="4" t="s">
        <v>780</v>
      </c>
      <c r="F1495" s="4" t="s">
        <v>643</v>
      </c>
    </row>
    <row r="1496" customFormat="false" ht="202.95" hidden="false" customHeight="false" outlineLevel="0" collapsed="false">
      <c r="A1496" s="4" t="n">
        <v>77</v>
      </c>
      <c r="B1496" s="4" t="s">
        <v>2148</v>
      </c>
      <c r="C1496" s="4" t="s">
        <v>372</v>
      </c>
      <c r="D1496" s="4" t="s">
        <v>3504</v>
      </c>
      <c r="E1496" s="4" t="s">
        <v>2390</v>
      </c>
      <c r="F1496" s="4" t="s">
        <v>2153</v>
      </c>
    </row>
    <row r="1497" customFormat="false" ht="28.35" hidden="false" customHeight="false" outlineLevel="0" collapsed="false">
      <c r="A1497" s="4" t="n">
        <v>77</v>
      </c>
      <c r="B1497" s="4" t="s">
        <v>2148</v>
      </c>
      <c r="C1497" s="4" t="s">
        <v>380</v>
      </c>
      <c r="D1497" s="4" t="s">
        <v>3474</v>
      </c>
      <c r="E1497" s="4" t="s">
        <v>2162</v>
      </c>
      <c r="F1497" s="4" t="s">
        <v>2154</v>
      </c>
    </row>
    <row r="1498" customFormat="false" ht="28.35" hidden="false" customHeight="false" outlineLevel="0" collapsed="false">
      <c r="A1498" s="4" t="n">
        <v>77</v>
      </c>
      <c r="B1498" s="4" t="s">
        <v>2148</v>
      </c>
      <c r="C1498" s="4" t="s">
        <v>390</v>
      </c>
      <c r="D1498" s="4" t="s">
        <v>3479</v>
      </c>
      <c r="E1498" s="4" t="s">
        <v>473</v>
      </c>
      <c r="F1498" s="4" t="s">
        <v>2155</v>
      </c>
    </row>
    <row r="1499" customFormat="false" ht="28.35" hidden="false" customHeight="false" outlineLevel="0" collapsed="false">
      <c r="A1499" s="4" t="n">
        <v>77</v>
      </c>
      <c r="B1499" s="4" t="s">
        <v>2148</v>
      </c>
      <c r="C1499" s="4" t="s">
        <v>395</v>
      </c>
      <c r="D1499" s="4" t="s">
        <v>3507</v>
      </c>
      <c r="E1499" s="4" t="s">
        <v>474</v>
      </c>
      <c r="F1499" s="4" t="s">
        <v>2156</v>
      </c>
    </row>
    <row r="1500" customFormat="false" ht="28.35" hidden="false" customHeight="false" outlineLevel="0" collapsed="false">
      <c r="A1500" s="4" t="n">
        <v>77</v>
      </c>
      <c r="B1500" s="4" t="s">
        <v>2148</v>
      </c>
      <c r="C1500" s="4" t="s">
        <v>402</v>
      </c>
      <c r="D1500" s="4" t="s">
        <v>3508</v>
      </c>
      <c r="E1500" s="4" t="s">
        <v>475</v>
      </c>
      <c r="F1500" s="4" t="s">
        <v>2157</v>
      </c>
    </row>
    <row r="1501" customFormat="false" ht="55.2" hidden="false" customHeight="false" outlineLevel="0" collapsed="false">
      <c r="A1501" s="4" t="n">
        <v>77</v>
      </c>
      <c r="B1501" s="4" t="s">
        <v>2148</v>
      </c>
      <c r="C1501" s="4" t="s">
        <v>403</v>
      </c>
      <c r="D1501" s="4" t="s">
        <v>3481</v>
      </c>
      <c r="E1501" s="4" t="s">
        <v>476</v>
      </c>
      <c r="F1501" s="4" t="s">
        <v>2158</v>
      </c>
    </row>
    <row r="1502" customFormat="false" ht="135.8" hidden="false" customHeight="false" outlineLevel="0" collapsed="false">
      <c r="A1502" s="4" t="n">
        <v>77</v>
      </c>
      <c r="B1502" s="4" t="s">
        <v>2148</v>
      </c>
      <c r="C1502" s="4" t="s">
        <v>407</v>
      </c>
      <c r="D1502" s="4" t="s">
        <v>3485</v>
      </c>
      <c r="E1502" s="4"/>
      <c r="F1502" s="4" t="s">
        <v>2159</v>
      </c>
    </row>
    <row r="1503" customFormat="false" ht="15" hidden="false" customHeight="false" outlineLevel="0" collapsed="false">
      <c r="A1503" s="4" t="n">
        <v>77</v>
      </c>
      <c r="B1503" s="4" t="s">
        <v>2148</v>
      </c>
      <c r="C1503" s="4" t="s">
        <v>427</v>
      </c>
      <c r="D1503" s="4" t="s">
        <v>3464</v>
      </c>
      <c r="E1503" s="4"/>
      <c r="F1503" s="4" t="s">
        <v>24</v>
      </c>
    </row>
    <row r="1504" customFormat="false" ht="15" hidden="false" customHeight="false" outlineLevel="0" collapsed="false">
      <c r="A1504" s="4" t="n">
        <v>77</v>
      </c>
      <c r="B1504" s="4" t="s">
        <v>2148</v>
      </c>
      <c r="C1504" s="4" t="s">
        <v>428</v>
      </c>
      <c r="D1504" s="4" t="s">
        <v>3465</v>
      </c>
      <c r="E1504" s="4"/>
      <c r="F1504" s="4" t="s">
        <v>31</v>
      </c>
    </row>
    <row r="1505" customFormat="false" ht="15" hidden="false" customHeight="false" outlineLevel="0" collapsed="false">
      <c r="A1505" s="4" t="n">
        <v>77</v>
      </c>
      <c r="B1505" s="4" t="s">
        <v>2148</v>
      </c>
      <c r="C1505" s="4" t="s">
        <v>429</v>
      </c>
      <c r="D1505" s="4" t="s">
        <v>3466</v>
      </c>
      <c r="E1505" s="4"/>
      <c r="F1505" s="4" t="s">
        <v>38</v>
      </c>
    </row>
    <row r="1506" customFormat="false" ht="15" hidden="false" customHeight="false" outlineLevel="0" collapsed="false">
      <c r="A1506" s="4" t="n">
        <v>77</v>
      </c>
      <c r="B1506" s="4" t="s">
        <v>2148</v>
      </c>
      <c r="C1506" s="4" t="s">
        <v>431</v>
      </c>
      <c r="D1506" s="4" t="s">
        <v>3468</v>
      </c>
      <c r="E1506" s="4"/>
      <c r="F1506" s="4" t="s">
        <v>484</v>
      </c>
    </row>
    <row r="1507" customFormat="false" ht="15" hidden="false" customHeight="false" outlineLevel="0" collapsed="false">
      <c r="A1507" s="4" t="n">
        <v>77</v>
      </c>
      <c r="B1507" s="4" t="s">
        <v>2148</v>
      </c>
      <c r="C1507" s="4" t="s">
        <v>432</v>
      </c>
      <c r="D1507" s="4" t="s">
        <v>3469</v>
      </c>
      <c r="E1507" s="4"/>
      <c r="F1507" s="4" t="s">
        <v>713</v>
      </c>
    </row>
    <row r="1508" customFormat="false" ht="28.35" hidden="false" customHeight="false" outlineLevel="0" collapsed="false">
      <c r="A1508" s="4" t="n">
        <v>77</v>
      </c>
      <c r="B1508" s="4" t="s">
        <v>2148</v>
      </c>
      <c r="C1508" s="4" t="s">
        <v>433</v>
      </c>
      <c r="D1508" s="4" t="s">
        <v>3470</v>
      </c>
      <c r="E1508" s="4"/>
      <c r="F1508" s="4" t="s">
        <v>2163</v>
      </c>
    </row>
    <row r="1509" customFormat="false" ht="28.35" hidden="false" customHeight="false" outlineLevel="0" collapsed="false">
      <c r="A1509" s="4" t="n">
        <v>77</v>
      </c>
      <c r="B1509" s="4" t="s">
        <v>2148</v>
      </c>
      <c r="C1509" s="4" t="s">
        <v>434</v>
      </c>
      <c r="D1509" s="4" t="s">
        <v>3482</v>
      </c>
      <c r="E1509" s="4"/>
      <c r="F1509" s="4" t="s">
        <v>2164</v>
      </c>
    </row>
    <row r="1510" customFormat="false" ht="15" hidden="false" customHeight="false" outlineLevel="0" collapsed="false">
      <c r="A1510" s="4" t="n">
        <v>77</v>
      </c>
      <c r="B1510" s="4" t="s">
        <v>2148</v>
      </c>
      <c r="C1510" s="4" t="s">
        <v>435</v>
      </c>
      <c r="D1510" s="4" t="s">
        <v>3510</v>
      </c>
      <c r="E1510" s="4"/>
      <c r="F1510" s="4" t="s">
        <v>2165</v>
      </c>
    </row>
    <row r="1511" customFormat="false" ht="15" hidden="false" customHeight="false" outlineLevel="0" collapsed="false">
      <c r="A1511" s="4" t="n">
        <v>77</v>
      </c>
      <c r="B1511" s="4" t="s">
        <v>2148</v>
      </c>
      <c r="C1511" s="4" t="s">
        <v>436</v>
      </c>
      <c r="D1511" s="4" t="s">
        <v>3471</v>
      </c>
      <c r="E1511" s="4"/>
      <c r="F1511" s="4" t="s">
        <v>2166</v>
      </c>
    </row>
    <row r="1512" customFormat="false" ht="82.05" hidden="false" customHeight="false" outlineLevel="0" collapsed="false">
      <c r="A1512" s="4" t="n">
        <v>77</v>
      </c>
      <c r="B1512" s="4" t="s">
        <v>2148</v>
      </c>
      <c r="C1512" s="4" t="s">
        <v>438</v>
      </c>
      <c r="D1512" s="4" t="s">
        <v>3511</v>
      </c>
      <c r="E1512" s="4"/>
      <c r="F1512" s="4" t="s">
        <v>2167</v>
      </c>
    </row>
    <row r="1513" customFormat="false" ht="28.35" hidden="false" customHeight="false" outlineLevel="0" collapsed="false">
      <c r="A1513" s="4" t="n">
        <v>78</v>
      </c>
      <c r="B1513" s="4" t="s">
        <v>2168</v>
      </c>
      <c r="C1513" s="4" t="s">
        <v>365</v>
      </c>
      <c r="D1513" s="4" t="s">
        <v>3547</v>
      </c>
      <c r="E1513" s="4"/>
      <c r="F1513" s="4" t="n">
        <v>0.753553</v>
      </c>
    </row>
    <row r="1514" customFormat="false" ht="28.35" hidden="false" customHeight="false" outlineLevel="0" collapsed="false">
      <c r="A1514" s="4" t="n">
        <v>78</v>
      </c>
      <c r="B1514" s="4" t="s">
        <v>2168</v>
      </c>
      <c r="C1514" s="4" t="s">
        <v>366</v>
      </c>
      <c r="D1514" s="4" t="s">
        <v>3548</v>
      </c>
      <c r="E1514" s="4"/>
      <c r="F1514" s="4" t="n">
        <v>2024</v>
      </c>
    </row>
    <row r="1515" customFormat="false" ht="28.35" hidden="false" customHeight="false" outlineLevel="0" collapsed="false">
      <c r="A1515" s="4" t="n">
        <v>78</v>
      </c>
      <c r="B1515" s="4" t="s">
        <v>2168</v>
      </c>
      <c r="C1515" s="4" t="s">
        <v>367</v>
      </c>
      <c r="D1515" s="4" t="s">
        <v>3549</v>
      </c>
      <c r="E1515" s="4"/>
      <c r="F1515" s="4" t="s">
        <v>6</v>
      </c>
    </row>
    <row r="1516" customFormat="false" ht="28.35" hidden="false" customHeight="false" outlineLevel="0" collapsed="false">
      <c r="A1516" s="4" t="n">
        <v>78</v>
      </c>
      <c r="B1516" s="4" t="s">
        <v>2168</v>
      </c>
      <c r="C1516" s="4" t="s">
        <v>368</v>
      </c>
      <c r="D1516" s="4" t="s">
        <v>3550</v>
      </c>
      <c r="E1516" s="4"/>
      <c r="F1516" s="4" t="s">
        <v>2173</v>
      </c>
    </row>
    <row r="1517" customFormat="false" ht="28.35" hidden="false" customHeight="false" outlineLevel="0" collapsed="false">
      <c r="A1517" s="4" t="n">
        <v>78</v>
      </c>
      <c r="B1517" s="4" t="s">
        <v>2168</v>
      </c>
      <c r="C1517" s="4" t="s">
        <v>369</v>
      </c>
      <c r="D1517" s="4" t="s">
        <v>3503</v>
      </c>
      <c r="E1517" s="4" t="s">
        <v>780</v>
      </c>
      <c r="F1517" s="4" t="s">
        <v>2174</v>
      </c>
    </row>
    <row r="1518" customFormat="false" ht="28.35" hidden="false" customHeight="false" outlineLevel="0" collapsed="false">
      <c r="A1518" s="4" t="n">
        <v>78</v>
      </c>
      <c r="B1518" s="4" t="s">
        <v>2168</v>
      </c>
      <c r="C1518" s="4" t="s">
        <v>370</v>
      </c>
      <c r="D1518" s="4" t="s">
        <v>3649</v>
      </c>
      <c r="E1518" s="4"/>
      <c r="F1518" s="4" t="n">
        <v>0.753553</v>
      </c>
    </row>
    <row r="1519" customFormat="false" ht="162.65" hidden="false" customHeight="false" outlineLevel="0" collapsed="false">
      <c r="A1519" s="4" t="n">
        <v>78</v>
      </c>
      <c r="B1519" s="4" t="s">
        <v>2168</v>
      </c>
      <c r="C1519" s="4" t="s">
        <v>372</v>
      </c>
      <c r="D1519" s="4" t="s">
        <v>3504</v>
      </c>
      <c r="E1519" s="4" t="s">
        <v>3661</v>
      </c>
      <c r="F1519" s="4" t="s">
        <v>2175</v>
      </c>
    </row>
    <row r="1520" customFormat="false" ht="68.65" hidden="false" customHeight="false" outlineLevel="0" collapsed="false">
      <c r="A1520" s="4" t="n">
        <v>78</v>
      </c>
      <c r="B1520" s="4" t="s">
        <v>2168</v>
      </c>
      <c r="C1520" s="4" t="s">
        <v>374</v>
      </c>
      <c r="D1520" s="4" t="s">
        <v>3616</v>
      </c>
      <c r="E1520" s="4" t="s">
        <v>2090</v>
      </c>
      <c r="F1520" s="4" t="s">
        <v>2176</v>
      </c>
    </row>
    <row r="1521" customFormat="false" ht="95.5" hidden="false" customHeight="false" outlineLevel="0" collapsed="false">
      <c r="A1521" s="4" t="n">
        <v>78</v>
      </c>
      <c r="B1521" s="4" t="s">
        <v>2168</v>
      </c>
      <c r="C1521" s="4" t="s">
        <v>380</v>
      </c>
      <c r="D1521" s="4" t="s">
        <v>3474</v>
      </c>
      <c r="E1521" s="4" t="s">
        <v>3662</v>
      </c>
      <c r="F1521" s="4" t="s">
        <v>2177</v>
      </c>
    </row>
    <row r="1522" customFormat="false" ht="41.75" hidden="false" customHeight="false" outlineLevel="0" collapsed="false">
      <c r="A1522" s="4" t="n">
        <v>78</v>
      </c>
      <c r="B1522" s="4" t="s">
        <v>2168</v>
      </c>
      <c r="C1522" s="4" t="s">
        <v>403</v>
      </c>
      <c r="D1522" s="4" t="s">
        <v>3481</v>
      </c>
      <c r="E1522" s="4" t="s">
        <v>476</v>
      </c>
      <c r="F1522" s="4" t="s">
        <v>2178</v>
      </c>
    </row>
    <row r="1523" customFormat="false" ht="95.5" hidden="false" customHeight="false" outlineLevel="0" collapsed="false">
      <c r="A1523" s="4" t="n">
        <v>78</v>
      </c>
      <c r="B1523" s="4" t="s">
        <v>2168</v>
      </c>
      <c r="C1523" s="4" t="s">
        <v>407</v>
      </c>
      <c r="D1523" s="4" t="s">
        <v>3485</v>
      </c>
      <c r="E1523" s="4"/>
      <c r="F1523" s="4" t="s">
        <v>2179</v>
      </c>
    </row>
    <row r="1524" customFormat="false" ht="82.05" hidden="false" customHeight="false" outlineLevel="0" collapsed="false">
      <c r="A1524" s="4" t="n">
        <v>78</v>
      </c>
      <c r="B1524" s="4" t="s">
        <v>2168</v>
      </c>
      <c r="C1524" s="4" t="s">
        <v>419</v>
      </c>
      <c r="D1524" s="4" t="s">
        <v>3534</v>
      </c>
      <c r="E1524" s="4"/>
      <c r="F1524" s="4" t="s">
        <v>2184</v>
      </c>
    </row>
    <row r="1525" customFormat="false" ht="28.35" hidden="false" customHeight="false" outlineLevel="0" collapsed="false">
      <c r="A1525" s="4" t="n">
        <v>78</v>
      </c>
      <c r="B1525" s="4" t="s">
        <v>2168</v>
      </c>
      <c r="C1525" s="4" t="s">
        <v>427</v>
      </c>
      <c r="D1525" s="4" t="s">
        <v>3464</v>
      </c>
      <c r="E1525" s="4"/>
      <c r="F1525" s="4" t="s">
        <v>24</v>
      </c>
    </row>
    <row r="1526" customFormat="false" ht="28.35" hidden="false" customHeight="false" outlineLevel="0" collapsed="false">
      <c r="A1526" s="4" t="n">
        <v>78</v>
      </c>
      <c r="B1526" s="4" t="s">
        <v>2168</v>
      </c>
      <c r="C1526" s="4" t="s">
        <v>428</v>
      </c>
      <c r="D1526" s="4" t="s">
        <v>3465</v>
      </c>
      <c r="E1526" s="4"/>
      <c r="F1526" s="4" t="s">
        <v>30</v>
      </c>
    </row>
    <row r="1527" customFormat="false" ht="28.35" hidden="false" customHeight="false" outlineLevel="0" collapsed="false">
      <c r="A1527" s="4" t="n">
        <v>78</v>
      </c>
      <c r="B1527" s="4" t="s">
        <v>2168</v>
      </c>
      <c r="C1527" s="4" t="s">
        <v>429</v>
      </c>
      <c r="D1527" s="4" t="s">
        <v>3466</v>
      </c>
      <c r="E1527" s="4"/>
      <c r="F1527" s="4" t="s">
        <v>37</v>
      </c>
    </row>
    <row r="1528" customFormat="false" ht="28.35" hidden="false" customHeight="false" outlineLevel="0" collapsed="false">
      <c r="A1528" s="4" t="n">
        <v>78</v>
      </c>
      <c r="B1528" s="4" t="s">
        <v>2168</v>
      </c>
      <c r="C1528" s="4" t="s">
        <v>430</v>
      </c>
      <c r="D1528" s="4" t="s">
        <v>3467</v>
      </c>
      <c r="E1528" s="4"/>
      <c r="F1528" s="4" t="s">
        <v>2185</v>
      </c>
    </row>
    <row r="1529" customFormat="false" ht="28.35" hidden="false" customHeight="false" outlineLevel="0" collapsed="false">
      <c r="A1529" s="4" t="n">
        <v>78</v>
      </c>
      <c r="B1529" s="4" t="s">
        <v>2168</v>
      </c>
      <c r="C1529" s="4" t="s">
        <v>431</v>
      </c>
      <c r="D1529" s="4" t="s">
        <v>3468</v>
      </c>
      <c r="E1529" s="4"/>
      <c r="F1529" s="4" t="s">
        <v>484</v>
      </c>
    </row>
    <row r="1530" customFormat="false" ht="28.35" hidden="false" customHeight="false" outlineLevel="0" collapsed="false">
      <c r="A1530" s="4" t="n">
        <v>78</v>
      </c>
      <c r="B1530" s="4" t="s">
        <v>2168</v>
      </c>
      <c r="C1530" s="4" t="s">
        <v>432</v>
      </c>
      <c r="D1530" s="4" t="s">
        <v>3469</v>
      </c>
      <c r="E1530" s="4"/>
      <c r="F1530" s="4" t="s">
        <v>524</v>
      </c>
    </row>
    <row r="1531" customFormat="false" ht="28.35" hidden="false" customHeight="false" outlineLevel="0" collapsed="false">
      <c r="A1531" s="4" t="n">
        <v>78</v>
      </c>
      <c r="B1531" s="4" t="s">
        <v>2168</v>
      </c>
      <c r="C1531" s="4" t="s">
        <v>433</v>
      </c>
      <c r="D1531" s="4" t="s">
        <v>3470</v>
      </c>
      <c r="E1531" s="4"/>
      <c r="F1531" s="4" t="s">
        <v>2186</v>
      </c>
    </row>
    <row r="1532" customFormat="false" ht="28.35" hidden="false" customHeight="false" outlineLevel="0" collapsed="false">
      <c r="A1532" s="4" t="n">
        <v>78</v>
      </c>
      <c r="B1532" s="4" t="s">
        <v>2168</v>
      </c>
      <c r="C1532" s="4" t="s">
        <v>434</v>
      </c>
      <c r="D1532" s="4" t="s">
        <v>3482</v>
      </c>
      <c r="E1532" s="4"/>
      <c r="F1532" s="4" t="s">
        <v>2187</v>
      </c>
    </row>
    <row r="1533" customFormat="false" ht="28.35" hidden="false" customHeight="false" outlineLevel="0" collapsed="false">
      <c r="A1533" s="4" t="n">
        <v>78</v>
      </c>
      <c r="B1533" s="4" t="s">
        <v>2168</v>
      </c>
      <c r="C1533" s="4" t="s">
        <v>435</v>
      </c>
      <c r="D1533" s="4" t="s">
        <v>3510</v>
      </c>
      <c r="E1533" s="4"/>
      <c r="F1533" s="4" t="s">
        <v>150</v>
      </c>
    </row>
    <row r="1534" customFormat="false" ht="28.35" hidden="false" customHeight="false" outlineLevel="0" collapsed="false">
      <c r="A1534" s="4" t="n">
        <v>78</v>
      </c>
      <c r="B1534" s="4" t="s">
        <v>2168</v>
      </c>
      <c r="C1534" s="4" t="s">
        <v>436</v>
      </c>
      <c r="D1534" s="4" t="s">
        <v>3471</v>
      </c>
      <c r="E1534" s="4"/>
      <c r="F1534" s="4" t="s">
        <v>149</v>
      </c>
    </row>
    <row r="1535" customFormat="false" ht="28.35" hidden="false" customHeight="false" outlineLevel="0" collapsed="false">
      <c r="A1535" s="4" t="n">
        <v>78</v>
      </c>
      <c r="B1535" s="4" t="s">
        <v>2168</v>
      </c>
      <c r="C1535" s="4" t="s">
        <v>437</v>
      </c>
      <c r="D1535" s="4" t="s">
        <v>3472</v>
      </c>
      <c r="E1535" s="4"/>
      <c r="F1535" s="4" t="n">
        <v>11</v>
      </c>
    </row>
    <row r="1536" customFormat="false" ht="28.35" hidden="false" customHeight="false" outlineLevel="0" collapsed="false">
      <c r="A1536" s="4" t="n">
        <v>78</v>
      </c>
      <c r="B1536" s="4" t="s">
        <v>2168</v>
      </c>
      <c r="C1536" s="4" t="s">
        <v>440</v>
      </c>
      <c r="D1536" s="4" t="s">
        <v>3491</v>
      </c>
      <c r="E1536" s="4"/>
      <c r="F1536" s="4" t="n">
        <v>4</v>
      </c>
    </row>
    <row r="1537" customFormat="false" ht="28.35" hidden="false" customHeight="false" outlineLevel="0" collapsed="false">
      <c r="A1537" s="4" t="n">
        <v>78</v>
      </c>
      <c r="B1537" s="4" t="s">
        <v>2168</v>
      </c>
      <c r="C1537" s="4" t="s">
        <v>441</v>
      </c>
      <c r="D1537" s="4" t="s">
        <v>3492</v>
      </c>
      <c r="E1537" s="4"/>
      <c r="F1537" s="4" t="n">
        <v>3</v>
      </c>
    </row>
    <row r="1538" customFormat="false" ht="28.35" hidden="false" customHeight="false" outlineLevel="0" collapsed="false">
      <c r="A1538" s="4" t="n">
        <v>78</v>
      </c>
      <c r="B1538" s="4" t="s">
        <v>2168</v>
      </c>
      <c r="C1538" s="4" t="s">
        <v>442</v>
      </c>
      <c r="D1538" s="4" t="s">
        <v>3493</v>
      </c>
      <c r="E1538" s="4"/>
      <c r="F1538" s="4" t="n">
        <v>1</v>
      </c>
    </row>
    <row r="1539" customFormat="false" ht="28.35" hidden="false" customHeight="false" outlineLevel="0" collapsed="false">
      <c r="A1539" s="4" t="n">
        <v>78</v>
      </c>
      <c r="B1539" s="4" t="s">
        <v>2168</v>
      </c>
      <c r="C1539" s="4" t="s">
        <v>443</v>
      </c>
      <c r="D1539" s="4" t="s">
        <v>3494</v>
      </c>
      <c r="E1539" s="4"/>
      <c r="F1539" s="4" t="n">
        <v>8</v>
      </c>
    </row>
    <row r="1540" customFormat="false" ht="41.75" hidden="false" customHeight="false" outlineLevel="0" collapsed="false">
      <c r="A1540" s="4" t="n">
        <v>78</v>
      </c>
      <c r="B1540" s="4" t="s">
        <v>2168</v>
      </c>
      <c r="C1540" s="4" t="s">
        <v>447</v>
      </c>
      <c r="D1540" s="4" t="s">
        <v>3498</v>
      </c>
      <c r="E1540" s="4"/>
      <c r="F1540" s="4" t="s">
        <v>2188</v>
      </c>
    </row>
    <row r="1541" customFormat="false" ht="68.65" hidden="false" customHeight="false" outlineLevel="0" collapsed="false">
      <c r="A1541" s="4" t="n">
        <v>78</v>
      </c>
      <c r="B1541" s="4" t="s">
        <v>2168</v>
      </c>
      <c r="C1541" s="4" t="s">
        <v>448</v>
      </c>
      <c r="D1541" s="4" t="s">
        <v>3499</v>
      </c>
      <c r="E1541" s="4"/>
      <c r="F1541" s="4" t="s">
        <v>2189</v>
      </c>
    </row>
    <row r="1542" customFormat="false" ht="28.35" hidden="false" customHeight="false" outlineLevel="0" collapsed="false">
      <c r="A1542" s="4" t="n">
        <v>78</v>
      </c>
      <c r="B1542" s="4" t="s">
        <v>2168</v>
      </c>
      <c r="C1542" s="4" t="s">
        <v>449</v>
      </c>
      <c r="D1542" s="4" t="s">
        <v>3500</v>
      </c>
      <c r="E1542" s="4"/>
      <c r="F1542" s="4" t="s">
        <v>2190</v>
      </c>
    </row>
    <row r="1543" customFormat="false" ht="189.55" hidden="false" customHeight="false" outlineLevel="0" collapsed="false">
      <c r="A1543" s="4" t="n">
        <v>78</v>
      </c>
      <c r="B1543" s="4" t="s">
        <v>2168</v>
      </c>
      <c r="C1543" s="4" t="s">
        <v>450</v>
      </c>
      <c r="D1543" s="4" t="s">
        <v>3501</v>
      </c>
      <c r="E1543" s="4"/>
      <c r="F1543" s="4" t="s">
        <v>2191</v>
      </c>
    </row>
    <row r="1544" customFormat="false" ht="122.35" hidden="false" customHeight="false" outlineLevel="0" collapsed="false">
      <c r="A1544" s="4" t="n">
        <v>79</v>
      </c>
      <c r="B1544" s="4" t="s">
        <v>2192</v>
      </c>
      <c r="C1544" s="4" t="s">
        <v>372</v>
      </c>
      <c r="D1544" s="4" t="s">
        <v>3504</v>
      </c>
      <c r="E1544" s="4" t="s">
        <v>3663</v>
      </c>
      <c r="F1544" s="4" t="s">
        <v>2198</v>
      </c>
    </row>
    <row r="1545" customFormat="false" ht="28.35" hidden="false" customHeight="false" outlineLevel="0" collapsed="false">
      <c r="A1545" s="4" t="n">
        <v>79</v>
      </c>
      <c r="B1545" s="4" t="s">
        <v>2192</v>
      </c>
      <c r="C1545" s="4" t="s">
        <v>373</v>
      </c>
      <c r="D1545" s="4" t="s">
        <v>3664</v>
      </c>
      <c r="E1545" s="4" t="s">
        <v>2020</v>
      </c>
      <c r="F1545" s="4" t="s">
        <v>2199</v>
      </c>
    </row>
    <row r="1546" customFormat="false" ht="135.8" hidden="false" customHeight="false" outlineLevel="0" collapsed="false">
      <c r="A1546" s="4" t="n">
        <v>79</v>
      </c>
      <c r="B1546" s="4" t="s">
        <v>2192</v>
      </c>
      <c r="C1546" s="4" t="s">
        <v>380</v>
      </c>
      <c r="D1546" s="4" t="s">
        <v>3474</v>
      </c>
      <c r="E1546" s="4" t="s">
        <v>3665</v>
      </c>
      <c r="F1546" s="4" t="s">
        <v>2201</v>
      </c>
    </row>
    <row r="1547" customFormat="false" ht="55.2" hidden="false" customHeight="false" outlineLevel="0" collapsed="false">
      <c r="A1547" s="4" t="n">
        <v>79</v>
      </c>
      <c r="B1547" s="4" t="s">
        <v>2192</v>
      </c>
      <c r="C1547" s="4" t="s">
        <v>403</v>
      </c>
      <c r="D1547" s="4" t="s">
        <v>3481</v>
      </c>
      <c r="E1547" s="4" t="s">
        <v>3645</v>
      </c>
      <c r="F1547" s="4" t="s">
        <v>2202</v>
      </c>
    </row>
    <row r="1548" customFormat="false" ht="28.35" hidden="false" customHeight="false" outlineLevel="0" collapsed="false">
      <c r="A1548" s="4" t="n">
        <v>79</v>
      </c>
      <c r="B1548" s="4" t="s">
        <v>2192</v>
      </c>
      <c r="C1548" s="4" t="s">
        <v>427</v>
      </c>
      <c r="D1548" s="4" t="s">
        <v>3464</v>
      </c>
      <c r="E1548" s="4"/>
      <c r="F1548" s="4" t="s">
        <v>23</v>
      </c>
    </row>
    <row r="1549" customFormat="false" ht="28.35" hidden="false" customHeight="false" outlineLevel="0" collapsed="false">
      <c r="A1549" s="4" t="n">
        <v>79</v>
      </c>
      <c r="B1549" s="4" t="s">
        <v>2192</v>
      </c>
      <c r="C1549" s="4" t="s">
        <v>428</v>
      </c>
      <c r="D1549" s="4" t="s">
        <v>3465</v>
      </c>
      <c r="E1549" s="4"/>
      <c r="F1549" s="4" t="s">
        <v>28</v>
      </c>
    </row>
    <row r="1550" customFormat="false" ht="28.35" hidden="false" customHeight="false" outlineLevel="0" collapsed="false">
      <c r="A1550" s="4" t="n">
        <v>79</v>
      </c>
      <c r="B1550" s="4" t="s">
        <v>2192</v>
      </c>
      <c r="C1550" s="4" t="s">
        <v>429</v>
      </c>
      <c r="D1550" s="4" t="s">
        <v>3466</v>
      </c>
      <c r="E1550" s="4"/>
      <c r="F1550" s="4" t="s">
        <v>34</v>
      </c>
    </row>
    <row r="1551" customFormat="false" ht="41.75" hidden="false" customHeight="false" outlineLevel="0" collapsed="false">
      <c r="A1551" s="4" t="n">
        <v>79</v>
      </c>
      <c r="B1551" s="4" t="s">
        <v>2192</v>
      </c>
      <c r="C1551" s="4" t="s">
        <v>430</v>
      </c>
      <c r="D1551" s="4" t="s">
        <v>3467</v>
      </c>
      <c r="E1551" s="4"/>
      <c r="F1551" s="4" t="s">
        <v>2207</v>
      </c>
    </row>
    <row r="1552" customFormat="false" ht="28.35" hidden="false" customHeight="false" outlineLevel="0" collapsed="false">
      <c r="A1552" s="4" t="n">
        <v>79</v>
      </c>
      <c r="B1552" s="4" t="s">
        <v>2192</v>
      </c>
      <c r="C1552" s="4" t="s">
        <v>431</v>
      </c>
      <c r="D1552" s="4" t="s">
        <v>3468</v>
      </c>
      <c r="E1552" s="4"/>
      <c r="F1552" s="4" t="s">
        <v>484</v>
      </c>
    </row>
    <row r="1553" customFormat="false" ht="28.35" hidden="false" customHeight="false" outlineLevel="0" collapsed="false">
      <c r="A1553" s="4" t="n">
        <v>79</v>
      </c>
      <c r="B1553" s="4" t="s">
        <v>2192</v>
      </c>
      <c r="C1553" s="4" t="s">
        <v>432</v>
      </c>
      <c r="D1553" s="4" t="s">
        <v>3469</v>
      </c>
      <c r="E1553" s="4"/>
      <c r="F1553" s="4" t="s">
        <v>664</v>
      </c>
    </row>
    <row r="1554" customFormat="false" ht="68.65" hidden="false" customHeight="false" outlineLevel="0" collapsed="false">
      <c r="A1554" s="4" t="n">
        <v>79</v>
      </c>
      <c r="B1554" s="4" t="s">
        <v>2192</v>
      </c>
      <c r="C1554" s="4" t="s">
        <v>433</v>
      </c>
      <c r="D1554" s="4" t="s">
        <v>3470</v>
      </c>
      <c r="E1554" s="4"/>
      <c r="F1554" s="4" t="s">
        <v>2208</v>
      </c>
    </row>
    <row r="1555" customFormat="false" ht="28.35" hidden="false" customHeight="false" outlineLevel="0" collapsed="false">
      <c r="A1555" s="4" t="n">
        <v>79</v>
      </c>
      <c r="B1555" s="4" t="s">
        <v>2192</v>
      </c>
      <c r="C1555" s="4" t="s">
        <v>434</v>
      </c>
      <c r="D1555" s="4" t="s">
        <v>3482</v>
      </c>
      <c r="E1555" s="4"/>
      <c r="F1555" s="4" t="s">
        <v>2209</v>
      </c>
    </row>
    <row r="1556" customFormat="false" ht="28.35" hidden="false" customHeight="false" outlineLevel="0" collapsed="false">
      <c r="A1556" s="4" t="n">
        <v>79</v>
      </c>
      <c r="B1556" s="4" t="s">
        <v>2192</v>
      </c>
      <c r="C1556" s="4" t="s">
        <v>436</v>
      </c>
      <c r="D1556" s="4" t="s">
        <v>3471</v>
      </c>
      <c r="E1556" s="4"/>
      <c r="F1556" s="4" t="s">
        <v>283</v>
      </c>
    </row>
    <row r="1557" customFormat="false" ht="28.35" hidden="false" customHeight="false" outlineLevel="0" collapsed="false">
      <c r="A1557" s="4" t="n">
        <v>79</v>
      </c>
      <c r="B1557" s="4" t="s">
        <v>2192</v>
      </c>
      <c r="C1557" s="4" t="s">
        <v>437</v>
      </c>
      <c r="D1557" s="4" t="s">
        <v>3472</v>
      </c>
      <c r="E1557" s="4"/>
      <c r="F1557" s="4" t="n">
        <v>9</v>
      </c>
    </row>
    <row r="1558" customFormat="false" ht="15" hidden="false" customHeight="false" outlineLevel="0" collapsed="false">
      <c r="A1558" s="4" t="n">
        <v>80</v>
      </c>
      <c r="B1558" s="4" t="s">
        <v>2210</v>
      </c>
      <c r="C1558" s="4" t="s">
        <v>368</v>
      </c>
      <c r="D1558" s="4" t="s">
        <v>3550</v>
      </c>
      <c r="E1558" s="4" t="s">
        <v>2018</v>
      </c>
      <c r="F1558" s="4" t="s">
        <v>2216</v>
      </c>
    </row>
    <row r="1559" customFormat="false" ht="135.8" hidden="false" customHeight="false" outlineLevel="0" collapsed="false">
      <c r="A1559" s="4" t="n">
        <v>80</v>
      </c>
      <c r="B1559" s="4" t="s">
        <v>2210</v>
      </c>
      <c r="C1559" s="4" t="s">
        <v>372</v>
      </c>
      <c r="D1559" s="4" t="s">
        <v>3504</v>
      </c>
      <c r="E1559" s="4" t="s">
        <v>3666</v>
      </c>
      <c r="F1559" s="4" t="s">
        <v>2217</v>
      </c>
    </row>
    <row r="1560" customFormat="false" ht="28.35" hidden="false" customHeight="false" outlineLevel="0" collapsed="false">
      <c r="A1560" s="4" t="n">
        <v>80</v>
      </c>
      <c r="B1560" s="4" t="s">
        <v>2210</v>
      </c>
      <c r="C1560" s="4" t="s">
        <v>373</v>
      </c>
      <c r="D1560" s="4" t="s">
        <v>3664</v>
      </c>
      <c r="E1560" s="4" t="s">
        <v>2020</v>
      </c>
      <c r="F1560" s="4" t="s">
        <v>2218</v>
      </c>
    </row>
    <row r="1561" customFormat="false" ht="135.8" hidden="false" customHeight="false" outlineLevel="0" collapsed="false">
      <c r="A1561" s="4" t="n">
        <v>80</v>
      </c>
      <c r="B1561" s="4" t="s">
        <v>2210</v>
      </c>
      <c r="C1561" s="4" t="s">
        <v>380</v>
      </c>
      <c r="D1561" s="4" t="s">
        <v>3474</v>
      </c>
      <c r="E1561" s="4" t="s">
        <v>3667</v>
      </c>
      <c r="F1561" s="4" t="s">
        <v>2220</v>
      </c>
    </row>
    <row r="1562" customFormat="false" ht="28.35" hidden="false" customHeight="false" outlineLevel="0" collapsed="false">
      <c r="A1562" s="4" t="n">
        <v>80</v>
      </c>
      <c r="B1562" s="4" t="s">
        <v>2210</v>
      </c>
      <c r="C1562" s="4" t="s">
        <v>394</v>
      </c>
      <c r="D1562" s="4" t="s">
        <v>3532</v>
      </c>
      <c r="E1562" s="4" t="s">
        <v>3668</v>
      </c>
      <c r="F1562" s="4" t="s">
        <v>2221</v>
      </c>
    </row>
    <row r="1563" customFormat="false" ht="15" hidden="false" customHeight="false" outlineLevel="0" collapsed="false">
      <c r="A1563" s="4" t="n">
        <v>80</v>
      </c>
      <c r="B1563" s="4" t="s">
        <v>2210</v>
      </c>
      <c r="C1563" s="4" t="s">
        <v>395</v>
      </c>
      <c r="D1563" s="4" t="s">
        <v>3507</v>
      </c>
      <c r="E1563" s="4" t="s">
        <v>3669</v>
      </c>
      <c r="F1563" s="4" t="s">
        <v>2222</v>
      </c>
    </row>
    <row r="1564" customFormat="false" ht="41.75" hidden="false" customHeight="false" outlineLevel="0" collapsed="false">
      <c r="A1564" s="4" t="n">
        <v>80</v>
      </c>
      <c r="B1564" s="4" t="s">
        <v>2210</v>
      </c>
      <c r="C1564" s="4" t="s">
        <v>396</v>
      </c>
      <c r="D1564" s="4" t="s">
        <v>3533</v>
      </c>
      <c r="E1564" s="4" t="s">
        <v>3667</v>
      </c>
      <c r="F1564" s="4" t="s">
        <v>2223</v>
      </c>
    </row>
    <row r="1565" customFormat="false" ht="28.35" hidden="false" customHeight="false" outlineLevel="0" collapsed="false">
      <c r="A1565" s="4" t="n">
        <v>80</v>
      </c>
      <c r="B1565" s="4" t="s">
        <v>2210</v>
      </c>
      <c r="C1565" s="4" t="s">
        <v>403</v>
      </c>
      <c r="D1565" s="4" t="s">
        <v>3481</v>
      </c>
      <c r="E1565" s="4" t="s">
        <v>3645</v>
      </c>
      <c r="F1565" s="4" t="s">
        <v>2224</v>
      </c>
    </row>
    <row r="1566" customFormat="false" ht="95.5" hidden="false" customHeight="false" outlineLevel="0" collapsed="false">
      <c r="A1566" s="4" t="n">
        <v>80</v>
      </c>
      <c r="B1566" s="4" t="s">
        <v>2210</v>
      </c>
      <c r="C1566" s="4" t="s">
        <v>419</v>
      </c>
      <c r="D1566" s="4" t="s">
        <v>3534</v>
      </c>
      <c r="E1566" s="4"/>
      <c r="F1566" s="4" t="s">
        <v>2229</v>
      </c>
    </row>
    <row r="1567" customFormat="false" ht="15" hidden="false" customHeight="false" outlineLevel="0" collapsed="false">
      <c r="A1567" s="4" t="n">
        <v>80</v>
      </c>
      <c r="B1567" s="4" t="s">
        <v>2210</v>
      </c>
      <c r="C1567" s="4" t="s">
        <v>427</v>
      </c>
      <c r="D1567" s="4" t="s">
        <v>3464</v>
      </c>
      <c r="E1567" s="4"/>
      <c r="F1567" s="4" t="s">
        <v>24</v>
      </c>
    </row>
    <row r="1568" customFormat="false" ht="15" hidden="false" customHeight="false" outlineLevel="0" collapsed="false">
      <c r="A1568" s="4" t="n">
        <v>80</v>
      </c>
      <c r="B1568" s="4" t="s">
        <v>2210</v>
      </c>
      <c r="C1568" s="4" t="s">
        <v>428</v>
      </c>
      <c r="D1568" s="4" t="s">
        <v>3465</v>
      </c>
      <c r="E1568" s="4"/>
      <c r="F1568" s="4" t="s">
        <v>30</v>
      </c>
    </row>
    <row r="1569" customFormat="false" ht="15" hidden="false" customHeight="false" outlineLevel="0" collapsed="false">
      <c r="A1569" s="4" t="n">
        <v>80</v>
      </c>
      <c r="B1569" s="4" t="s">
        <v>2210</v>
      </c>
      <c r="C1569" s="4" t="s">
        <v>429</v>
      </c>
      <c r="D1569" s="4" t="s">
        <v>3466</v>
      </c>
      <c r="E1569" s="4"/>
      <c r="F1569" s="4" t="s">
        <v>34</v>
      </c>
    </row>
    <row r="1570" customFormat="false" ht="41.75" hidden="false" customHeight="false" outlineLevel="0" collapsed="false">
      <c r="A1570" s="4" t="n">
        <v>80</v>
      </c>
      <c r="B1570" s="4" t="s">
        <v>2210</v>
      </c>
      <c r="C1570" s="4" t="s">
        <v>430</v>
      </c>
      <c r="D1570" s="4" t="s">
        <v>3467</v>
      </c>
      <c r="E1570" s="4"/>
      <c r="F1570" s="4" t="s">
        <v>2110</v>
      </c>
    </row>
    <row r="1571" customFormat="false" ht="15" hidden="false" customHeight="false" outlineLevel="0" collapsed="false">
      <c r="A1571" s="4" t="n">
        <v>80</v>
      </c>
      <c r="B1571" s="4" t="s">
        <v>2210</v>
      </c>
      <c r="C1571" s="4" t="s">
        <v>431</v>
      </c>
      <c r="D1571" s="4" t="s">
        <v>3468</v>
      </c>
      <c r="E1571" s="4"/>
      <c r="F1571" s="4" t="s">
        <v>484</v>
      </c>
    </row>
    <row r="1572" customFormat="false" ht="15" hidden="false" customHeight="false" outlineLevel="0" collapsed="false">
      <c r="A1572" s="4" t="n">
        <v>80</v>
      </c>
      <c r="B1572" s="4" t="s">
        <v>2210</v>
      </c>
      <c r="C1572" s="4" t="s">
        <v>432</v>
      </c>
      <c r="D1572" s="4" t="s">
        <v>3469</v>
      </c>
      <c r="E1572" s="4"/>
      <c r="F1572" s="4" t="s">
        <v>664</v>
      </c>
    </row>
    <row r="1573" customFormat="false" ht="28.35" hidden="false" customHeight="false" outlineLevel="0" collapsed="false">
      <c r="A1573" s="4" t="n">
        <v>80</v>
      </c>
      <c r="B1573" s="4" t="s">
        <v>2210</v>
      </c>
      <c r="C1573" s="4" t="s">
        <v>433</v>
      </c>
      <c r="D1573" s="4" t="s">
        <v>3470</v>
      </c>
      <c r="E1573" s="4"/>
      <c r="F1573" s="4" t="s">
        <v>2111</v>
      </c>
    </row>
    <row r="1574" customFormat="false" ht="15" hidden="false" customHeight="false" outlineLevel="0" collapsed="false">
      <c r="A1574" s="4" t="n">
        <v>80</v>
      </c>
      <c r="B1574" s="4" t="s">
        <v>2210</v>
      </c>
      <c r="C1574" s="4" t="s">
        <v>434</v>
      </c>
      <c r="D1574" s="4" t="s">
        <v>3482</v>
      </c>
      <c r="E1574" s="4"/>
      <c r="F1574" s="4" t="s">
        <v>2112</v>
      </c>
    </row>
    <row r="1575" customFormat="false" ht="15" hidden="false" customHeight="false" outlineLevel="0" collapsed="false">
      <c r="A1575" s="4" t="n">
        <v>80</v>
      </c>
      <c r="B1575" s="4" t="s">
        <v>2210</v>
      </c>
      <c r="C1575" s="4" t="s">
        <v>435</v>
      </c>
      <c r="D1575" s="4" t="s">
        <v>3510</v>
      </c>
      <c r="E1575" s="4"/>
      <c r="F1575" s="4" t="s">
        <v>79</v>
      </c>
    </row>
    <row r="1576" customFormat="false" ht="15" hidden="false" customHeight="false" outlineLevel="0" collapsed="false">
      <c r="A1576" s="4" t="n">
        <v>80</v>
      </c>
      <c r="B1576" s="4" t="s">
        <v>2210</v>
      </c>
      <c r="C1576" s="4" t="s">
        <v>436</v>
      </c>
      <c r="D1576" s="4" t="s">
        <v>3471</v>
      </c>
      <c r="E1576" s="4"/>
      <c r="F1576" s="4" t="s">
        <v>78</v>
      </c>
    </row>
    <row r="1577" customFormat="false" ht="28.35" hidden="false" customHeight="false" outlineLevel="0" collapsed="false">
      <c r="A1577" s="4" t="n">
        <v>80</v>
      </c>
      <c r="B1577" s="4" t="s">
        <v>2210</v>
      </c>
      <c r="C1577" s="4" t="s">
        <v>437</v>
      </c>
      <c r="D1577" s="4" t="s">
        <v>3472</v>
      </c>
      <c r="E1577" s="4"/>
      <c r="F1577" s="4" t="n">
        <v>12</v>
      </c>
    </row>
    <row r="1578" customFormat="false" ht="15" hidden="false" customHeight="false" outlineLevel="0" collapsed="false">
      <c r="A1578" s="4" t="n">
        <v>81</v>
      </c>
      <c r="B1578" s="4" t="s">
        <v>2230</v>
      </c>
      <c r="C1578" s="4" t="s">
        <v>365</v>
      </c>
      <c r="D1578" s="4" t="s">
        <v>3547</v>
      </c>
      <c r="E1578" s="4" t="n">
        <v>64.227709</v>
      </c>
      <c r="F1578" s="4" t="n">
        <v>85.087141</v>
      </c>
    </row>
    <row r="1579" customFormat="false" ht="15" hidden="false" customHeight="false" outlineLevel="0" collapsed="false">
      <c r="A1579" s="4" t="n">
        <v>81</v>
      </c>
      <c r="B1579" s="4" t="s">
        <v>2230</v>
      </c>
      <c r="C1579" s="4" t="s">
        <v>367</v>
      </c>
      <c r="D1579" s="4" t="s">
        <v>3549</v>
      </c>
      <c r="E1579" s="4" t="s">
        <v>5</v>
      </c>
      <c r="F1579" s="4" t="s">
        <v>4</v>
      </c>
    </row>
    <row r="1580" customFormat="false" ht="15" hidden="false" customHeight="false" outlineLevel="0" collapsed="false">
      <c r="A1580" s="4" t="n">
        <v>81</v>
      </c>
      <c r="B1580" s="4" t="s">
        <v>2230</v>
      </c>
      <c r="C1580" s="4" t="s">
        <v>368</v>
      </c>
      <c r="D1580" s="4" t="s">
        <v>3550</v>
      </c>
      <c r="E1580" s="4" t="s">
        <v>2018</v>
      </c>
      <c r="F1580" s="4" t="s">
        <v>2236</v>
      </c>
    </row>
    <row r="1581" customFormat="false" ht="15" hidden="false" customHeight="false" outlineLevel="0" collapsed="false">
      <c r="A1581" s="4" t="n">
        <v>81</v>
      </c>
      <c r="B1581" s="4" t="s">
        <v>2230</v>
      </c>
      <c r="C1581" s="4" t="s">
        <v>371</v>
      </c>
      <c r="D1581" s="4" t="s">
        <v>3670</v>
      </c>
      <c r="E1581" s="4"/>
      <c r="F1581" s="4" t="n">
        <v>20.859432</v>
      </c>
    </row>
    <row r="1582" customFormat="false" ht="202.95" hidden="false" customHeight="false" outlineLevel="0" collapsed="false">
      <c r="A1582" s="4" t="n">
        <v>81</v>
      </c>
      <c r="B1582" s="4" t="s">
        <v>2230</v>
      </c>
      <c r="C1582" s="4" t="s">
        <v>372</v>
      </c>
      <c r="D1582" s="4" t="s">
        <v>3504</v>
      </c>
      <c r="E1582" s="4" t="s">
        <v>3671</v>
      </c>
      <c r="F1582" s="4" t="s">
        <v>2237</v>
      </c>
    </row>
    <row r="1583" customFormat="false" ht="41.75" hidden="false" customHeight="false" outlineLevel="0" collapsed="false">
      <c r="A1583" s="4" t="n">
        <v>81</v>
      </c>
      <c r="B1583" s="4" t="s">
        <v>2230</v>
      </c>
      <c r="C1583" s="4" t="s">
        <v>373</v>
      </c>
      <c r="D1583" s="4" t="s">
        <v>3664</v>
      </c>
      <c r="E1583" s="4" t="s">
        <v>2020</v>
      </c>
      <c r="F1583" s="4" t="s">
        <v>2238</v>
      </c>
    </row>
    <row r="1584" customFormat="false" ht="135.8" hidden="false" customHeight="false" outlineLevel="0" collapsed="false">
      <c r="A1584" s="4" t="n">
        <v>81</v>
      </c>
      <c r="B1584" s="4" t="s">
        <v>2230</v>
      </c>
      <c r="C1584" s="4" t="s">
        <v>380</v>
      </c>
      <c r="D1584" s="4" t="s">
        <v>3474</v>
      </c>
      <c r="E1584" s="4" t="s">
        <v>3672</v>
      </c>
      <c r="F1584" s="4" t="s">
        <v>2241</v>
      </c>
    </row>
    <row r="1585" customFormat="false" ht="15" hidden="false" customHeight="false" outlineLevel="0" collapsed="false">
      <c r="A1585" s="4" t="n">
        <v>81</v>
      </c>
      <c r="B1585" s="4" t="s">
        <v>2230</v>
      </c>
      <c r="C1585" s="4" t="s">
        <v>387</v>
      </c>
      <c r="D1585" s="4" t="s">
        <v>3476</v>
      </c>
      <c r="E1585" s="4"/>
      <c r="F1585" s="4" t="n">
        <v>459</v>
      </c>
    </row>
    <row r="1586" customFormat="false" ht="15" hidden="false" customHeight="false" outlineLevel="0" collapsed="false">
      <c r="A1586" s="4" t="n">
        <v>81</v>
      </c>
      <c r="B1586" s="4" t="s">
        <v>2230</v>
      </c>
      <c r="C1586" s="4" t="s">
        <v>388</v>
      </c>
      <c r="D1586" s="4" t="s">
        <v>3477</v>
      </c>
      <c r="E1586" s="4"/>
      <c r="F1586" s="4" t="s">
        <v>601</v>
      </c>
    </row>
    <row r="1587" customFormat="false" ht="41.75" hidden="false" customHeight="false" outlineLevel="0" collapsed="false">
      <c r="A1587" s="4" t="n">
        <v>81</v>
      </c>
      <c r="B1587" s="4" t="s">
        <v>2230</v>
      </c>
      <c r="C1587" s="4" t="s">
        <v>389</v>
      </c>
      <c r="D1587" s="4" t="s">
        <v>3478</v>
      </c>
      <c r="E1587" s="4" t="s">
        <v>472</v>
      </c>
      <c r="F1587" s="4" t="s">
        <v>2242</v>
      </c>
    </row>
    <row r="1588" customFormat="false" ht="41.75" hidden="false" customHeight="false" outlineLevel="0" collapsed="false">
      <c r="A1588" s="4" t="n">
        <v>81</v>
      </c>
      <c r="B1588" s="4" t="s">
        <v>2230</v>
      </c>
      <c r="C1588" s="4" t="s">
        <v>390</v>
      </c>
      <c r="D1588" s="4" t="s">
        <v>3479</v>
      </c>
      <c r="E1588" s="4" t="s">
        <v>473</v>
      </c>
      <c r="F1588" s="4" t="s">
        <v>2243</v>
      </c>
    </row>
    <row r="1589" customFormat="false" ht="41.75" hidden="false" customHeight="false" outlineLevel="0" collapsed="false">
      <c r="A1589" s="4" t="n">
        <v>81</v>
      </c>
      <c r="B1589" s="4" t="s">
        <v>2230</v>
      </c>
      <c r="C1589" s="4" t="s">
        <v>391</v>
      </c>
      <c r="D1589" s="4" t="s">
        <v>3480</v>
      </c>
      <c r="E1589" s="4"/>
      <c r="F1589" s="4" t="s">
        <v>2244</v>
      </c>
    </row>
    <row r="1590" customFormat="false" ht="15" hidden="false" customHeight="false" outlineLevel="0" collapsed="false">
      <c r="A1590" s="4" t="n">
        <v>81</v>
      </c>
      <c r="B1590" s="4" t="s">
        <v>2230</v>
      </c>
      <c r="C1590" s="4" t="s">
        <v>392</v>
      </c>
      <c r="D1590" s="4" t="s">
        <v>3530</v>
      </c>
      <c r="E1590" s="4"/>
      <c r="F1590" s="4" t="n">
        <v>29.744903</v>
      </c>
    </row>
    <row r="1591" customFormat="false" ht="15" hidden="false" customHeight="false" outlineLevel="0" collapsed="false">
      <c r="A1591" s="4" t="n">
        <v>81</v>
      </c>
      <c r="B1591" s="4" t="s">
        <v>2230</v>
      </c>
      <c r="C1591" s="4" t="s">
        <v>393</v>
      </c>
      <c r="D1591" s="4" t="s">
        <v>3531</v>
      </c>
      <c r="E1591" s="4"/>
      <c r="F1591" s="4" t="n">
        <v>2026</v>
      </c>
    </row>
    <row r="1592" customFormat="false" ht="41.75" hidden="false" customHeight="false" outlineLevel="0" collapsed="false">
      <c r="A1592" s="4" t="n">
        <v>81</v>
      </c>
      <c r="B1592" s="4" t="s">
        <v>2230</v>
      </c>
      <c r="C1592" s="4" t="s">
        <v>394</v>
      </c>
      <c r="D1592" s="4" t="s">
        <v>3532</v>
      </c>
      <c r="E1592" s="4"/>
      <c r="F1592" s="4" t="s">
        <v>2245</v>
      </c>
    </row>
    <row r="1593" customFormat="false" ht="28.35" hidden="false" customHeight="false" outlineLevel="0" collapsed="false">
      <c r="A1593" s="4" t="n">
        <v>81</v>
      </c>
      <c r="B1593" s="4" t="s">
        <v>2230</v>
      </c>
      <c r="C1593" s="4" t="s">
        <v>395</v>
      </c>
      <c r="D1593" s="4" t="s">
        <v>3507</v>
      </c>
      <c r="E1593" s="4" t="s">
        <v>474</v>
      </c>
      <c r="F1593" s="4" t="s">
        <v>506</v>
      </c>
    </row>
    <row r="1594" customFormat="false" ht="28.35" hidden="false" customHeight="false" outlineLevel="0" collapsed="false">
      <c r="A1594" s="4" t="n">
        <v>81</v>
      </c>
      <c r="B1594" s="4" t="s">
        <v>2230</v>
      </c>
      <c r="C1594" s="4" t="s">
        <v>396</v>
      </c>
      <c r="D1594" s="4" t="s">
        <v>3533</v>
      </c>
      <c r="E1594" s="4"/>
      <c r="F1594" s="4" t="s">
        <v>2246</v>
      </c>
    </row>
    <row r="1595" customFormat="false" ht="28.35" hidden="false" customHeight="false" outlineLevel="0" collapsed="false">
      <c r="A1595" s="4" t="n">
        <v>81</v>
      </c>
      <c r="B1595" s="4" t="s">
        <v>2230</v>
      </c>
      <c r="C1595" s="4" t="s">
        <v>397</v>
      </c>
      <c r="D1595" s="4" t="s">
        <v>3553</v>
      </c>
      <c r="E1595" s="4"/>
      <c r="F1595" s="4" t="n">
        <v>17.279615</v>
      </c>
    </row>
    <row r="1596" customFormat="false" ht="15" hidden="false" customHeight="false" outlineLevel="0" collapsed="false">
      <c r="A1596" s="4" t="n">
        <v>81</v>
      </c>
      <c r="B1596" s="4" t="s">
        <v>2230</v>
      </c>
      <c r="C1596" s="4" t="s">
        <v>398</v>
      </c>
      <c r="D1596" s="4" t="s">
        <v>3554</v>
      </c>
      <c r="E1596" s="4"/>
      <c r="F1596" s="4" t="n">
        <v>2026</v>
      </c>
    </row>
    <row r="1597" customFormat="false" ht="15" hidden="false" customHeight="false" outlineLevel="0" collapsed="false">
      <c r="A1597" s="4" t="n">
        <v>81</v>
      </c>
      <c r="B1597" s="4" t="s">
        <v>2230</v>
      </c>
      <c r="C1597" s="4" t="s">
        <v>399</v>
      </c>
      <c r="D1597" s="4" t="s">
        <v>3555</v>
      </c>
      <c r="E1597" s="4"/>
      <c r="F1597" s="4" t="s">
        <v>2247</v>
      </c>
    </row>
    <row r="1598" customFormat="false" ht="28.35" hidden="false" customHeight="false" outlineLevel="0" collapsed="false">
      <c r="A1598" s="4" t="n">
        <v>81</v>
      </c>
      <c r="B1598" s="4" t="s">
        <v>2230</v>
      </c>
      <c r="C1598" s="4" t="s">
        <v>400</v>
      </c>
      <c r="D1598" s="4" t="s">
        <v>3556</v>
      </c>
      <c r="E1598" s="4"/>
      <c r="F1598" s="4" t="s">
        <v>2248</v>
      </c>
    </row>
    <row r="1599" customFormat="false" ht="28.35" hidden="false" customHeight="false" outlineLevel="0" collapsed="false">
      <c r="A1599" s="4" t="n">
        <v>81</v>
      </c>
      <c r="B1599" s="4" t="s">
        <v>2230</v>
      </c>
      <c r="C1599" s="4" t="s">
        <v>401</v>
      </c>
      <c r="D1599" s="4" t="s">
        <v>3557</v>
      </c>
      <c r="E1599" s="4"/>
      <c r="F1599" s="4" t="s">
        <v>2246</v>
      </c>
    </row>
    <row r="1600" customFormat="false" ht="28.35" hidden="false" customHeight="false" outlineLevel="0" collapsed="false">
      <c r="A1600" s="4" t="n">
        <v>81</v>
      </c>
      <c r="B1600" s="4" t="s">
        <v>2230</v>
      </c>
      <c r="C1600" s="4" t="s">
        <v>402</v>
      </c>
      <c r="D1600" s="4" t="s">
        <v>3508</v>
      </c>
      <c r="E1600" s="4" t="s">
        <v>475</v>
      </c>
      <c r="F1600" s="4" t="s">
        <v>974</v>
      </c>
    </row>
    <row r="1601" customFormat="false" ht="41.75" hidden="false" customHeight="false" outlineLevel="0" collapsed="false">
      <c r="A1601" s="4" t="n">
        <v>81</v>
      </c>
      <c r="B1601" s="4" t="s">
        <v>2230</v>
      </c>
      <c r="C1601" s="4" t="s">
        <v>403</v>
      </c>
      <c r="D1601" s="4" t="s">
        <v>3481</v>
      </c>
      <c r="E1601" s="4" t="s">
        <v>3645</v>
      </c>
      <c r="F1601" s="4" t="s">
        <v>3673</v>
      </c>
    </row>
    <row r="1602" customFormat="false" ht="41.75" hidden="false" customHeight="false" outlineLevel="0" collapsed="false">
      <c r="A1602" s="4" t="n">
        <v>81</v>
      </c>
      <c r="B1602" s="4" t="s">
        <v>2230</v>
      </c>
      <c r="C1602" s="4" t="s">
        <v>403</v>
      </c>
      <c r="D1602" s="4" t="s">
        <v>3481</v>
      </c>
      <c r="E1602" s="4" t="s">
        <v>3673</v>
      </c>
      <c r="F1602" s="4" t="s">
        <v>2249</v>
      </c>
    </row>
    <row r="1603" customFormat="false" ht="15" hidden="false" customHeight="false" outlineLevel="0" collapsed="false">
      <c r="A1603" s="4" t="n">
        <v>81</v>
      </c>
      <c r="B1603" s="4" t="s">
        <v>2230</v>
      </c>
      <c r="C1603" s="4" t="s">
        <v>16</v>
      </c>
      <c r="D1603" s="4" t="s">
        <v>3487</v>
      </c>
      <c r="E1603" s="4"/>
      <c r="F1603" s="4" t="n">
        <v>752</v>
      </c>
    </row>
    <row r="1604" customFormat="false" ht="15" hidden="false" customHeight="false" outlineLevel="0" collapsed="false">
      <c r="A1604" s="4" t="n">
        <v>81</v>
      </c>
      <c r="B1604" s="4" t="s">
        <v>2230</v>
      </c>
      <c r="C1604" s="4" t="s">
        <v>404</v>
      </c>
      <c r="D1604" s="4" t="s">
        <v>3488</v>
      </c>
      <c r="E1604" s="4"/>
      <c r="F1604" s="4" t="s">
        <v>601</v>
      </c>
    </row>
    <row r="1605" customFormat="false" ht="28.35" hidden="false" customHeight="false" outlineLevel="0" collapsed="false">
      <c r="A1605" s="4" t="n">
        <v>81</v>
      </c>
      <c r="B1605" s="4" t="s">
        <v>2230</v>
      </c>
      <c r="C1605" s="4" t="s">
        <v>405</v>
      </c>
      <c r="D1605" s="4" t="s">
        <v>3489</v>
      </c>
      <c r="E1605" s="4"/>
      <c r="F1605" s="4" t="s">
        <v>2250</v>
      </c>
    </row>
    <row r="1606" customFormat="false" ht="41.75" hidden="false" customHeight="false" outlineLevel="0" collapsed="false">
      <c r="A1606" s="4" t="n">
        <v>81</v>
      </c>
      <c r="B1606" s="4" t="s">
        <v>2230</v>
      </c>
      <c r="C1606" s="4" t="s">
        <v>406</v>
      </c>
      <c r="D1606" s="4" t="s">
        <v>3490</v>
      </c>
      <c r="E1606" s="4"/>
      <c r="F1606" s="4" t="s">
        <v>2244</v>
      </c>
    </row>
    <row r="1607" customFormat="false" ht="28.35" hidden="false" customHeight="false" outlineLevel="0" collapsed="false">
      <c r="A1607" s="4" t="n">
        <v>81</v>
      </c>
      <c r="B1607" s="4" t="s">
        <v>2230</v>
      </c>
      <c r="C1607" s="4" t="s">
        <v>417</v>
      </c>
      <c r="D1607" s="4" t="s">
        <v>3654</v>
      </c>
      <c r="E1607" s="4"/>
      <c r="F1607" s="4" t="n">
        <v>29.745009</v>
      </c>
    </row>
    <row r="1608" customFormat="false" ht="41.75" hidden="false" customHeight="false" outlineLevel="0" collapsed="false">
      <c r="A1608" s="4" t="n">
        <v>81</v>
      </c>
      <c r="B1608" s="4" t="s">
        <v>2230</v>
      </c>
      <c r="C1608" s="4" t="s">
        <v>418</v>
      </c>
      <c r="D1608" s="4" t="s">
        <v>3655</v>
      </c>
      <c r="E1608" s="4"/>
      <c r="F1608" s="4" t="s">
        <v>2255</v>
      </c>
    </row>
    <row r="1609" customFormat="false" ht="189.55" hidden="false" customHeight="false" outlineLevel="0" collapsed="false">
      <c r="A1609" s="4" t="n">
        <v>81</v>
      </c>
      <c r="B1609" s="4" t="s">
        <v>2230</v>
      </c>
      <c r="C1609" s="4" t="s">
        <v>419</v>
      </c>
      <c r="D1609" s="4" t="s">
        <v>3534</v>
      </c>
      <c r="E1609" s="4"/>
      <c r="F1609" s="4" t="s">
        <v>2256</v>
      </c>
    </row>
    <row r="1610" customFormat="false" ht="15" hidden="false" customHeight="false" outlineLevel="0" collapsed="false">
      <c r="A1610" s="4" t="n">
        <v>81</v>
      </c>
      <c r="B1610" s="4" t="s">
        <v>2230</v>
      </c>
      <c r="C1610" s="4" t="s">
        <v>427</v>
      </c>
      <c r="D1610" s="4" t="s">
        <v>3464</v>
      </c>
      <c r="E1610" s="4"/>
      <c r="F1610" s="4" t="s">
        <v>24</v>
      </c>
    </row>
    <row r="1611" customFormat="false" ht="15" hidden="false" customHeight="false" outlineLevel="0" collapsed="false">
      <c r="A1611" s="4" t="n">
        <v>81</v>
      </c>
      <c r="B1611" s="4" t="s">
        <v>2230</v>
      </c>
      <c r="C1611" s="4" t="s">
        <v>428</v>
      </c>
      <c r="D1611" s="4" t="s">
        <v>3465</v>
      </c>
      <c r="E1611" s="4"/>
      <c r="F1611" s="4" t="s">
        <v>30</v>
      </c>
    </row>
    <row r="1612" customFormat="false" ht="15" hidden="false" customHeight="false" outlineLevel="0" collapsed="false">
      <c r="A1612" s="4" t="n">
        <v>81</v>
      </c>
      <c r="B1612" s="4" t="s">
        <v>2230</v>
      </c>
      <c r="C1612" s="4" t="s">
        <v>429</v>
      </c>
      <c r="D1612" s="4" t="s">
        <v>3466</v>
      </c>
      <c r="E1612" s="4"/>
      <c r="F1612" s="4" t="s">
        <v>34</v>
      </c>
    </row>
    <row r="1613" customFormat="false" ht="41.75" hidden="false" customHeight="false" outlineLevel="0" collapsed="false">
      <c r="A1613" s="4" t="n">
        <v>81</v>
      </c>
      <c r="B1613" s="4" t="s">
        <v>2230</v>
      </c>
      <c r="C1613" s="4" t="s">
        <v>430</v>
      </c>
      <c r="D1613" s="4" t="s">
        <v>3467</v>
      </c>
      <c r="E1613" s="4"/>
      <c r="F1613" s="4" t="s">
        <v>2110</v>
      </c>
    </row>
    <row r="1614" customFormat="false" ht="15" hidden="false" customHeight="false" outlineLevel="0" collapsed="false">
      <c r="A1614" s="4" t="n">
        <v>81</v>
      </c>
      <c r="B1614" s="4" t="s">
        <v>2230</v>
      </c>
      <c r="C1614" s="4" t="s">
        <v>431</v>
      </c>
      <c r="D1614" s="4" t="s">
        <v>3468</v>
      </c>
      <c r="E1614" s="4"/>
      <c r="F1614" s="4" t="s">
        <v>484</v>
      </c>
    </row>
    <row r="1615" customFormat="false" ht="15" hidden="false" customHeight="false" outlineLevel="0" collapsed="false">
      <c r="A1615" s="4" t="n">
        <v>81</v>
      </c>
      <c r="B1615" s="4" t="s">
        <v>2230</v>
      </c>
      <c r="C1615" s="4" t="s">
        <v>432</v>
      </c>
      <c r="D1615" s="4" t="s">
        <v>3469</v>
      </c>
      <c r="E1615" s="4"/>
      <c r="F1615" s="4" t="s">
        <v>524</v>
      </c>
    </row>
    <row r="1616" customFormat="false" ht="28.35" hidden="false" customHeight="false" outlineLevel="0" collapsed="false">
      <c r="A1616" s="4" t="n">
        <v>81</v>
      </c>
      <c r="B1616" s="4" t="s">
        <v>2230</v>
      </c>
      <c r="C1616" s="4" t="s">
        <v>433</v>
      </c>
      <c r="D1616" s="4" t="s">
        <v>3470</v>
      </c>
      <c r="E1616" s="4"/>
      <c r="F1616" s="4" t="s">
        <v>2111</v>
      </c>
    </row>
    <row r="1617" customFormat="false" ht="15" hidden="false" customHeight="false" outlineLevel="0" collapsed="false">
      <c r="A1617" s="4" t="n">
        <v>81</v>
      </c>
      <c r="B1617" s="4" t="s">
        <v>2230</v>
      </c>
      <c r="C1617" s="4" t="s">
        <v>434</v>
      </c>
      <c r="D1617" s="4" t="s">
        <v>3482</v>
      </c>
      <c r="E1617" s="4"/>
      <c r="F1617" s="4" t="s">
        <v>2112</v>
      </c>
    </row>
    <row r="1618" customFormat="false" ht="15" hidden="false" customHeight="false" outlineLevel="0" collapsed="false">
      <c r="A1618" s="4" t="n">
        <v>81</v>
      </c>
      <c r="B1618" s="4" t="s">
        <v>2230</v>
      </c>
      <c r="C1618" s="4" t="s">
        <v>435</v>
      </c>
      <c r="D1618" s="4" t="s">
        <v>3510</v>
      </c>
      <c r="E1618" s="4"/>
      <c r="F1618" s="4" t="s">
        <v>79</v>
      </c>
    </row>
    <row r="1619" customFormat="false" ht="15" hidden="false" customHeight="false" outlineLevel="0" collapsed="false">
      <c r="A1619" s="4" t="n">
        <v>81</v>
      </c>
      <c r="B1619" s="4" t="s">
        <v>2230</v>
      </c>
      <c r="C1619" s="4" t="s">
        <v>436</v>
      </c>
      <c r="D1619" s="4" t="s">
        <v>3471</v>
      </c>
      <c r="E1619" s="4"/>
      <c r="F1619" s="4" t="s">
        <v>78</v>
      </c>
    </row>
    <row r="1620" customFormat="false" ht="28.35" hidden="false" customHeight="false" outlineLevel="0" collapsed="false">
      <c r="A1620" s="4" t="n">
        <v>81</v>
      </c>
      <c r="B1620" s="4" t="s">
        <v>2230</v>
      </c>
      <c r="C1620" s="4" t="s">
        <v>437</v>
      </c>
      <c r="D1620" s="4" t="s">
        <v>3472</v>
      </c>
      <c r="E1620" s="4"/>
      <c r="F1620" s="4" t="n">
        <v>12</v>
      </c>
    </row>
    <row r="1621" customFormat="false" ht="135.8" hidden="false" customHeight="false" outlineLevel="0" collapsed="false">
      <c r="A1621" s="4" t="n">
        <v>82</v>
      </c>
      <c r="B1621" s="4" t="s">
        <v>2257</v>
      </c>
      <c r="C1621" s="4" t="s">
        <v>372</v>
      </c>
      <c r="D1621" s="4" t="s">
        <v>3504</v>
      </c>
      <c r="E1621" s="4" t="s">
        <v>3674</v>
      </c>
      <c r="F1621" s="4" t="s">
        <v>2263</v>
      </c>
    </row>
    <row r="1622" customFormat="false" ht="28.35" hidden="false" customHeight="false" outlineLevel="0" collapsed="false">
      <c r="A1622" s="4" t="n">
        <v>82</v>
      </c>
      <c r="B1622" s="4" t="s">
        <v>2257</v>
      </c>
      <c r="C1622" s="4" t="s">
        <v>373</v>
      </c>
      <c r="D1622" s="4" t="s">
        <v>3664</v>
      </c>
      <c r="E1622" s="4" t="s">
        <v>2020</v>
      </c>
      <c r="F1622" s="4" t="s">
        <v>2264</v>
      </c>
    </row>
    <row r="1623" customFormat="false" ht="28.35" hidden="false" customHeight="false" outlineLevel="0" collapsed="false">
      <c r="A1623" s="4" t="n">
        <v>82</v>
      </c>
      <c r="B1623" s="4" t="s">
        <v>2257</v>
      </c>
      <c r="C1623" s="4" t="s">
        <v>374</v>
      </c>
      <c r="D1623" s="4" t="s">
        <v>3616</v>
      </c>
      <c r="E1623" s="4" t="s">
        <v>3675</v>
      </c>
      <c r="F1623" s="4" t="s">
        <v>2265</v>
      </c>
    </row>
    <row r="1624" customFormat="false" ht="82.05" hidden="false" customHeight="false" outlineLevel="0" collapsed="false">
      <c r="A1624" s="4" t="n">
        <v>82</v>
      </c>
      <c r="B1624" s="4" t="s">
        <v>2257</v>
      </c>
      <c r="C1624" s="4" t="s">
        <v>380</v>
      </c>
      <c r="D1624" s="4" t="s">
        <v>3474</v>
      </c>
      <c r="E1624" s="4" t="s">
        <v>3676</v>
      </c>
      <c r="F1624" s="4" t="s">
        <v>2266</v>
      </c>
    </row>
    <row r="1625" customFormat="false" ht="28.35" hidden="false" customHeight="false" outlineLevel="0" collapsed="false">
      <c r="A1625" s="4" t="n">
        <v>82</v>
      </c>
      <c r="B1625" s="4" t="s">
        <v>2257</v>
      </c>
      <c r="C1625" s="4" t="s">
        <v>427</v>
      </c>
      <c r="D1625" s="4" t="s">
        <v>3464</v>
      </c>
      <c r="E1625" s="4"/>
      <c r="F1625" s="4" t="s">
        <v>23</v>
      </c>
    </row>
    <row r="1626" customFormat="false" ht="28.35" hidden="false" customHeight="false" outlineLevel="0" collapsed="false">
      <c r="A1626" s="4" t="n">
        <v>82</v>
      </c>
      <c r="B1626" s="4" t="s">
        <v>2257</v>
      </c>
      <c r="C1626" s="4" t="s">
        <v>428</v>
      </c>
      <c r="D1626" s="4" t="s">
        <v>3465</v>
      </c>
      <c r="E1626" s="4"/>
      <c r="F1626" s="4" t="s">
        <v>28</v>
      </c>
    </row>
    <row r="1627" customFormat="false" ht="28.35" hidden="false" customHeight="false" outlineLevel="0" collapsed="false">
      <c r="A1627" s="4" t="n">
        <v>82</v>
      </c>
      <c r="B1627" s="4" t="s">
        <v>2257</v>
      </c>
      <c r="C1627" s="4" t="s">
        <v>429</v>
      </c>
      <c r="D1627" s="4" t="s">
        <v>3466</v>
      </c>
      <c r="E1627" s="4"/>
      <c r="F1627" s="4" t="s">
        <v>34</v>
      </c>
    </row>
    <row r="1628" customFormat="false" ht="28.35" hidden="false" customHeight="false" outlineLevel="0" collapsed="false">
      <c r="A1628" s="4" t="n">
        <v>82</v>
      </c>
      <c r="B1628" s="4" t="s">
        <v>2257</v>
      </c>
      <c r="C1628" s="4" t="s">
        <v>431</v>
      </c>
      <c r="D1628" s="4" t="s">
        <v>3468</v>
      </c>
      <c r="E1628" s="4"/>
      <c r="F1628" s="4" t="s">
        <v>484</v>
      </c>
    </row>
    <row r="1629" customFormat="false" ht="28.35" hidden="false" customHeight="false" outlineLevel="0" collapsed="false">
      <c r="A1629" s="4" t="n">
        <v>82</v>
      </c>
      <c r="B1629" s="4" t="s">
        <v>2257</v>
      </c>
      <c r="C1629" s="4" t="s">
        <v>432</v>
      </c>
      <c r="D1629" s="4" t="s">
        <v>3469</v>
      </c>
      <c r="E1629" s="4"/>
      <c r="F1629" s="4" t="s">
        <v>664</v>
      </c>
    </row>
    <row r="1630" customFormat="false" ht="28.35" hidden="false" customHeight="false" outlineLevel="0" collapsed="false">
      <c r="A1630" s="4" t="n">
        <v>82</v>
      </c>
      <c r="B1630" s="4" t="s">
        <v>2257</v>
      </c>
      <c r="C1630" s="4" t="s">
        <v>433</v>
      </c>
      <c r="D1630" s="4" t="s">
        <v>3470</v>
      </c>
      <c r="E1630" s="4"/>
      <c r="F1630" s="4" t="s">
        <v>2274</v>
      </c>
    </row>
    <row r="1631" customFormat="false" ht="28.35" hidden="false" customHeight="false" outlineLevel="0" collapsed="false">
      <c r="A1631" s="4" t="n">
        <v>82</v>
      </c>
      <c r="B1631" s="4" t="s">
        <v>2257</v>
      </c>
      <c r="C1631" s="4" t="s">
        <v>434</v>
      </c>
      <c r="D1631" s="4" t="s">
        <v>3482</v>
      </c>
      <c r="E1631" s="4"/>
      <c r="F1631" s="4" t="s">
        <v>1208</v>
      </c>
    </row>
    <row r="1632" customFormat="false" ht="28.35" hidden="false" customHeight="false" outlineLevel="0" collapsed="false">
      <c r="A1632" s="4" t="n">
        <v>82</v>
      </c>
      <c r="B1632" s="4" t="s">
        <v>2257</v>
      </c>
      <c r="C1632" s="4" t="s">
        <v>436</v>
      </c>
      <c r="D1632" s="4" t="s">
        <v>3471</v>
      </c>
      <c r="E1632" s="4"/>
      <c r="F1632" s="4" t="s">
        <v>2275</v>
      </c>
    </row>
    <row r="1633" customFormat="false" ht="95.5" hidden="false" customHeight="false" outlineLevel="0" collapsed="false">
      <c r="A1633" s="4" t="n">
        <v>83</v>
      </c>
      <c r="B1633" s="4" t="s">
        <v>2276</v>
      </c>
      <c r="C1633" s="4" t="s">
        <v>372</v>
      </c>
      <c r="D1633" s="4" t="s">
        <v>3504</v>
      </c>
      <c r="E1633" s="4" t="s">
        <v>3677</v>
      </c>
      <c r="F1633" s="4" t="s">
        <v>2282</v>
      </c>
    </row>
    <row r="1634" customFormat="false" ht="28.35" hidden="false" customHeight="false" outlineLevel="0" collapsed="false">
      <c r="A1634" s="4" t="n">
        <v>83</v>
      </c>
      <c r="B1634" s="4" t="s">
        <v>2276</v>
      </c>
      <c r="C1634" s="4" t="s">
        <v>373</v>
      </c>
      <c r="D1634" s="4" t="s">
        <v>3664</v>
      </c>
      <c r="E1634" s="4" t="s">
        <v>2020</v>
      </c>
      <c r="F1634" s="4" t="s">
        <v>2283</v>
      </c>
    </row>
    <row r="1635" customFormat="false" ht="41.75" hidden="false" customHeight="false" outlineLevel="0" collapsed="false">
      <c r="A1635" s="4" t="n">
        <v>83</v>
      </c>
      <c r="B1635" s="4" t="s">
        <v>2276</v>
      </c>
      <c r="C1635" s="4" t="s">
        <v>380</v>
      </c>
      <c r="D1635" s="4" t="s">
        <v>3474</v>
      </c>
      <c r="E1635" s="4" t="s">
        <v>3678</v>
      </c>
      <c r="F1635" s="4" t="s">
        <v>2284</v>
      </c>
    </row>
    <row r="1636" customFormat="false" ht="28.35" hidden="false" customHeight="false" outlineLevel="0" collapsed="false">
      <c r="A1636" s="4" t="n">
        <v>83</v>
      </c>
      <c r="B1636" s="4" t="s">
        <v>2276</v>
      </c>
      <c r="C1636" s="4" t="s">
        <v>403</v>
      </c>
      <c r="D1636" s="4" t="s">
        <v>3481</v>
      </c>
      <c r="E1636" s="4" t="s">
        <v>3645</v>
      </c>
      <c r="F1636" s="4" t="s">
        <v>2285</v>
      </c>
    </row>
    <row r="1637" customFormat="false" ht="28.35" hidden="false" customHeight="false" outlineLevel="0" collapsed="false">
      <c r="A1637" s="4" t="n">
        <v>83</v>
      </c>
      <c r="B1637" s="4" t="s">
        <v>2276</v>
      </c>
      <c r="C1637" s="4" t="s">
        <v>427</v>
      </c>
      <c r="D1637" s="4" t="s">
        <v>3464</v>
      </c>
      <c r="E1637" s="4"/>
      <c r="F1637" s="4" t="s">
        <v>24</v>
      </c>
    </row>
    <row r="1638" customFormat="false" ht="28.35" hidden="false" customHeight="false" outlineLevel="0" collapsed="false">
      <c r="A1638" s="4" t="n">
        <v>83</v>
      </c>
      <c r="B1638" s="4" t="s">
        <v>2276</v>
      </c>
      <c r="C1638" s="4" t="s">
        <v>428</v>
      </c>
      <c r="D1638" s="4" t="s">
        <v>3465</v>
      </c>
      <c r="E1638" s="4"/>
      <c r="F1638" s="4" t="s">
        <v>30</v>
      </c>
    </row>
    <row r="1639" customFormat="false" ht="28.35" hidden="false" customHeight="false" outlineLevel="0" collapsed="false">
      <c r="A1639" s="4" t="n">
        <v>83</v>
      </c>
      <c r="B1639" s="4" t="s">
        <v>2276</v>
      </c>
      <c r="C1639" s="4" t="s">
        <v>429</v>
      </c>
      <c r="D1639" s="4" t="s">
        <v>3466</v>
      </c>
      <c r="E1639" s="4"/>
      <c r="F1639" s="4" t="s">
        <v>34</v>
      </c>
    </row>
    <row r="1640" customFormat="false" ht="41.75" hidden="false" customHeight="false" outlineLevel="0" collapsed="false">
      <c r="A1640" s="4" t="n">
        <v>83</v>
      </c>
      <c r="B1640" s="4" t="s">
        <v>2276</v>
      </c>
      <c r="C1640" s="4" t="s">
        <v>430</v>
      </c>
      <c r="D1640" s="4" t="s">
        <v>3467</v>
      </c>
      <c r="E1640" s="4"/>
      <c r="F1640" s="4" t="s">
        <v>2291</v>
      </c>
    </row>
    <row r="1641" customFormat="false" ht="28.35" hidden="false" customHeight="false" outlineLevel="0" collapsed="false">
      <c r="A1641" s="4" t="n">
        <v>83</v>
      </c>
      <c r="B1641" s="4" t="s">
        <v>2276</v>
      </c>
      <c r="C1641" s="4" t="s">
        <v>431</v>
      </c>
      <c r="D1641" s="4" t="s">
        <v>3468</v>
      </c>
      <c r="E1641" s="4"/>
      <c r="F1641" s="4" t="s">
        <v>484</v>
      </c>
    </row>
    <row r="1642" customFormat="false" ht="28.35" hidden="false" customHeight="false" outlineLevel="0" collapsed="false">
      <c r="A1642" s="4" t="n">
        <v>83</v>
      </c>
      <c r="B1642" s="4" t="s">
        <v>2276</v>
      </c>
      <c r="C1642" s="4" t="s">
        <v>432</v>
      </c>
      <c r="D1642" s="4" t="s">
        <v>3469</v>
      </c>
      <c r="E1642" s="4"/>
      <c r="F1642" s="4" t="s">
        <v>664</v>
      </c>
    </row>
    <row r="1643" customFormat="false" ht="28.35" hidden="false" customHeight="false" outlineLevel="0" collapsed="false">
      <c r="A1643" s="4" t="n">
        <v>83</v>
      </c>
      <c r="B1643" s="4" t="s">
        <v>2276</v>
      </c>
      <c r="C1643" s="4" t="s">
        <v>433</v>
      </c>
      <c r="D1643" s="4" t="s">
        <v>3470</v>
      </c>
      <c r="E1643" s="4"/>
      <c r="F1643" s="4" t="s">
        <v>2292</v>
      </c>
    </row>
    <row r="1644" customFormat="false" ht="28.35" hidden="false" customHeight="false" outlineLevel="0" collapsed="false">
      <c r="A1644" s="4" t="n">
        <v>83</v>
      </c>
      <c r="B1644" s="4" t="s">
        <v>2276</v>
      </c>
      <c r="C1644" s="4" t="s">
        <v>434</v>
      </c>
      <c r="D1644" s="4" t="s">
        <v>3482</v>
      </c>
      <c r="E1644" s="4"/>
      <c r="F1644" s="4" t="s">
        <v>2293</v>
      </c>
    </row>
    <row r="1645" customFormat="false" ht="28.35" hidden="false" customHeight="false" outlineLevel="0" collapsed="false">
      <c r="A1645" s="4" t="n">
        <v>83</v>
      </c>
      <c r="B1645" s="4" t="s">
        <v>2276</v>
      </c>
      <c r="C1645" s="4" t="s">
        <v>435</v>
      </c>
      <c r="D1645" s="4" t="s">
        <v>3510</v>
      </c>
      <c r="E1645" s="4"/>
      <c r="F1645" s="4" t="s">
        <v>2294</v>
      </c>
    </row>
    <row r="1646" customFormat="false" ht="28.35" hidden="false" customHeight="false" outlineLevel="0" collapsed="false">
      <c r="A1646" s="4" t="n">
        <v>83</v>
      </c>
      <c r="B1646" s="4" t="s">
        <v>2276</v>
      </c>
      <c r="C1646" s="4" t="s">
        <v>436</v>
      </c>
      <c r="D1646" s="4" t="s">
        <v>3471</v>
      </c>
      <c r="E1646" s="4"/>
      <c r="F1646" s="4" t="s">
        <v>267</v>
      </c>
    </row>
    <row r="1647" customFormat="false" ht="28.35" hidden="false" customHeight="false" outlineLevel="0" collapsed="false">
      <c r="A1647" s="4" t="n">
        <v>83</v>
      </c>
      <c r="B1647" s="4" t="s">
        <v>2276</v>
      </c>
      <c r="C1647" s="4" t="s">
        <v>437</v>
      </c>
      <c r="D1647" s="4" t="s">
        <v>3472</v>
      </c>
      <c r="E1647" s="4"/>
      <c r="F1647" s="4" t="n">
        <v>13</v>
      </c>
    </row>
    <row r="1648" customFormat="false" ht="28.35" hidden="false" customHeight="false" outlineLevel="0" collapsed="false">
      <c r="A1648" s="4" t="n">
        <v>84</v>
      </c>
      <c r="B1648" s="4" t="s">
        <v>2295</v>
      </c>
      <c r="C1648" s="4" t="s">
        <v>369</v>
      </c>
      <c r="D1648" s="4" t="s">
        <v>3503</v>
      </c>
      <c r="E1648" s="4" t="s">
        <v>780</v>
      </c>
      <c r="F1648" s="4" t="s">
        <v>460</v>
      </c>
    </row>
    <row r="1649" customFormat="false" ht="122.35" hidden="false" customHeight="false" outlineLevel="0" collapsed="false">
      <c r="A1649" s="4" t="n">
        <v>84</v>
      </c>
      <c r="B1649" s="4" t="s">
        <v>2295</v>
      </c>
      <c r="C1649" s="4" t="s">
        <v>372</v>
      </c>
      <c r="D1649" s="4" t="s">
        <v>3504</v>
      </c>
      <c r="E1649" s="4" t="s">
        <v>2390</v>
      </c>
      <c r="F1649" s="4" t="s">
        <v>2301</v>
      </c>
    </row>
    <row r="1650" customFormat="false" ht="28.35" hidden="false" customHeight="false" outlineLevel="0" collapsed="false">
      <c r="A1650" s="4" t="n">
        <v>84</v>
      </c>
      <c r="B1650" s="4" t="s">
        <v>2295</v>
      </c>
      <c r="C1650" s="4" t="s">
        <v>373</v>
      </c>
      <c r="D1650" s="4" t="s">
        <v>3664</v>
      </c>
      <c r="E1650" s="4" t="s">
        <v>2020</v>
      </c>
      <c r="F1650" s="4" t="s">
        <v>2302</v>
      </c>
    </row>
    <row r="1651" customFormat="false" ht="122.35" hidden="false" customHeight="false" outlineLevel="0" collapsed="false">
      <c r="A1651" s="4" t="n">
        <v>84</v>
      </c>
      <c r="B1651" s="4" t="s">
        <v>2295</v>
      </c>
      <c r="C1651" s="4" t="s">
        <v>374</v>
      </c>
      <c r="D1651" s="4" t="s">
        <v>3616</v>
      </c>
      <c r="E1651" s="4" t="s">
        <v>3679</v>
      </c>
      <c r="F1651" s="4" t="s">
        <v>2303</v>
      </c>
    </row>
    <row r="1652" customFormat="false" ht="68.65" hidden="false" customHeight="false" outlineLevel="0" collapsed="false">
      <c r="A1652" s="4" t="n">
        <v>84</v>
      </c>
      <c r="B1652" s="4" t="s">
        <v>2295</v>
      </c>
      <c r="C1652" s="4" t="s">
        <v>380</v>
      </c>
      <c r="D1652" s="4" t="s">
        <v>3474</v>
      </c>
      <c r="E1652" s="4" t="s">
        <v>2315</v>
      </c>
      <c r="F1652" s="4" t="s">
        <v>2305</v>
      </c>
    </row>
    <row r="1653" customFormat="false" ht="28.35" hidden="false" customHeight="false" outlineLevel="0" collapsed="false">
      <c r="A1653" s="4" t="n">
        <v>84</v>
      </c>
      <c r="B1653" s="4" t="s">
        <v>2295</v>
      </c>
      <c r="C1653" s="4" t="s">
        <v>381</v>
      </c>
      <c r="D1653" s="4" t="s">
        <v>3526</v>
      </c>
      <c r="E1653" s="4"/>
      <c r="F1653" s="4" t="n">
        <v>38.33717</v>
      </c>
    </row>
    <row r="1654" customFormat="false" ht="15" hidden="false" customHeight="false" outlineLevel="0" collapsed="false">
      <c r="A1654" s="4" t="n">
        <v>84</v>
      </c>
      <c r="B1654" s="4" t="s">
        <v>2295</v>
      </c>
      <c r="C1654" s="4" t="s">
        <v>382</v>
      </c>
      <c r="D1654" s="4" t="s">
        <v>3527</v>
      </c>
      <c r="E1654" s="4"/>
      <c r="F1654" s="4" t="s">
        <v>2306</v>
      </c>
    </row>
    <row r="1655" customFormat="false" ht="55.2" hidden="false" customHeight="false" outlineLevel="0" collapsed="false">
      <c r="A1655" s="4" t="n">
        <v>84</v>
      </c>
      <c r="B1655" s="4" t="s">
        <v>2295</v>
      </c>
      <c r="C1655" s="4" t="s">
        <v>383</v>
      </c>
      <c r="D1655" s="4" t="s">
        <v>3528</v>
      </c>
      <c r="E1655" s="4"/>
      <c r="F1655" s="4" t="s">
        <v>2307</v>
      </c>
    </row>
    <row r="1656" customFormat="false" ht="28.35" hidden="false" customHeight="false" outlineLevel="0" collapsed="false">
      <c r="A1656" s="4" t="n">
        <v>84</v>
      </c>
      <c r="B1656" s="4" t="s">
        <v>2295</v>
      </c>
      <c r="C1656" s="4" t="s">
        <v>384</v>
      </c>
      <c r="D1656" s="4" t="s">
        <v>3529</v>
      </c>
      <c r="E1656" s="4"/>
      <c r="F1656" s="4" t="s">
        <v>2308</v>
      </c>
    </row>
    <row r="1657" customFormat="false" ht="41.75" hidden="false" customHeight="false" outlineLevel="0" collapsed="false">
      <c r="A1657" s="4" t="n">
        <v>84</v>
      </c>
      <c r="B1657" s="4" t="s">
        <v>2295</v>
      </c>
      <c r="C1657" s="4" t="s">
        <v>390</v>
      </c>
      <c r="D1657" s="4" t="s">
        <v>3479</v>
      </c>
      <c r="E1657" s="4" t="s">
        <v>473</v>
      </c>
      <c r="F1657" s="4" t="s">
        <v>2309</v>
      </c>
    </row>
    <row r="1658" customFormat="false" ht="41.75" hidden="false" customHeight="false" outlineLevel="0" collapsed="false">
      <c r="A1658" s="4" t="n">
        <v>84</v>
      </c>
      <c r="B1658" s="4" t="s">
        <v>2295</v>
      </c>
      <c r="C1658" s="4" t="s">
        <v>403</v>
      </c>
      <c r="D1658" s="4" t="s">
        <v>3481</v>
      </c>
      <c r="E1658" s="4" t="s">
        <v>476</v>
      </c>
      <c r="F1658" s="4" t="s">
        <v>2310</v>
      </c>
    </row>
    <row r="1659" customFormat="false" ht="41.75" hidden="false" customHeight="false" outlineLevel="0" collapsed="false">
      <c r="A1659" s="4" t="n">
        <v>84</v>
      </c>
      <c r="B1659" s="4" t="s">
        <v>2295</v>
      </c>
      <c r="C1659" s="4" t="s">
        <v>407</v>
      </c>
      <c r="D1659" s="4" t="s">
        <v>3485</v>
      </c>
      <c r="E1659" s="4"/>
      <c r="F1659" s="4" t="s">
        <v>2311</v>
      </c>
    </row>
    <row r="1660" customFormat="false" ht="15" hidden="false" customHeight="false" outlineLevel="0" collapsed="false">
      <c r="A1660" s="4" t="n">
        <v>84</v>
      </c>
      <c r="B1660" s="4" t="s">
        <v>2295</v>
      </c>
      <c r="C1660" s="4" t="s">
        <v>427</v>
      </c>
      <c r="D1660" s="4" t="s">
        <v>3464</v>
      </c>
      <c r="E1660" s="4"/>
      <c r="F1660" s="4" t="s">
        <v>26</v>
      </c>
    </row>
    <row r="1661" customFormat="false" ht="15" hidden="false" customHeight="false" outlineLevel="0" collapsed="false">
      <c r="A1661" s="4" t="n">
        <v>84</v>
      </c>
      <c r="B1661" s="4" t="s">
        <v>2295</v>
      </c>
      <c r="C1661" s="4" t="s">
        <v>428</v>
      </c>
      <c r="D1661" s="4" t="s">
        <v>3465</v>
      </c>
      <c r="E1661" s="4"/>
      <c r="F1661" s="4" t="s">
        <v>26</v>
      </c>
    </row>
    <row r="1662" customFormat="false" ht="15" hidden="false" customHeight="false" outlineLevel="0" collapsed="false">
      <c r="A1662" s="4" t="n">
        <v>84</v>
      </c>
      <c r="B1662" s="4" t="s">
        <v>2295</v>
      </c>
      <c r="C1662" s="4" t="s">
        <v>429</v>
      </c>
      <c r="D1662" s="4" t="s">
        <v>3466</v>
      </c>
      <c r="E1662" s="4"/>
      <c r="F1662" s="4" t="s">
        <v>39</v>
      </c>
    </row>
    <row r="1663" customFormat="false" ht="15" hidden="false" customHeight="false" outlineLevel="0" collapsed="false">
      <c r="A1663" s="4" t="n">
        <v>84</v>
      </c>
      <c r="B1663" s="4" t="s">
        <v>2295</v>
      </c>
      <c r="C1663" s="4" t="s">
        <v>431</v>
      </c>
      <c r="D1663" s="4" t="s">
        <v>3468</v>
      </c>
      <c r="E1663" s="4"/>
      <c r="F1663" s="4" t="s">
        <v>484</v>
      </c>
    </row>
    <row r="1664" customFormat="false" ht="15" hidden="false" customHeight="false" outlineLevel="0" collapsed="false">
      <c r="A1664" s="4" t="n">
        <v>84</v>
      </c>
      <c r="B1664" s="4" t="s">
        <v>2295</v>
      </c>
      <c r="C1664" s="4" t="s">
        <v>432</v>
      </c>
      <c r="D1664" s="4" t="s">
        <v>3469</v>
      </c>
      <c r="E1664" s="4"/>
      <c r="F1664" s="4" t="s">
        <v>485</v>
      </c>
    </row>
    <row r="1665" customFormat="false" ht="28.35" hidden="false" customHeight="false" outlineLevel="0" collapsed="false">
      <c r="A1665" s="4" t="n">
        <v>84</v>
      </c>
      <c r="B1665" s="4" t="s">
        <v>2295</v>
      </c>
      <c r="C1665" s="4" t="s">
        <v>433</v>
      </c>
      <c r="D1665" s="4" t="s">
        <v>3470</v>
      </c>
      <c r="E1665" s="4"/>
      <c r="F1665" s="4" t="s">
        <v>2316</v>
      </c>
    </row>
    <row r="1666" customFormat="false" ht="15" hidden="false" customHeight="false" outlineLevel="0" collapsed="false">
      <c r="A1666" s="4" t="n">
        <v>84</v>
      </c>
      <c r="B1666" s="4" t="s">
        <v>2295</v>
      </c>
      <c r="C1666" s="4" t="s">
        <v>436</v>
      </c>
      <c r="D1666" s="4" t="s">
        <v>3471</v>
      </c>
      <c r="E1666" s="4"/>
      <c r="F1666" s="4" t="s">
        <v>2317</v>
      </c>
    </row>
    <row r="1667" customFormat="false" ht="28.35" hidden="false" customHeight="false" outlineLevel="0" collapsed="false">
      <c r="A1667" s="4" t="n">
        <v>85</v>
      </c>
      <c r="B1667" s="4" t="s">
        <v>2318</v>
      </c>
      <c r="C1667" s="4" t="s">
        <v>369</v>
      </c>
      <c r="D1667" s="4" t="s">
        <v>3503</v>
      </c>
      <c r="E1667" s="4" t="s">
        <v>780</v>
      </c>
      <c r="F1667" s="4" t="s">
        <v>643</v>
      </c>
    </row>
    <row r="1668" customFormat="false" ht="202.95" hidden="false" customHeight="false" outlineLevel="0" collapsed="false">
      <c r="A1668" s="4" t="n">
        <v>85</v>
      </c>
      <c r="B1668" s="4" t="s">
        <v>2318</v>
      </c>
      <c r="C1668" s="4" t="s">
        <v>372</v>
      </c>
      <c r="D1668" s="4" t="s">
        <v>3504</v>
      </c>
      <c r="E1668" s="4" t="s">
        <v>3680</v>
      </c>
      <c r="F1668" s="4" t="s">
        <v>2324</v>
      </c>
    </row>
    <row r="1669" customFormat="false" ht="68.65" hidden="false" customHeight="false" outlineLevel="0" collapsed="false">
      <c r="A1669" s="4" t="n">
        <v>85</v>
      </c>
      <c r="B1669" s="4" t="s">
        <v>2318</v>
      </c>
      <c r="C1669" s="4" t="s">
        <v>374</v>
      </c>
      <c r="D1669" s="4" t="s">
        <v>3616</v>
      </c>
      <c r="E1669" s="4" t="s">
        <v>3681</v>
      </c>
      <c r="F1669" s="4" t="s">
        <v>2325</v>
      </c>
    </row>
    <row r="1670" customFormat="false" ht="95.5" hidden="false" customHeight="false" outlineLevel="0" collapsed="false">
      <c r="A1670" s="4" t="n">
        <v>85</v>
      </c>
      <c r="B1670" s="4" t="s">
        <v>2318</v>
      </c>
      <c r="C1670" s="4" t="s">
        <v>380</v>
      </c>
      <c r="D1670" s="4" t="s">
        <v>3474</v>
      </c>
      <c r="E1670" s="4" t="s">
        <v>3682</v>
      </c>
      <c r="F1670" s="4" t="s">
        <v>2327</v>
      </c>
    </row>
    <row r="1671" customFormat="false" ht="28.35" hidden="false" customHeight="false" outlineLevel="0" collapsed="false">
      <c r="A1671" s="4" t="n">
        <v>85</v>
      </c>
      <c r="B1671" s="4" t="s">
        <v>2318</v>
      </c>
      <c r="C1671" s="4" t="s">
        <v>390</v>
      </c>
      <c r="D1671" s="4" t="s">
        <v>3479</v>
      </c>
      <c r="E1671" s="4" t="s">
        <v>473</v>
      </c>
      <c r="F1671" s="4" t="s">
        <v>2328</v>
      </c>
    </row>
    <row r="1672" customFormat="false" ht="28.35" hidden="false" customHeight="false" outlineLevel="0" collapsed="false">
      <c r="A1672" s="4" t="n">
        <v>85</v>
      </c>
      <c r="B1672" s="4" t="s">
        <v>2318</v>
      </c>
      <c r="C1672" s="4" t="s">
        <v>395</v>
      </c>
      <c r="D1672" s="4" t="s">
        <v>3507</v>
      </c>
      <c r="E1672" s="4" t="s">
        <v>474</v>
      </c>
      <c r="F1672" s="4" t="s">
        <v>2329</v>
      </c>
    </row>
    <row r="1673" customFormat="false" ht="28.35" hidden="false" customHeight="false" outlineLevel="0" collapsed="false">
      <c r="A1673" s="4" t="n">
        <v>85</v>
      </c>
      <c r="B1673" s="4" t="s">
        <v>2318</v>
      </c>
      <c r="C1673" s="4" t="s">
        <v>402</v>
      </c>
      <c r="D1673" s="4" t="s">
        <v>3508</v>
      </c>
      <c r="E1673" s="4" t="s">
        <v>475</v>
      </c>
      <c r="F1673" s="4" t="s">
        <v>2330</v>
      </c>
    </row>
    <row r="1674" customFormat="false" ht="55.2" hidden="false" customHeight="false" outlineLevel="0" collapsed="false">
      <c r="A1674" s="4" t="n">
        <v>85</v>
      </c>
      <c r="B1674" s="4" t="s">
        <v>2318</v>
      </c>
      <c r="C1674" s="4" t="s">
        <v>403</v>
      </c>
      <c r="D1674" s="4" t="s">
        <v>3481</v>
      </c>
      <c r="E1674" s="4" t="s">
        <v>476</v>
      </c>
      <c r="F1674" s="4" t="s">
        <v>2331</v>
      </c>
    </row>
    <row r="1675" customFormat="false" ht="82.05" hidden="false" customHeight="false" outlineLevel="0" collapsed="false">
      <c r="A1675" s="4" t="n">
        <v>85</v>
      </c>
      <c r="B1675" s="4" t="s">
        <v>2318</v>
      </c>
      <c r="C1675" s="4" t="s">
        <v>407</v>
      </c>
      <c r="D1675" s="4" t="s">
        <v>3485</v>
      </c>
      <c r="E1675" s="4"/>
      <c r="F1675" s="4" t="s">
        <v>2332</v>
      </c>
    </row>
    <row r="1676" customFormat="false" ht="15" hidden="false" customHeight="false" outlineLevel="0" collapsed="false">
      <c r="A1676" s="4" t="n">
        <v>85</v>
      </c>
      <c r="B1676" s="4" t="s">
        <v>2318</v>
      </c>
      <c r="C1676" s="4" t="s">
        <v>427</v>
      </c>
      <c r="D1676" s="4" t="s">
        <v>3464</v>
      </c>
      <c r="E1676" s="4"/>
      <c r="F1676" s="4" t="s">
        <v>24</v>
      </c>
    </row>
    <row r="1677" customFormat="false" ht="15" hidden="false" customHeight="false" outlineLevel="0" collapsed="false">
      <c r="A1677" s="4" t="n">
        <v>85</v>
      </c>
      <c r="B1677" s="4" t="s">
        <v>2318</v>
      </c>
      <c r="C1677" s="4" t="s">
        <v>428</v>
      </c>
      <c r="D1677" s="4" t="s">
        <v>3465</v>
      </c>
      <c r="E1677" s="4"/>
      <c r="F1677" s="4" t="s">
        <v>31</v>
      </c>
    </row>
    <row r="1678" customFormat="false" ht="15" hidden="false" customHeight="false" outlineLevel="0" collapsed="false">
      <c r="A1678" s="4" t="n">
        <v>85</v>
      </c>
      <c r="B1678" s="4" t="s">
        <v>2318</v>
      </c>
      <c r="C1678" s="4" t="s">
        <v>429</v>
      </c>
      <c r="D1678" s="4" t="s">
        <v>3466</v>
      </c>
      <c r="E1678" s="4"/>
      <c r="F1678" s="4" t="s">
        <v>38</v>
      </c>
    </row>
    <row r="1679" customFormat="false" ht="41.75" hidden="false" customHeight="false" outlineLevel="0" collapsed="false">
      <c r="A1679" s="4" t="n">
        <v>85</v>
      </c>
      <c r="B1679" s="4" t="s">
        <v>2318</v>
      </c>
      <c r="C1679" s="4" t="s">
        <v>430</v>
      </c>
      <c r="D1679" s="4" t="s">
        <v>3467</v>
      </c>
      <c r="E1679" s="4"/>
      <c r="F1679" s="4" t="s">
        <v>2337</v>
      </c>
    </row>
    <row r="1680" customFormat="false" ht="15" hidden="false" customHeight="false" outlineLevel="0" collapsed="false">
      <c r="A1680" s="4" t="n">
        <v>85</v>
      </c>
      <c r="B1680" s="4" t="s">
        <v>2318</v>
      </c>
      <c r="C1680" s="4" t="s">
        <v>431</v>
      </c>
      <c r="D1680" s="4" t="s">
        <v>3468</v>
      </c>
      <c r="E1680" s="4"/>
      <c r="F1680" s="4" t="s">
        <v>484</v>
      </c>
    </row>
    <row r="1681" customFormat="false" ht="15" hidden="false" customHeight="false" outlineLevel="0" collapsed="false">
      <c r="A1681" s="4" t="n">
        <v>85</v>
      </c>
      <c r="B1681" s="4" t="s">
        <v>2318</v>
      </c>
      <c r="C1681" s="4" t="s">
        <v>432</v>
      </c>
      <c r="D1681" s="4" t="s">
        <v>3469</v>
      </c>
      <c r="E1681" s="4"/>
      <c r="F1681" s="4" t="s">
        <v>713</v>
      </c>
    </row>
    <row r="1682" customFormat="false" ht="28.35" hidden="false" customHeight="false" outlineLevel="0" collapsed="false">
      <c r="A1682" s="4" t="n">
        <v>85</v>
      </c>
      <c r="B1682" s="4" t="s">
        <v>2318</v>
      </c>
      <c r="C1682" s="4" t="s">
        <v>433</v>
      </c>
      <c r="D1682" s="4" t="s">
        <v>3470</v>
      </c>
      <c r="E1682" s="4"/>
      <c r="F1682" s="4" t="s">
        <v>2163</v>
      </c>
    </row>
    <row r="1683" customFormat="false" ht="28.35" hidden="false" customHeight="false" outlineLevel="0" collapsed="false">
      <c r="A1683" s="4" t="n">
        <v>85</v>
      </c>
      <c r="B1683" s="4" t="s">
        <v>2318</v>
      </c>
      <c r="C1683" s="4" t="s">
        <v>434</v>
      </c>
      <c r="D1683" s="4" t="s">
        <v>3482</v>
      </c>
      <c r="E1683" s="4"/>
      <c r="F1683" s="4" t="s">
        <v>2164</v>
      </c>
    </row>
    <row r="1684" customFormat="false" ht="15" hidden="false" customHeight="false" outlineLevel="0" collapsed="false">
      <c r="A1684" s="4" t="n">
        <v>85</v>
      </c>
      <c r="B1684" s="4" t="s">
        <v>2318</v>
      </c>
      <c r="C1684" s="4" t="s">
        <v>435</v>
      </c>
      <c r="D1684" s="4" t="s">
        <v>3510</v>
      </c>
      <c r="E1684" s="4"/>
      <c r="F1684" s="4" t="s">
        <v>2165</v>
      </c>
    </row>
    <row r="1685" customFormat="false" ht="15" hidden="false" customHeight="false" outlineLevel="0" collapsed="false">
      <c r="A1685" s="4" t="n">
        <v>85</v>
      </c>
      <c r="B1685" s="4" t="s">
        <v>2318</v>
      </c>
      <c r="C1685" s="4" t="s">
        <v>436</v>
      </c>
      <c r="D1685" s="4" t="s">
        <v>3471</v>
      </c>
      <c r="E1685" s="4"/>
      <c r="F1685" s="4" t="s">
        <v>297</v>
      </c>
    </row>
    <row r="1686" customFormat="false" ht="28.35" hidden="false" customHeight="false" outlineLevel="0" collapsed="false">
      <c r="A1686" s="4" t="n">
        <v>85</v>
      </c>
      <c r="B1686" s="4" t="s">
        <v>2318</v>
      </c>
      <c r="C1686" s="4" t="s">
        <v>437</v>
      </c>
      <c r="D1686" s="4" t="s">
        <v>3472</v>
      </c>
      <c r="E1686" s="4"/>
      <c r="F1686" s="4" t="n">
        <v>15</v>
      </c>
    </row>
    <row r="1687" customFormat="false" ht="108.95" hidden="false" customHeight="false" outlineLevel="0" collapsed="false">
      <c r="A1687" s="4" t="n">
        <v>85</v>
      </c>
      <c r="B1687" s="4" t="s">
        <v>2318</v>
      </c>
      <c r="C1687" s="4" t="s">
        <v>438</v>
      </c>
      <c r="D1687" s="4" t="s">
        <v>3511</v>
      </c>
      <c r="E1687" s="4"/>
      <c r="F1687" s="4" t="s">
        <v>2338</v>
      </c>
    </row>
    <row r="1688" customFormat="false" ht="95.5" hidden="false" customHeight="false" outlineLevel="0" collapsed="false">
      <c r="A1688" s="4" t="n">
        <v>86</v>
      </c>
      <c r="B1688" s="4" t="s">
        <v>2339</v>
      </c>
      <c r="C1688" s="4" t="s">
        <v>372</v>
      </c>
      <c r="D1688" s="4" t="s">
        <v>3504</v>
      </c>
      <c r="E1688" s="4" t="s">
        <v>3683</v>
      </c>
      <c r="F1688" s="4" t="s">
        <v>2345</v>
      </c>
    </row>
    <row r="1689" customFormat="false" ht="108.95" hidden="false" customHeight="false" outlineLevel="0" collapsed="false">
      <c r="A1689" s="4" t="n">
        <v>86</v>
      </c>
      <c r="B1689" s="4" t="s">
        <v>2339</v>
      </c>
      <c r="C1689" s="4" t="s">
        <v>380</v>
      </c>
      <c r="D1689" s="4" t="s">
        <v>3474</v>
      </c>
      <c r="E1689" s="4" t="s">
        <v>3684</v>
      </c>
      <c r="F1689" s="4" t="s">
        <v>2347</v>
      </c>
    </row>
    <row r="1690" customFormat="false" ht="15" hidden="false" customHeight="false" outlineLevel="0" collapsed="false">
      <c r="A1690" s="4" t="n">
        <v>86</v>
      </c>
      <c r="B1690" s="4" t="s">
        <v>2339</v>
      </c>
      <c r="C1690" s="4" t="s">
        <v>392</v>
      </c>
      <c r="D1690" s="4" t="s">
        <v>3530</v>
      </c>
      <c r="E1690" s="4"/>
      <c r="F1690" s="4" t="n">
        <v>58.784907</v>
      </c>
    </row>
    <row r="1691" customFormat="false" ht="15" hidden="false" customHeight="false" outlineLevel="0" collapsed="false">
      <c r="A1691" s="4" t="n">
        <v>86</v>
      </c>
      <c r="B1691" s="4" t="s">
        <v>2339</v>
      </c>
      <c r="C1691" s="4" t="s">
        <v>393</v>
      </c>
      <c r="D1691" s="4" t="s">
        <v>3531</v>
      </c>
      <c r="E1691" s="4"/>
      <c r="F1691" s="4" t="n">
        <v>2026</v>
      </c>
    </row>
    <row r="1692" customFormat="false" ht="28.35" hidden="false" customHeight="false" outlineLevel="0" collapsed="false">
      <c r="A1692" s="4" t="n">
        <v>86</v>
      </c>
      <c r="B1692" s="4" t="s">
        <v>2339</v>
      </c>
      <c r="C1692" s="4" t="s">
        <v>394</v>
      </c>
      <c r="D1692" s="4" t="s">
        <v>3532</v>
      </c>
      <c r="E1692" s="4"/>
      <c r="F1692" s="4" t="s">
        <v>2348</v>
      </c>
    </row>
    <row r="1693" customFormat="false" ht="28.35" hidden="false" customHeight="false" outlineLevel="0" collapsed="false">
      <c r="A1693" s="4" t="n">
        <v>86</v>
      </c>
      <c r="B1693" s="4" t="s">
        <v>2339</v>
      </c>
      <c r="C1693" s="4" t="s">
        <v>395</v>
      </c>
      <c r="D1693" s="4" t="s">
        <v>3507</v>
      </c>
      <c r="E1693" s="4" t="s">
        <v>474</v>
      </c>
      <c r="F1693" s="4" t="s">
        <v>506</v>
      </c>
    </row>
    <row r="1694" customFormat="false" ht="28.35" hidden="false" customHeight="false" outlineLevel="0" collapsed="false">
      <c r="A1694" s="4" t="n">
        <v>86</v>
      </c>
      <c r="B1694" s="4" t="s">
        <v>2339</v>
      </c>
      <c r="C1694" s="4" t="s">
        <v>396</v>
      </c>
      <c r="D1694" s="4" t="s">
        <v>3533</v>
      </c>
      <c r="E1694" s="4"/>
      <c r="F1694" s="4" t="s">
        <v>2349</v>
      </c>
    </row>
    <row r="1695" customFormat="false" ht="28.35" hidden="false" customHeight="false" outlineLevel="0" collapsed="false">
      <c r="A1695" s="4" t="n">
        <v>86</v>
      </c>
      <c r="B1695" s="4" t="s">
        <v>2339</v>
      </c>
      <c r="C1695" s="4" t="s">
        <v>403</v>
      </c>
      <c r="D1695" s="4" t="s">
        <v>3481</v>
      </c>
      <c r="E1695" s="4" t="s">
        <v>3645</v>
      </c>
      <c r="F1695" s="4" t="s">
        <v>2350</v>
      </c>
    </row>
    <row r="1696" customFormat="false" ht="15" hidden="false" customHeight="false" outlineLevel="0" collapsed="false">
      <c r="A1696" s="4" t="n">
        <v>86</v>
      </c>
      <c r="B1696" s="4" t="s">
        <v>2339</v>
      </c>
      <c r="C1696" s="4" t="s">
        <v>16</v>
      </c>
      <c r="D1696" s="4" t="s">
        <v>3487</v>
      </c>
      <c r="E1696" s="4"/>
      <c r="F1696" s="4" t="n">
        <v>1103</v>
      </c>
    </row>
    <row r="1697" customFormat="false" ht="15" hidden="false" customHeight="false" outlineLevel="0" collapsed="false">
      <c r="A1697" s="4" t="n">
        <v>86</v>
      </c>
      <c r="B1697" s="4" t="s">
        <v>2339</v>
      </c>
      <c r="C1697" s="4" t="s">
        <v>404</v>
      </c>
      <c r="D1697" s="4" t="s">
        <v>3488</v>
      </c>
      <c r="E1697" s="4"/>
      <c r="F1697" s="4" t="s">
        <v>964</v>
      </c>
    </row>
    <row r="1698" customFormat="false" ht="41.75" hidden="false" customHeight="false" outlineLevel="0" collapsed="false">
      <c r="A1698" s="4" t="n">
        <v>86</v>
      </c>
      <c r="B1698" s="4" t="s">
        <v>2339</v>
      </c>
      <c r="C1698" s="4" t="s">
        <v>405</v>
      </c>
      <c r="D1698" s="4" t="s">
        <v>3489</v>
      </c>
      <c r="E1698" s="4"/>
      <c r="F1698" s="4" t="s">
        <v>2351</v>
      </c>
    </row>
    <row r="1699" customFormat="false" ht="28.35" hidden="false" customHeight="false" outlineLevel="0" collapsed="false">
      <c r="A1699" s="4" t="n">
        <v>86</v>
      </c>
      <c r="B1699" s="4" t="s">
        <v>2339</v>
      </c>
      <c r="C1699" s="4" t="s">
        <v>406</v>
      </c>
      <c r="D1699" s="4" t="s">
        <v>3490</v>
      </c>
      <c r="E1699" s="4"/>
      <c r="F1699" s="4" t="s">
        <v>2352</v>
      </c>
    </row>
    <row r="1700" customFormat="false" ht="55.2" hidden="false" customHeight="false" outlineLevel="0" collapsed="false">
      <c r="A1700" s="4" t="n">
        <v>86</v>
      </c>
      <c r="B1700" s="4" t="s">
        <v>2339</v>
      </c>
      <c r="C1700" s="4" t="s">
        <v>407</v>
      </c>
      <c r="D1700" s="4" t="s">
        <v>3485</v>
      </c>
      <c r="E1700" s="4"/>
      <c r="F1700" s="4" t="s">
        <v>2353</v>
      </c>
    </row>
    <row r="1701" customFormat="false" ht="55.2" hidden="false" customHeight="false" outlineLevel="0" collapsed="false">
      <c r="A1701" s="4" t="n">
        <v>86</v>
      </c>
      <c r="B1701" s="4" t="s">
        <v>2339</v>
      </c>
      <c r="C1701" s="4" t="s">
        <v>419</v>
      </c>
      <c r="D1701" s="4" t="s">
        <v>3534</v>
      </c>
      <c r="E1701" s="4"/>
      <c r="F1701" s="4" t="s">
        <v>2359</v>
      </c>
    </row>
    <row r="1702" customFormat="false" ht="15" hidden="false" customHeight="false" outlineLevel="0" collapsed="false">
      <c r="A1702" s="4" t="n">
        <v>86</v>
      </c>
      <c r="B1702" s="4" t="s">
        <v>2339</v>
      </c>
      <c r="C1702" s="4" t="s">
        <v>427</v>
      </c>
      <c r="D1702" s="4" t="s">
        <v>3464</v>
      </c>
      <c r="E1702" s="4"/>
      <c r="F1702" s="4" t="s">
        <v>24</v>
      </c>
    </row>
    <row r="1703" customFormat="false" ht="15" hidden="false" customHeight="false" outlineLevel="0" collapsed="false">
      <c r="A1703" s="4" t="n">
        <v>86</v>
      </c>
      <c r="B1703" s="4" t="s">
        <v>2339</v>
      </c>
      <c r="C1703" s="4" t="s">
        <v>428</v>
      </c>
      <c r="D1703" s="4" t="s">
        <v>3465</v>
      </c>
      <c r="E1703" s="4"/>
      <c r="F1703" s="4" t="s">
        <v>30</v>
      </c>
    </row>
    <row r="1704" customFormat="false" ht="15" hidden="false" customHeight="false" outlineLevel="0" collapsed="false">
      <c r="A1704" s="4" t="n">
        <v>86</v>
      </c>
      <c r="B1704" s="4" t="s">
        <v>2339</v>
      </c>
      <c r="C1704" s="4" t="s">
        <v>429</v>
      </c>
      <c r="D1704" s="4" t="s">
        <v>3466</v>
      </c>
      <c r="E1704" s="4"/>
      <c r="F1704" s="4" t="s">
        <v>34</v>
      </c>
    </row>
    <row r="1705" customFormat="false" ht="41.75" hidden="false" customHeight="false" outlineLevel="0" collapsed="false">
      <c r="A1705" s="4" t="n">
        <v>86</v>
      </c>
      <c r="B1705" s="4" t="s">
        <v>2339</v>
      </c>
      <c r="C1705" s="4" t="s">
        <v>430</v>
      </c>
      <c r="D1705" s="4" t="s">
        <v>3467</v>
      </c>
      <c r="E1705" s="4"/>
      <c r="F1705" s="4" t="s">
        <v>2110</v>
      </c>
    </row>
    <row r="1706" customFormat="false" ht="15" hidden="false" customHeight="false" outlineLevel="0" collapsed="false">
      <c r="A1706" s="4" t="n">
        <v>86</v>
      </c>
      <c r="B1706" s="4" t="s">
        <v>2339</v>
      </c>
      <c r="C1706" s="4" t="s">
        <v>431</v>
      </c>
      <c r="D1706" s="4" t="s">
        <v>3468</v>
      </c>
      <c r="E1706" s="4"/>
      <c r="F1706" s="4" t="s">
        <v>484</v>
      </c>
    </row>
    <row r="1707" customFormat="false" ht="15" hidden="false" customHeight="false" outlineLevel="0" collapsed="false">
      <c r="A1707" s="4" t="n">
        <v>86</v>
      </c>
      <c r="B1707" s="4" t="s">
        <v>2339</v>
      </c>
      <c r="C1707" s="4" t="s">
        <v>432</v>
      </c>
      <c r="D1707" s="4" t="s">
        <v>3469</v>
      </c>
      <c r="E1707" s="4"/>
      <c r="F1707" s="4" t="s">
        <v>664</v>
      </c>
    </row>
    <row r="1708" customFormat="false" ht="28.35" hidden="false" customHeight="false" outlineLevel="0" collapsed="false">
      <c r="A1708" s="4" t="n">
        <v>86</v>
      </c>
      <c r="B1708" s="4" t="s">
        <v>2339</v>
      </c>
      <c r="C1708" s="4" t="s">
        <v>433</v>
      </c>
      <c r="D1708" s="4" t="s">
        <v>3470</v>
      </c>
      <c r="E1708" s="4"/>
      <c r="F1708" s="4" t="s">
        <v>2111</v>
      </c>
    </row>
    <row r="1709" customFormat="false" ht="15" hidden="false" customHeight="false" outlineLevel="0" collapsed="false">
      <c r="A1709" s="4" t="n">
        <v>86</v>
      </c>
      <c r="B1709" s="4" t="s">
        <v>2339</v>
      </c>
      <c r="C1709" s="4" t="s">
        <v>434</v>
      </c>
      <c r="D1709" s="4" t="s">
        <v>3482</v>
      </c>
      <c r="E1709" s="4"/>
      <c r="F1709" s="4" t="s">
        <v>2112</v>
      </c>
    </row>
    <row r="1710" customFormat="false" ht="15" hidden="false" customHeight="false" outlineLevel="0" collapsed="false">
      <c r="A1710" s="4" t="n">
        <v>86</v>
      </c>
      <c r="B1710" s="4" t="s">
        <v>2339</v>
      </c>
      <c r="C1710" s="4" t="s">
        <v>435</v>
      </c>
      <c r="D1710" s="4" t="s">
        <v>3510</v>
      </c>
      <c r="E1710" s="4"/>
      <c r="F1710" s="4" t="s">
        <v>79</v>
      </c>
    </row>
    <row r="1711" customFormat="false" ht="15" hidden="false" customHeight="false" outlineLevel="0" collapsed="false">
      <c r="A1711" s="4" t="n">
        <v>86</v>
      </c>
      <c r="B1711" s="4" t="s">
        <v>2339</v>
      </c>
      <c r="C1711" s="4" t="s">
        <v>436</v>
      </c>
      <c r="D1711" s="4" t="s">
        <v>3471</v>
      </c>
      <c r="E1711" s="4"/>
      <c r="F1711" s="4" t="s">
        <v>78</v>
      </c>
    </row>
    <row r="1712" customFormat="false" ht="28.35" hidden="false" customHeight="false" outlineLevel="0" collapsed="false">
      <c r="A1712" s="4" t="n">
        <v>86</v>
      </c>
      <c r="B1712" s="4" t="s">
        <v>2339</v>
      </c>
      <c r="C1712" s="4" t="s">
        <v>437</v>
      </c>
      <c r="D1712" s="4" t="s">
        <v>3472</v>
      </c>
      <c r="E1712" s="4"/>
      <c r="F1712" s="4" t="n">
        <v>12</v>
      </c>
    </row>
    <row r="1713" customFormat="false" ht="28.35" hidden="false" customHeight="false" outlineLevel="0" collapsed="false">
      <c r="A1713" s="4" t="n">
        <v>86</v>
      </c>
      <c r="B1713" s="4" t="s">
        <v>2339</v>
      </c>
      <c r="C1713" s="4" t="s">
        <v>440</v>
      </c>
      <c r="D1713" s="4" t="s">
        <v>3491</v>
      </c>
      <c r="E1713" s="4"/>
      <c r="F1713" s="4" t="n">
        <v>607</v>
      </c>
    </row>
    <row r="1714" customFormat="false" ht="28.35" hidden="false" customHeight="false" outlineLevel="0" collapsed="false">
      <c r="A1714" s="4" t="n">
        <v>86</v>
      </c>
      <c r="B1714" s="4" t="s">
        <v>2339</v>
      </c>
      <c r="C1714" s="4" t="s">
        <v>441</v>
      </c>
      <c r="D1714" s="4" t="s">
        <v>3492</v>
      </c>
      <c r="E1714" s="4"/>
      <c r="F1714" s="4" t="n">
        <v>495</v>
      </c>
    </row>
    <row r="1715" customFormat="false" ht="15" hidden="false" customHeight="false" outlineLevel="0" collapsed="false">
      <c r="A1715" s="4" t="n">
        <v>86</v>
      </c>
      <c r="B1715" s="4" t="s">
        <v>2339</v>
      </c>
      <c r="C1715" s="4" t="s">
        <v>442</v>
      </c>
      <c r="D1715" s="4" t="s">
        <v>3493</v>
      </c>
      <c r="E1715" s="4"/>
      <c r="F1715" s="4" t="n">
        <v>1</v>
      </c>
    </row>
    <row r="1716" customFormat="false" ht="15" hidden="false" customHeight="false" outlineLevel="0" collapsed="false">
      <c r="A1716" s="4" t="n">
        <v>86</v>
      </c>
      <c r="B1716" s="4" t="s">
        <v>2339</v>
      </c>
      <c r="C1716" s="4" t="s">
        <v>443</v>
      </c>
      <c r="D1716" s="4" t="s">
        <v>3494</v>
      </c>
      <c r="E1716" s="4"/>
      <c r="F1716" s="4" t="n">
        <v>1103</v>
      </c>
    </row>
    <row r="1717" customFormat="false" ht="15" hidden="false" customHeight="false" outlineLevel="0" collapsed="false">
      <c r="A1717" s="4" t="n">
        <v>86</v>
      </c>
      <c r="B1717" s="4" t="s">
        <v>2339</v>
      </c>
      <c r="C1717" s="4" t="s">
        <v>445</v>
      </c>
      <c r="D1717" s="4" t="s">
        <v>3496</v>
      </c>
      <c r="E1717" s="4"/>
      <c r="F1717" s="4" t="n">
        <v>1</v>
      </c>
    </row>
    <row r="1718" customFormat="false" ht="28.35" hidden="false" customHeight="false" outlineLevel="0" collapsed="false">
      <c r="A1718" s="4" t="n">
        <v>86</v>
      </c>
      <c r="B1718" s="4" t="s">
        <v>2339</v>
      </c>
      <c r="C1718" s="4" t="s">
        <v>447</v>
      </c>
      <c r="D1718" s="4" t="s">
        <v>3498</v>
      </c>
      <c r="E1718" s="4"/>
      <c r="F1718" s="4" t="s">
        <v>2360</v>
      </c>
    </row>
    <row r="1719" customFormat="false" ht="82.05" hidden="false" customHeight="false" outlineLevel="0" collapsed="false">
      <c r="A1719" s="4" t="n">
        <v>86</v>
      </c>
      <c r="B1719" s="4" t="s">
        <v>2339</v>
      </c>
      <c r="C1719" s="4" t="s">
        <v>448</v>
      </c>
      <c r="D1719" s="4" t="s">
        <v>3499</v>
      </c>
      <c r="E1719" s="4"/>
      <c r="F1719" s="4" t="s">
        <v>2361</v>
      </c>
    </row>
    <row r="1720" customFormat="false" ht="28.35" hidden="false" customHeight="false" outlineLevel="0" collapsed="false">
      <c r="A1720" s="4" t="n">
        <v>86</v>
      </c>
      <c r="B1720" s="4" t="s">
        <v>2339</v>
      </c>
      <c r="C1720" s="4" t="s">
        <v>449</v>
      </c>
      <c r="D1720" s="4" t="s">
        <v>3500</v>
      </c>
      <c r="E1720" s="4"/>
      <c r="F1720" s="4" t="s">
        <v>2352</v>
      </c>
    </row>
    <row r="1721" customFormat="false" ht="95.5" hidden="false" customHeight="false" outlineLevel="0" collapsed="false">
      <c r="A1721" s="4" t="n">
        <v>86</v>
      </c>
      <c r="B1721" s="4" t="s">
        <v>2339</v>
      </c>
      <c r="C1721" s="4" t="s">
        <v>450</v>
      </c>
      <c r="D1721" s="4" t="s">
        <v>3501</v>
      </c>
      <c r="E1721" s="4"/>
      <c r="F1721" s="4" t="s">
        <v>2362</v>
      </c>
    </row>
    <row r="1722" customFormat="false" ht="15" hidden="false" customHeight="false" outlineLevel="0" collapsed="false">
      <c r="A1722" s="4" t="n">
        <v>87</v>
      </c>
      <c r="B1722" s="4" t="s">
        <v>2363</v>
      </c>
      <c r="C1722" s="4" t="s">
        <v>365</v>
      </c>
      <c r="D1722" s="4" t="s">
        <v>3547</v>
      </c>
      <c r="E1722" s="4"/>
      <c r="F1722" s="4" t="n">
        <v>10.718431</v>
      </c>
    </row>
    <row r="1723" customFormat="false" ht="15" hidden="false" customHeight="false" outlineLevel="0" collapsed="false">
      <c r="A1723" s="4" t="n">
        <v>87</v>
      </c>
      <c r="B1723" s="4" t="s">
        <v>2363</v>
      </c>
      <c r="C1723" s="4" t="s">
        <v>366</v>
      </c>
      <c r="D1723" s="4" t="s">
        <v>3548</v>
      </c>
      <c r="E1723" s="4"/>
      <c r="F1723" s="4" t="n">
        <v>2026</v>
      </c>
    </row>
    <row r="1724" customFormat="false" ht="15" hidden="false" customHeight="false" outlineLevel="0" collapsed="false">
      <c r="A1724" s="4" t="n">
        <v>87</v>
      </c>
      <c r="B1724" s="4" t="s">
        <v>2363</v>
      </c>
      <c r="C1724" s="4" t="s">
        <v>367</v>
      </c>
      <c r="D1724" s="4" t="s">
        <v>3549</v>
      </c>
      <c r="E1724" s="4"/>
      <c r="F1724" s="4" t="s">
        <v>6</v>
      </c>
    </row>
    <row r="1725" customFormat="false" ht="15" hidden="false" customHeight="false" outlineLevel="0" collapsed="false">
      <c r="A1725" s="4" t="n">
        <v>87</v>
      </c>
      <c r="B1725" s="4" t="s">
        <v>2363</v>
      </c>
      <c r="C1725" s="4" t="s">
        <v>368</v>
      </c>
      <c r="D1725" s="4" t="s">
        <v>3550</v>
      </c>
      <c r="E1725" s="4"/>
      <c r="F1725" s="4" t="s">
        <v>2018</v>
      </c>
    </row>
    <row r="1726" customFormat="false" ht="15" hidden="false" customHeight="false" outlineLevel="0" collapsed="false">
      <c r="A1726" s="4" t="n">
        <v>87</v>
      </c>
      <c r="B1726" s="4" t="s">
        <v>2363</v>
      </c>
      <c r="C1726" s="4" t="s">
        <v>369</v>
      </c>
      <c r="D1726" s="4" t="s">
        <v>3503</v>
      </c>
      <c r="E1726" s="4" t="s">
        <v>780</v>
      </c>
      <c r="F1726" s="4" t="s">
        <v>494</v>
      </c>
    </row>
    <row r="1727" customFormat="false" ht="15" hidden="false" customHeight="false" outlineLevel="0" collapsed="false">
      <c r="A1727" s="4" t="n">
        <v>87</v>
      </c>
      <c r="B1727" s="4" t="s">
        <v>2363</v>
      </c>
      <c r="C1727" s="4" t="s">
        <v>370</v>
      </c>
      <c r="D1727" s="4" t="s">
        <v>3649</v>
      </c>
      <c r="E1727" s="4"/>
      <c r="F1727" s="4" t="n">
        <v>10.718431</v>
      </c>
    </row>
    <row r="1728" customFormat="false" ht="82.05" hidden="false" customHeight="false" outlineLevel="0" collapsed="false">
      <c r="A1728" s="4" t="n">
        <v>87</v>
      </c>
      <c r="B1728" s="4" t="s">
        <v>2363</v>
      </c>
      <c r="C1728" s="4" t="s">
        <v>372</v>
      </c>
      <c r="D1728" s="4" t="s">
        <v>3504</v>
      </c>
      <c r="E1728" s="4" t="s">
        <v>3685</v>
      </c>
      <c r="F1728" s="4" t="s">
        <v>2369</v>
      </c>
    </row>
    <row r="1729" customFormat="false" ht="28.35" hidden="false" customHeight="false" outlineLevel="0" collapsed="false">
      <c r="A1729" s="4" t="n">
        <v>87</v>
      </c>
      <c r="B1729" s="4" t="s">
        <v>2363</v>
      </c>
      <c r="C1729" s="4" t="s">
        <v>373</v>
      </c>
      <c r="D1729" s="4" t="s">
        <v>3664</v>
      </c>
      <c r="E1729" s="4" t="s">
        <v>2020</v>
      </c>
      <c r="F1729" s="4" t="s">
        <v>2370</v>
      </c>
    </row>
    <row r="1730" customFormat="false" ht="95.5" hidden="false" customHeight="false" outlineLevel="0" collapsed="false">
      <c r="A1730" s="4" t="n">
        <v>87</v>
      </c>
      <c r="B1730" s="4" t="s">
        <v>2363</v>
      </c>
      <c r="C1730" s="4" t="s">
        <v>380</v>
      </c>
      <c r="D1730" s="4" t="s">
        <v>3474</v>
      </c>
      <c r="E1730" s="4" t="s">
        <v>3686</v>
      </c>
      <c r="F1730" s="4" t="s">
        <v>2372</v>
      </c>
    </row>
    <row r="1731" customFormat="false" ht="15" hidden="false" customHeight="false" outlineLevel="0" collapsed="false">
      <c r="A1731" s="4" t="n">
        <v>87</v>
      </c>
      <c r="B1731" s="4" t="s">
        <v>2363</v>
      </c>
      <c r="C1731" s="4" t="s">
        <v>392</v>
      </c>
      <c r="D1731" s="4" t="s">
        <v>3530</v>
      </c>
      <c r="E1731" s="4"/>
      <c r="F1731" s="4" t="n">
        <v>9.271181</v>
      </c>
    </row>
    <row r="1732" customFormat="false" ht="15" hidden="false" customHeight="false" outlineLevel="0" collapsed="false">
      <c r="A1732" s="4" t="n">
        <v>87</v>
      </c>
      <c r="B1732" s="4" t="s">
        <v>2363</v>
      </c>
      <c r="C1732" s="4" t="s">
        <v>393</v>
      </c>
      <c r="D1732" s="4" t="s">
        <v>3531</v>
      </c>
      <c r="E1732" s="4"/>
      <c r="F1732" s="4" t="n">
        <v>2026</v>
      </c>
    </row>
    <row r="1733" customFormat="false" ht="41.75" hidden="false" customHeight="false" outlineLevel="0" collapsed="false">
      <c r="A1733" s="4" t="n">
        <v>87</v>
      </c>
      <c r="B1733" s="4" t="s">
        <v>2363</v>
      </c>
      <c r="C1733" s="4" t="s">
        <v>394</v>
      </c>
      <c r="D1733" s="4" t="s">
        <v>3532</v>
      </c>
      <c r="E1733" s="4"/>
      <c r="F1733" s="4" t="s">
        <v>2373</v>
      </c>
    </row>
    <row r="1734" customFormat="false" ht="28.35" hidden="false" customHeight="false" outlineLevel="0" collapsed="false">
      <c r="A1734" s="4" t="n">
        <v>87</v>
      </c>
      <c r="B1734" s="4" t="s">
        <v>2363</v>
      </c>
      <c r="C1734" s="4" t="s">
        <v>395</v>
      </c>
      <c r="D1734" s="4" t="s">
        <v>3507</v>
      </c>
      <c r="E1734" s="4" t="s">
        <v>474</v>
      </c>
      <c r="F1734" s="4" t="s">
        <v>506</v>
      </c>
    </row>
    <row r="1735" customFormat="false" ht="28.35" hidden="false" customHeight="false" outlineLevel="0" collapsed="false">
      <c r="A1735" s="4" t="n">
        <v>87</v>
      </c>
      <c r="B1735" s="4" t="s">
        <v>2363</v>
      </c>
      <c r="C1735" s="4" t="s">
        <v>396</v>
      </c>
      <c r="D1735" s="4" t="s">
        <v>3533</v>
      </c>
      <c r="E1735" s="4"/>
      <c r="F1735" s="4" t="s">
        <v>2374</v>
      </c>
    </row>
    <row r="1736" customFormat="false" ht="41.75" hidden="false" customHeight="false" outlineLevel="0" collapsed="false">
      <c r="A1736" s="4" t="n">
        <v>87</v>
      </c>
      <c r="B1736" s="4" t="s">
        <v>2363</v>
      </c>
      <c r="C1736" s="4" t="s">
        <v>403</v>
      </c>
      <c r="D1736" s="4" t="s">
        <v>3481</v>
      </c>
      <c r="E1736" s="4" t="s">
        <v>476</v>
      </c>
      <c r="F1736" s="4" t="s">
        <v>2375</v>
      </c>
    </row>
    <row r="1737" customFormat="false" ht="55.2" hidden="false" customHeight="false" outlineLevel="0" collapsed="false">
      <c r="A1737" s="4" t="n">
        <v>87</v>
      </c>
      <c r="B1737" s="4" t="s">
        <v>2363</v>
      </c>
      <c r="C1737" s="4" t="s">
        <v>407</v>
      </c>
      <c r="D1737" s="4" t="s">
        <v>3485</v>
      </c>
      <c r="E1737" s="4"/>
      <c r="F1737" s="4" t="s">
        <v>2376</v>
      </c>
    </row>
    <row r="1738" customFormat="false" ht="41.75" hidden="false" customHeight="false" outlineLevel="0" collapsed="false">
      <c r="A1738" s="4" t="n">
        <v>87</v>
      </c>
      <c r="B1738" s="4" t="s">
        <v>2363</v>
      </c>
      <c r="C1738" s="4" t="s">
        <v>419</v>
      </c>
      <c r="D1738" s="4" t="s">
        <v>3534</v>
      </c>
      <c r="E1738" s="4"/>
      <c r="F1738" s="4" t="s">
        <v>2381</v>
      </c>
    </row>
    <row r="1739" customFormat="false" ht="15" hidden="false" customHeight="false" outlineLevel="0" collapsed="false">
      <c r="A1739" s="4" t="n">
        <v>87</v>
      </c>
      <c r="B1739" s="4" t="s">
        <v>2363</v>
      </c>
      <c r="C1739" s="4" t="s">
        <v>427</v>
      </c>
      <c r="D1739" s="4" t="s">
        <v>3464</v>
      </c>
      <c r="E1739" s="4"/>
      <c r="F1739" s="4" t="s">
        <v>24</v>
      </c>
    </row>
    <row r="1740" customFormat="false" ht="15" hidden="false" customHeight="false" outlineLevel="0" collapsed="false">
      <c r="A1740" s="4" t="n">
        <v>87</v>
      </c>
      <c r="B1740" s="4" t="s">
        <v>2363</v>
      </c>
      <c r="C1740" s="4" t="s">
        <v>428</v>
      </c>
      <c r="D1740" s="4" t="s">
        <v>3465</v>
      </c>
      <c r="E1740" s="4"/>
      <c r="F1740" s="4" t="s">
        <v>30</v>
      </c>
    </row>
    <row r="1741" customFormat="false" ht="15" hidden="false" customHeight="false" outlineLevel="0" collapsed="false">
      <c r="A1741" s="4" t="n">
        <v>87</v>
      </c>
      <c r="B1741" s="4" t="s">
        <v>2363</v>
      </c>
      <c r="C1741" s="4" t="s">
        <v>429</v>
      </c>
      <c r="D1741" s="4" t="s">
        <v>3466</v>
      </c>
      <c r="E1741" s="4"/>
      <c r="F1741" s="4" t="s">
        <v>37</v>
      </c>
    </row>
    <row r="1742" customFormat="false" ht="41.75" hidden="false" customHeight="false" outlineLevel="0" collapsed="false">
      <c r="A1742" s="4" t="n">
        <v>87</v>
      </c>
      <c r="B1742" s="4" t="s">
        <v>2363</v>
      </c>
      <c r="C1742" s="4" t="s">
        <v>430</v>
      </c>
      <c r="D1742" s="4" t="s">
        <v>3467</v>
      </c>
      <c r="E1742" s="4"/>
      <c r="F1742" s="4" t="s">
        <v>2382</v>
      </c>
    </row>
    <row r="1743" customFormat="false" ht="15" hidden="false" customHeight="false" outlineLevel="0" collapsed="false">
      <c r="A1743" s="4" t="n">
        <v>87</v>
      </c>
      <c r="B1743" s="4" t="s">
        <v>2363</v>
      </c>
      <c r="C1743" s="4" t="s">
        <v>431</v>
      </c>
      <c r="D1743" s="4" t="s">
        <v>3468</v>
      </c>
      <c r="E1743" s="4"/>
      <c r="F1743" s="4" t="s">
        <v>484</v>
      </c>
    </row>
    <row r="1744" customFormat="false" ht="15" hidden="false" customHeight="false" outlineLevel="0" collapsed="false">
      <c r="A1744" s="4" t="n">
        <v>87</v>
      </c>
      <c r="B1744" s="4" t="s">
        <v>2363</v>
      </c>
      <c r="C1744" s="4" t="s">
        <v>432</v>
      </c>
      <c r="D1744" s="4" t="s">
        <v>3469</v>
      </c>
      <c r="E1744" s="4"/>
      <c r="F1744" s="4" t="s">
        <v>664</v>
      </c>
    </row>
    <row r="1745" customFormat="false" ht="28.35" hidden="false" customHeight="false" outlineLevel="0" collapsed="false">
      <c r="A1745" s="4" t="n">
        <v>87</v>
      </c>
      <c r="B1745" s="4" t="s">
        <v>2363</v>
      </c>
      <c r="C1745" s="4" t="s">
        <v>433</v>
      </c>
      <c r="D1745" s="4" t="s">
        <v>3470</v>
      </c>
      <c r="E1745" s="4"/>
      <c r="F1745" s="4" t="s">
        <v>2383</v>
      </c>
    </row>
    <row r="1746" customFormat="false" ht="15" hidden="false" customHeight="false" outlineLevel="0" collapsed="false">
      <c r="A1746" s="4" t="n">
        <v>87</v>
      </c>
      <c r="B1746" s="4" t="s">
        <v>2363</v>
      </c>
      <c r="C1746" s="4" t="s">
        <v>434</v>
      </c>
      <c r="D1746" s="4" t="s">
        <v>3482</v>
      </c>
      <c r="E1746" s="4"/>
      <c r="F1746" s="4" t="s">
        <v>2187</v>
      </c>
    </row>
    <row r="1747" customFormat="false" ht="41.75" hidden="false" customHeight="false" outlineLevel="0" collapsed="false">
      <c r="A1747" s="4" t="n">
        <v>87</v>
      </c>
      <c r="B1747" s="4" t="s">
        <v>2363</v>
      </c>
      <c r="C1747" s="4" t="s">
        <v>435</v>
      </c>
      <c r="D1747" s="4" t="s">
        <v>3510</v>
      </c>
      <c r="E1747" s="4"/>
      <c r="F1747" s="4" t="s">
        <v>2384</v>
      </c>
    </row>
    <row r="1748" customFormat="false" ht="15" hidden="false" customHeight="false" outlineLevel="0" collapsed="false">
      <c r="A1748" s="4" t="n">
        <v>87</v>
      </c>
      <c r="B1748" s="4" t="s">
        <v>2363</v>
      </c>
      <c r="C1748" s="4" t="s">
        <v>436</v>
      </c>
      <c r="D1748" s="4" t="s">
        <v>3471</v>
      </c>
      <c r="E1748" s="4"/>
      <c r="F1748" s="4" t="s">
        <v>134</v>
      </c>
    </row>
    <row r="1749" customFormat="false" ht="28.35" hidden="false" customHeight="false" outlineLevel="0" collapsed="false">
      <c r="A1749" s="4" t="n">
        <v>87</v>
      </c>
      <c r="B1749" s="4" t="s">
        <v>2363</v>
      </c>
      <c r="C1749" s="4" t="s">
        <v>437</v>
      </c>
      <c r="D1749" s="4" t="s">
        <v>3472</v>
      </c>
      <c r="E1749" s="4"/>
      <c r="F1749" s="4" t="n">
        <v>10</v>
      </c>
    </row>
    <row r="1750" customFormat="false" ht="149.25" hidden="false" customHeight="false" outlineLevel="0" collapsed="false">
      <c r="A1750" s="4" t="n">
        <v>88</v>
      </c>
      <c r="B1750" s="4" t="s">
        <v>2318</v>
      </c>
      <c r="C1750" s="4" t="s">
        <v>374</v>
      </c>
      <c r="D1750" s="4" t="s">
        <v>3616</v>
      </c>
      <c r="E1750" s="4" t="s">
        <v>2090</v>
      </c>
      <c r="F1750" s="4" t="s">
        <v>2391</v>
      </c>
    </row>
    <row r="1751" customFormat="false" ht="55.2" hidden="false" customHeight="false" outlineLevel="0" collapsed="false">
      <c r="A1751" s="4" t="n">
        <v>88</v>
      </c>
      <c r="B1751" s="4" t="s">
        <v>2318</v>
      </c>
      <c r="C1751" s="4" t="s">
        <v>380</v>
      </c>
      <c r="D1751" s="4" t="s">
        <v>3474</v>
      </c>
      <c r="E1751" s="4" t="s">
        <v>2397</v>
      </c>
      <c r="F1751" s="4" t="s">
        <v>2393</v>
      </c>
    </row>
    <row r="1752" customFormat="false" ht="68.65" hidden="false" customHeight="false" outlineLevel="0" collapsed="false">
      <c r="A1752" s="4" t="n">
        <v>88</v>
      </c>
      <c r="B1752" s="4" t="s">
        <v>2318</v>
      </c>
      <c r="C1752" s="4" t="s">
        <v>407</v>
      </c>
      <c r="D1752" s="4" t="s">
        <v>3485</v>
      </c>
      <c r="E1752" s="4"/>
      <c r="F1752" s="4" t="s">
        <v>2394</v>
      </c>
    </row>
    <row r="1753" customFormat="false" ht="15" hidden="false" customHeight="false" outlineLevel="0" collapsed="false">
      <c r="A1753" s="4" t="n">
        <v>88</v>
      </c>
      <c r="B1753" s="4" t="s">
        <v>2318</v>
      </c>
      <c r="C1753" s="4" t="s">
        <v>427</v>
      </c>
      <c r="D1753" s="4" t="s">
        <v>3464</v>
      </c>
      <c r="E1753" s="4"/>
      <c r="F1753" s="4" t="s">
        <v>24</v>
      </c>
    </row>
    <row r="1754" customFormat="false" ht="15" hidden="false" customHeight="false" outlineLevel="0" collapsed="false">
      <c r="A1754" s="4" t="n">
        <v>88</v>
      </c>
      <c r="B1754" s="4" t="s">
        <v>2318</v>
      </c>
      <c r="C1754" s="4" t="s">
        <v>428</v>
      </c>
      <c r="D1754" s="4" t="s">
        <v>3465</v>
      </c>
      <c r="E1754" s="4"/>
      <c r="F1754" s="4" t="s">
        <v>31</v>
      </c>
    </row>
    <row r="1755" customFormat="false" ht="15" hidden="false" customHeight="false" outlineLevel="0" collapsed="false">
      <c r="A1755" s="4" t="n">
        <v>88</v>
      </c>
      <c r="B1755" s="4" t="s">
        <v>2318</v>
      </c>
      <c r="C1755" s="4" t="s">
        <v>429</v>
      </c>
      <c r="D1755" s="4" t="s">
        <v>3466</v>
      </c>
      <c r="E1755" s="4"/>
      <c r="F1755" s="4" t="s">
        <v>38</v>
      </c>
    </row>
    <row r="1756" customFormat="false" ht="41.75" hidden="false" customHeight="false" outlineLevel="0" collapsed="false">
      <c r="A1756" s="4" t="n">
        <v>88</v>
      </c>
      <c r="B1756" s="4" t="s">
        <v>2318</v>
      </c>
      <c r="C1756" s="4" t="s">
        <v>430</v>
      </c>
      <c r="D1756" s="4" t="s">
        <v>3467</v>
      </c>
      <c r="E1756" s="4"/>
      <c r="F1756" s="4" t="s">
        <v>2337</v>
      </c>
    </row>
    <row r="1757" customFormat="false" ht="15" hidden="false" customHeight="false" outlineLevel="0" collapsed="false">
      <c r="A1757" s="4" t="n">
        <v>88</v>
      </c>
      <c r="B1757" s="4" t="s">
        <v>2318</v>
      </c>
      <c r="C1757" s="4" t="s">
        <v>431</v>
      </c>
      <c r="D1757" s="4" t="s">
        <v>3468</v>
      </c>
      <c r="E1757" s="4"/>
      <c r="F1757" s="4" t="s">
        <v>484</v>
      </c>
    </row>
    <row r="1758" customFormat="false" ht="15" hidden="false" customHeight="false" outlineLevel="0" collapsed="false">
      <c r="A1758" s="4" t="n">
        <v>88</v>
      </c>
      <c r="B1758" s="4" t="s">
        <v>2318</v>
      </c>
      <c r="C1758" s="4" t="s">
        <v>432</v>
      </c>
      <c r="D1758" s="4" t="s">
        <v>3469</v>
      </c>
      <c r="E1758" s="4"/>
      <c r="F1758" s="4" t="s">
        <v>664</v>
      </c>
    </row>
    <row r="1759" customFormat="false" ht="28.35" hidden="false" customHeight="false" outlineLevel="0" collapsed="false">
      <c r="A1759" s="4" t="n">
        <v>88</v>
      </c>
      <c r="B1759" s="4" t="s">
        <v>2318</v>
      </c>
      <c r="C1759" s="4" t="s">
        <v>433</v>
      </c>
      <c r="D1759" s="4" t="s">
        <v>3470</v>
      </c>
      <c r="E1759" s="4"/>
      <c r="F1759" s="4" t="s">
        <v>2163</v>
      </c>
    </row>
    <row r="1760" customFormat="false" ht="28.35" hidden="false" customHeight="false" outlineLevel="0" collapsed="false">
      <c r="A1760" s="4" t="n">
        <v>88</v>
      </c>
      <c r="B1760" s="4" t="s">
        <v>2318</v>
      </c>
      <c r="C1760" s="4" t="s">
        <v>434</v>
      </c>
      <c r="D1760" s="4" t="s">
        <v>3482</v>
      </c>
      <c r="E1760" s="4"/>
      <c r="F1760" s="4" t="s">
        <v>2164</v>
      </c>
    </row>
    <row r="1761" customFormat="false" ht="15" hidden="false" customHeight="false" outlineLevel="0" collapsed="false">
      <c r="A1761" s="4" t="n">
        <v>88</v>
      </c>
      <c r="B1761" s="4" t="s">
        <v>2318</v>
      </c>
      <c r="C1761" s="4" t="s">
        <v>435</v>
      </c>
      <c r="D1761" s="4" t="s">
        <v>3510</v>
      </c>
      <c r="E1761" s="4"/>
      <c r="F1761" s="4" t="s">
        <v>2165</v>
      </c>
    </row>
    <row r="1762" customFormat="false" ht="15" hidden="false" customHeight="false" outlineLevel="0" collapsed="false">
      <c r="A1762" s="4" t="n">
        <v>88</v>
      </c>
      <c r="B1762" s="4" t="s">
        <v>2318</v>
      </c>
      <c r="C1762" s="4" t="s">
        <v>436</v>
      </c>
      <c r="D1762" s="4" t="s">
        <v>3471</v>
      </c>
      <c r="E1762" s="4"/>
      <c r="F1762" s="4" t="s">
        <v>297</v>
      </c>
    </row>
    <row r="1763" customFormat="false" ht="28.35" hidden="false" customHeight="false" outlineLevel="0" collapsed="false">
      <c r="A1763" s="4" t="n">
        <v>88</v>
      </c>
      <c r="B1763" s="4" t="s">
        <v>2318</v>
      </c>
      <c r="C1763" s="4" t="s">
        <v>437</v>
      </c>
      <c r="D1763" s="4" t="s">
        <v>3472</v>
      </c>
      <c r="E1763" s="4"/>
      <c r="F1763" s="4" t="n">
        <v>15</v>
      </c>
    </row>
    <row r="1764" customFormat="false" ht="41.75" hidden="false" customHeight="false" outlineLevel="0" collapsed="false">
      <c r="A1764" s="4" t="n">
        <v>88</v>
      </c>
      <c r="B1764" s="4" t="s">
        <v>2318</v>
      </c>
      <c r="C1764" s="4" t="s">
        <v>438</v>
      </c>
      <c r="D1764" s="4" t="s">
        <v>3511</v>
      </c>
      <c r="E1764" s="4"/>
      <c r="F1764" s="4" t="s">
        <v>2398</v>
      </c>
    </row>
    <row r="1765" customFormat="false" ht="95.5" hidden="false" customHeight="false" outlineLevel="0" collapsed="false">
      <c r="A1765" s="4" t="n">
        <v>89</v>
      </c>
      <c r="B1765" s="4" t="s">
        <v>2399</v>
      </c>
      <c r="C1765" s="4" t="s">
        <v>372</v>
      </c>
      <c r="D1765" s="4" t="s">
        <v>3504</v>
      </c>
      <c r="E1765" s="4" t="s">
        <v>3687</v>
      </c>
      <c r="F1765" s="4" t="s">
        <v>2405</v>
      </c>
    </row>
    <row r="1766" customFormat="false" ht="108.95" hidden="false" customHeight="false" outlineLevel="0" collapsed="false">
      <c r="A1766" s="4" t="n">
        <v>89</v>
      </c>
      <c r="B1766" s="4" t="s">
        <v>2399</v>
      </c>
      <c r="C1766" s="4" t="s">
        <v>380</v>
      </c>
      <c r="D1766" s="4" t="s">
        <v>3474</v>
      </c>
      <c r="E1766" s="4" t="s">
        <v>3688</v>
      </c>
      <c r="F1766" s="4" t="s">
        <v>2407</v>
      </c>
    </row>
    <row r="1767" customFormat="false" ht="15" hidden="false" customHeight="false" outlineLevel="0" collapsed="false">
      <c r="A1767" s="4" t="n">
        <v>89</v>
      </c>
      <c r="B1767" s="4" t="s">
        <v>2399</v>
      </c>
      <c r="C1767" s="4" t="s">
        <v>392</v>
      </c>
      <c r="D1767" s="4" t="s">
        <v>3530</v>
      </c>
      <c r="E1767" s="4"/>
      <c r="F1767" s="4" t="n">
        <v>6.822119</v>
      </c>
    </row>
    <row r="1768" customFormat="false" ht="15" hidden="false" customHeight="false" outlineLevel="0" collapsed="false">
      <c r="A1768" s="4" t="n">
        <v>89</v>
      </c>
      <c r="B1768" s="4" t="s">
        <v>2399</v>
      </c>
      <c r="C1768" s="4" t="s">
        <v>393</v>
      </c>
      <c r="D1768" s="4" t="s">
        <v>3531</v>
      </c>
      <c r="E1768" s="4"/>
      <c r="F1768" s="4" t="n">
        <v>2026</v>
      </c>
    </row>
    <row r="1769" customFormat="false" ht="41.75" hidden="false" customHeight="false" outlineLevel="0" collapsed="false">
      <c r="A1769" s="4" t="n">
        <v>89</v>
      </c>
      <c r="B1769" s="4" t="s">
        <v>2399</v>
      </c>
      <c r="C1769" s="4" t="s">
        <v>394</v>
      </c>
      <c r="D1769" s="4" t="s">
        <v>3532</v>
      </c>
      <c r="E1769" s="4"/>
      <c r="F1769" s="4" t="s">
        <v>2408</v>
      </c>
    </row>
    <row r="1770" customFormat="false" ht="28.35" hidden="false" customHeight="false" outlineLevel="0" collapsed="false">
      <c r="A1770" s="4" t="n">
        <v>89</v>
      </c>
      <c r="B1770" s="4" t="s">
        <v>2399</v>
      </c>
      <c r="C1770" s="4" t="s">
        <v>395</v>
      </c>
      <c r="D1770" s="4" t="s">
        <v>3507</v>
      </c>
      <c r="E1770" s="4" t="s">
        <v>474</v>
      </c>
      <c r="F1770" s="4" t="s">
        <v>506</v>
      </c>
    </row>
    <row r="1771" customFormat="false" ht="28.35" hidden="false" customHeight="false" outlineLevel="0" collapsed="false">
      <c r="A1771" s="4" t="n">
        <v>89</v>
      </c>
      <c r="B1771" s="4" t="s">
        <v>2399</v>
      </c>
      <c r="C1771" s="4" t="s">
        <v>396</v>
      </c>
      <c r="D1771" s="4" t="s">
        <v>3533</v>
      </c>
      <c r="E1771" s="4"/>
      <c r="F1771" s="4" t="s">
        <v>2409</v>
      </c>
    </row>
    <row r="1772" customFormat="false" ht="28.35" hidden="false" customHeight="false" outlineLevel="0" collapsed="false">
      <c r="A1772" s="4" t="n">
        <v>89</v>
      </c>
      <c r="B1772" s="4" t="s">
        <v>2399</v>
      </c>
      <c r="C1772" s="4" t="s">
        <v>403</v>
      </c>
      <c r="D1772" s="4" t="s">
        <v>3481</v>
      </c>
      <c r="E1772" s="4" t="s">
        <v>3645</v>
      </c>
      <c r="F1772" s="4" t="s">
        <v>2375</v>
      </c>
    </row>
    <row r="1773" customFormat="false" ht="41.75" hidden="false" customHeight="false" outlineLevel="0" collapsed="false">
      <c r="A1773" s="4" t="n">
        <v>89</v>
      </c>
      <c r="B1773" s="4" t="s">
        <v>2399</v>
      </c>
      <c r="C1773" s="4" t="s">
        <v>407</v>
      </c>
      <c r="D1773" s="4" t="s">
        <v>3485</v>
      </c>
      <c r="E1773" s="4"/>
      <c r="F1773" s="4" t="s">
        <v>2410</v>
      </c>
    </row>
    <row r="1774" customFormat="false" ht="15" hidden="false" customHeight="false" outlineLevel="0" collapsed="false">
      <c r="A1774" s="4" t="n">
        <v>89</v>
      </c>
      <c r="B1774" s="4" t="s">
        <v>2399</v>
      </c>
      <c r="C1774" s="4" t="s">
        <v>427</v>
      </c>
      <c r="D1774" s="4" t="s">
        <v>3464</v>
      </c>
      <c r="E1774" s="4"/>
      <c r="F1774" s="4" t="s">
        <v>24</v>
      </c>
    </row>
    <row r="1775" customFormat="false" ht="15" hidden="false" customHeight="false" outlineLevel="0" collapsed="false">
      <c r="A1775" s="4" t="n">
        <v>89</v>
      </c>
      <c r="B1775" s="4" t="s">
        <v>2399</v>
      </c>
      <c r="C1775" s="4" t="s">
        <v>428</v>
      </c>
      <c r="D1775" s="4" t="s">
        <v>3465</v>
      </c>
      <c r="E1775" s="4"/>
      <c r="F1775" s="4" t="s">
        <v>30</v>
      </c>
    </row>
    <row r="1776" customFormat="false" ht="15" hidden="false" customHeight="false" outlineLevel="0" collapsed="false">
      <c r="A1776" s="4" t="n">
        <v>89</v>
      </c>
      <c r="B1776" s="4" t="s">
        <v>2399</v>
      </c>
      <c r="C1776" s="4" t="s">
        <v>429</v>
      </c>
      <c r="D1776" s="4" t="s">
        <v>3466</v>
      </c>
      <c r="E1776" s="4"/>
      <c r="F1776" s="4" t="s">
        <v>36</v>
      </c>
    </row>
    <row r="1777" customFormat="false" ht="41.75" hidden="false" customHeight="false" outlineLevel="0" collapsed="false">
      <c r="A1777" s="4" t="n">
        <v>89</v>
      </c>
      <c r="B1777" s="4" t="s">
        <v>2399</v>
      </c>
      <c r="C1777" s="4" t="s">
        <v>430</v>
      </c>
      <c r="D1777" s="4" t="s">
        <v>3467</v>
      </c>
      <c r="E1777" s="4"/>
      <c r="F1777" s="4" t="s">
        <v>2415</v>
      </c>
    </row>
    <row r="1778" customFormat="false" ht="15" hidden="false" customHeight="false" outlineLevel="0" collapsed="false">
      <c r="A1778" s="4" t="n">
        <v>89</v>
      </c>
      <c r="B1778" s="4" t="s">
        <v>2399</v>
      </c>
      <c r="C1778" s="4" t="s">
        <v>431</v>
      </c>
      <c r="D1778" s="4" t="s">
        <v>3468</v>
      </c>
      <c r="E1778" s="4"/>
      <c r="F1778" s="4" t="s">
        <v>484</v>
      </c>
    </row>
    <row r="1779" customFormat="false" ht="15" hidden="false" customHeight="false" outlineLevel="0" collapsed="false">
      <c r="A1779" s="4" t="n">
        <v>89</v>
      </c>
      <c r="B1779" s="4" t="s">
        <v>2399</v>
      </c>
      <c r="C1779" s="4" t="s">
        <v>432</v>
      </c>
      <c r="D1779" s="4" t="s">
        <v>3469</v>
      </c>
      <c r="E1779" s="4"/>
      <c r="F1779" s="4" t="s">
        <v>664</v>
      </c>
    </row>
    <row r="1780" customFormat="false" ht="28.35" hidden="false" customHeight="false" outlineLevel="0" collapsed="false">
      <c r="A1780" s="4" t="n">
        <v>89</v>
      </c>
      <c r="B1780" s="4" t="s">
        <v>2399</v>
      </c>
      <c r="C1780" s="4" t="s">
        <v>433</v>
      </c>
      <c r="D1780" s="4" t="s">
        <v>3470</v>
      </c>
      <c r="E1780" s="4"/>
      <c r="F1780" s="4" t="s">
        <v>2416</v>
      </c>
    </row>
    <row r="1781" customFormat="false" ht="15" hidden="false" customHeight="false" outlineLevel="0" collapsed="false">
      <c r="A1781" s="4" t="n">
        <v>89</v>
      </c>
      <c r="B1781" s="4" t="s">
        <v>2399</v>
      </c>
      <c r="C1781" s="4" t="s">
        <v>434</v>
      </c>
      <c r="D1781" s="4" t="s">
        <v>3482</v>
      </c>
      <c r="E1781" s="4"/>
      <c r="F1781" s="4" t="s">
        <v>2187</v>
      </c>
    </row>
    <row r="1782" customFormat="false" ht="41.75" hidden="false" customHeight="false" outlineLevel="0" collapsed="false">
      <c r="A1782" s="4" t="n">
        <v>89</v>
      </c>
      <c r="B1782" s="4" t="s">
        <v>2399</v>
      </c>
      <c r="C1782" s="4" t="s">
        <v>435</v>
      </c>
      <c r="D1782" s="4" t="s">
        <v>3510</v>
      </c>
      <c r="E1782" s="4"/>
      <c r="F1782" s="4" t="s">
        <v>2417</v>
      </c>
    </row>
    <row r="1783" customFormat="false" ht="15" hidden="false" customHeight="false" outlineLevel="0" collapsed="false">
      <c r="A1783" s="4" t="n">
        <v>89</v>
      </c>
      <c r="B1783" s="4" t="s">
        <v>2399</v>
      </c>
      <c r="C1783" s="4" t="s">
        <v>436</v>
      </c>
      <c r="D1783" s="4" t="s">
        <v>3471</v>
      </c>
      <c r="E1783" s="4"/>
      <c r="F1783" s="4" t="s">
        <v>214</v>
      </c>
    </row>
    <row r="1784" customFormat="false" ht="28.35" hidden="false" customHeight="false" outlineLevel="0" collapsed="false">
      <c r="A1784" s="4" t="n">
        <v>89</v>
      </c>
      <c r="B1784" s="4" t="s">
        <v>2399</v>
      </c>
      <c r="C1784" s="4" t="s">
        <v>437</v>
      </c>
      <c r="D1784" s="4" t="s">
        <v>3472</v>
      </c>
      <c r="E1784" s="4"/>
      <c r="F1784" s="4" t="n">
        <v>10</v>
      </c>
    </row>
    <row r="1785" customFormat="false" ht="135.8" hidden="false" customHeight="false" outlineLevel="0" collapsed="false">
      <c r="A1785" s="4" t="n">
        <v>90</v>
      </c>
      <c r="B1785" s="4" t="s">
        <v>2419</v>
      </c>
      <c r="C1785" s="4" t="s">
        <v>372</v>
      </c>
      <c r="D1785" s="4" t="s">
        <v>3504</v>
      </c>
      <c r="E1785" s="4" t="s">
        <v>3689</v>
      </c>
      <c r="F1785" s="4" t="s">
        <v>2425</v>
      </c>
    </row>
    <row r="1786" customFormat="false" ht="68.65" hidden="false" customHeight="false" outlineLevel="0" collapsed="false">
      <c r="A1786" s="4" t="n">
        <v>90</v>
      </c>
      <c r="B1786" s="4" t="s">
        <v>2419</v>
      </c>
      <c r="C1786" s="4" t="s">
        <v>374</v>
      </c>
      <c r="D1786" s="4" t="s">
        <v>3616</v>
      </c>
      <c r="E1786" s="4" t="s">
        <v>3690</v>
      </c>
      <c r="F1786" s="4" t="s">
        <v>2426</v>
      </c>
    </row>
    <row r="1787" customFormat="false" ht="55.2" hidden="false" customHeight="false" outlineLevel="0" collapsed="false">
      <c r="A1787" s="4" t="n">
        <v>90</v>
      </c>
      <c r="B1787" s="4" t="s">
        <v>2419</v>
      </c>
      <c r="C1787" s="4" t="s">
        <v>375</v>
      </c>
      <c r="D1787" s="4" t="s">
        <v>3473</v>
      </c>
      <c r="E1787" s="4" t="s">
        <v>3691</v>
      </c>
      <c r="F1787" s="4" t="s">
        <v>2427</v>
      </c>
    </row>
    <row r="1788" customFormat="false" ht="55.2" hidden="false" customHeight="false" outlineLevel="0" collapsed="false">
      <c r="A1788" s="4" t="n">
        <v>90</v>
      </c>
      <c r="B1788" s="4" t="s">
        <v>2419</v>
      </c>
      <c r="C1788" s="4" t="s">
        <v>380</v>
      </c>
      <c r="D1788" s="4" t="s">
        <v>3474</v>
      </c>
      <c r="E1788" s="4" t="s">
        <v>3692</v>
      </c>
      <c r="F1788" s="4" t="s">
        <v>2428</v>
      </c>
    </row>
    <row r="1789" customFormat="false" ht="28.35" hidden="false" customHeight="false" outlineLevel="0" collapsed="false">
      <c r="A1789" s="4" t="n">
        <v>90</v>
      </c>
      <c r="B1789" s="4" t="s">
        <v>2419</v>
      </c>
      <c r="C1789" s="4" t="s">
        <v>390</v>
      </c>
      <c r="D1789" s="4" t="s">
        <v>3479</v>
      </c>
      <c r="E1789" s="4" t="s">
        <v>473</v>
      </c>
      <c r="F1789" s="4" t="s">
        <v>2429</v>
      </c>
    </row>
    <row r="1790" customFormat="false" ht="28.35" hidden="false" customHeight="false" outlineLevel="0" collapsed="false">
      <c r="A1790" s="4" t="n">
        <v>90</v>
      </c>
      <c r="B1790" s="4" t="s">
        <v>2419</v>
      </c>
      <c r="C1790" s="4" t="s">
        <v>395</v>
      </c>
      <c r="D1790" s="4" t="s">
        <v>3507</v>
      </c>
      <c r="E1790" s="4" t="s">
        <v>474</v>
      </c>
      <c r="F1790" s="4" t="s">
        <v>2430</v>
      </c>
    </row>
    <row r="1791" customFormat="false" ht="28.35" hidden="false" customHeight="false" outlineLevel="0" collapsed="false">
      <c r="A1791" s="4" t="n">
        <v>90</v>
      </c>
      <c r="B1791" s="4" t="s">
        <v>2419</v>
      </c>
      <c r="C1791" s="4" t="s">
        <v>402</v>
      </c>
      <c r="D1791" s="4" t="s">
        <v>3508</v>
      </c>
      <c r="E1791" s="4" t="s">
        <v>475</v>
      </c>
      <c r="F1791" s="4" t="s">
        <v>2430</v>
      </c>
    </row>
    <row r="1792" customFormat="false" ht="41.75" hidden="false" customHeight="false" outlineLevel="0" collapsed="false">
      <c r="A1792" s="4" t="n">
        <v>90</v>
      </c>
      <c r="B1792" s="4" t="s">
        <v>2419</v>
      </c>
      <c r="C1792" s="4" t="s">
        <v>403</v>
      </c>
      <c r="D1792" s="4" t="s">
        <v>3481</v>
      </c>
      <c r="E1792" s="4" t="s">
        <v>476</v>
      </c>
      <c r="F1792" s="4" t="s">
        <v>2431</v>
      </c>
    </row>
    <row r="1793" customFormat="false" ht="68.65" hidden="false" customHeight="false" outlineLevel="0" collapsed="false">
      <c r="A1793" s="4" t="n">
        <v>90</v>
      </c>
      <c r="B1793" s="4" t="s">
        <v>2419</v>
      </c>
      <c r="C1793" s="4" t="s">
        <v>407</v>
      </c>
      <c r="D1793" s="4" t="s">
        <v>3485</v>
      </c>
      <c r="E1793" s="4"/>
      <c r="F1793" s="4" t="s">
        <v>2432</v>
      </c>
    </row>
    <row r="1794" customFormat="false" ht="28.35" hidden="false" customHeight="false" outlineLevel="0" collapsed="false">
      <c r="A1794" s="4" t="n">
        <v>90</v>
      </c>
      <c r="B1794" s="4" t="s">
        <v>2419</v>
      </c>
      <c r="C1794" s="4" t="s">
        <v>427</v>
      </c>
      <c r="D1794" s="4" t="s">
        <v>3464</v>
      </c>
      <c r="E1794" s="4"/>
      <c r="F1794" s="4" t="s">
        <v>26</v>
      </c>
    </row>
    <row r="1795" customFormat="false" ht="28.35" hidden="false" customHeight="false" outlineLevel="0" collapsed="false">
      <c r="A1795" s="4" t="n">
        <v>90</v>
      </c>
      <c r="B1795" s="4" t="s">
        <v>2419</v>
      </c>
      <c r="C1795" s="4" t="s">
        <v>428</v>
      </c>
      <c r="D1795" s="4" t="s">
        <v>3465</v>
      </c>
      <c r="E1795" s="4"/>
      <c r="F1795" s="4" t="s">
        <v>26</v>
      </c>
    </row>
    <row r="1796" customFormat="false" ht="28.35" hidden="false" customHeight="false" outlineLevel="0" collapsed="false">
      <c r="A1796" s="4" t="n">
        <v>90</v>
      </c>
      <c r="B1796" s="4" t="s">
        <v>2419</v>
      </c>
      <c r="C1796" s="4" t="s">
        <v>429</v>
      </c>
      <c r="D1796" s="4" t="s">
        <v>3466</v>
      </c>
      <c r="E1796" s="4"/>
      <c r="F1796" s="4" t="s">
        <v>39</v>
      </c>
    </row>
    <row r="1797" customFormat="false" ht="28.35" hidden="false" customHeight="false" outlineLevel="0" collapsed="false">
      <c r="A1797" s="4" t="n">
        <v>90</v>
      </c>
      <c r="B1797" s="4" t="s">
        <v>2419</v>
      </c>
      <c r="C1797" s="4" t="s">
        <v>430</v>
      </c>
      <c r="D1797" s="4" t="s">
        <v>3467</v>
      </c>
      <c r="E1797" s="4"/>
      <c r="F1797" s="4" t="s">
        <v>2438</v>
      </c>
    </row>
    <row r="1798" customFormat="false" ht="28.35" hidden="false" customHeight="false" outlineLevel="0" collapsed="false">
      <c r="A1798" s="4" t="n">
        <v>90</v>
      </c>
      <c r="B1798" s="4" t="s">
        <v>2419</v>
      </c>
      <c r="C1798" s="4" t="s">
        <v>431</v>
      </c>
      <c r="D1798" s="4" t="s">
        <v>3468</v>
      </c>
      <c r="E1798" s="4"/>
      <c r="F1798" s="4" t="s">
        <v>484</v>
      </c>
    </row>
    <row r="1799" customFormat="false" ht="28.35" hidden="false" customHeight="false" outlineLevel="0" collapsed="false">
      <c r="A1799" s="4" t="n">
        <v>90</v>
      </c>
      <c r="B1799" s="4" t="s">
        <v>2419</v>
      </c>
      <c r="C1799" s="4" t="s">
        <v>432</v>
      </c>
      <c r="D1799" s="4" t="s">
        <v>3469</v>
      </c>
      <c r="E1799" s="4"/>
      <c r="F1799" s="4" t="s">
        <v>485</v>
      </c>
    </row>
    <row r="1800" customFormat="false" ht="28.35" hidden="false" customHeight="false" outlineLevel="0" collapsed="false">
      <c r="A1800" s="4" t="n">
        <v>90</v>
      </c>
      <c r="B1800" s="4" t="s">
        <v>2419</v>
      </c>
      <c r="C1800" s="4" t="s">
        <v>433</v>
      </c>
      <c r="D1800" s="4" t="s">
        <v>3470</v>
      </c>
      <c r="E1800" s="4"/>
      <c r="F1800" s="4" t="s">
        <v>2439</v>
      </c>
    </row>
    <row r="1801" customFormat="false" ht="28.35" hidden="false" customHeight="false" outlineLevel="0" collapsed="false">
      <c r="A1801" s="4" t="n">
        <v>90</v>
      </c>
      <c r="B1801" s="4" t="s">
        <v>2419</v>
      </c>
      <c r="C1801" s="4" t="s">
        <v>436</v>
      </c>
      <c r="D1801" s="4" t="s">
        <v>3471</v>
      </c>
      <c r="E1801" s="4"/>
      <c r="F1801" s="4" t="s">
        <v>316</v>
      </c>
    </row>
    <row r="1802" customFormat="false" ht="28.35" hidden="false" customHeight="false" outlineLevel="0" collapsed="false">
      <c r="A1802" s="4" t="n">
        <v>90</v>
      </c>
      <c r="B1802" s="4" t="s">
        <v>2419</v>
      </c>
      <c r="C1802" s="4" t="s">
        <v>437</v>
      </c>
      <c r="D1802" s="4" t="s">
        <v>3472</v>
      </c>
      <c r="E1802" s="4"/>
      <c r="F1802" s="4" t="n">
        <v>12</v>
      </c>
    </row>
    <row r="1803" customFormat="false" ht="28.35" hidden="false" customHeight="false" outlineLevel="0" collapsed="false">
      <c r="A1803" s="4" t="n">
        <v>91</v>
      </c>
      <c r="B1803" s="4" t="s">
        <v>2441</v>
      </c>
      <c r="C1803" s="4" t="s">
        <v>365</v>
      </c>
      <c r="D1803" s="4" t="s">
        <v>3547</v>
      </c>
      <c r="E1803" s="4"/>
      <c r="F1803" s="4" t="n">
        <v>24.43862</v>
      </c>
    </row>
    <row r="1804" customFormat="false" ht="28.35" hidden="false" customHeight="false" outlineLevel="0" collapsed="false">
      <c r="A1804" s="4" t="n">
        <v>91</v>
      </c>
      <c r="B1804" s="4" t="s">
        <v>2441</v>
      </c>
      <c r="C1804" s="4" t="s">
        <v>366</v>
      </c>
      <c r="D1804" s="4" t="s">
        <v>3548</v>
      </c>
      <c r="E1804" s="4"/>
      <c r="F1804" s="4" t="n">
        <v>2026</v>
      </c>
    </row>
    <row r="1805" customFormat="false" ht="28.35" hidden="false" customHeight="false" outlineLevel="0" collapsed="false">
      <c r="A1805" s="4" t="n">
        <v>91</v>
      </c>
      <c r="B1805" s="4" t="s">
        <v>2441</v>
      </c>
      <c r="C1805" s="4" t="s">
        <v>367</v>
      </c>
      <c r="D1805" s="4" t="s">
        <v>3549</v>
      </c>
      <c r="E1805" s="4"/>
      <c r="F1805" s="4" t="s">
        <v>6</v>
      </c>
    </row>
    <row r="1806" customFormat="false" ht="28.35" hidden="false" customHeight="false" outlineLevel="0" collapsed="false">
      <c r="A1806" s="4" t="n">
        <v>91</v>
      </c>
      <c r="B1806" s="4" t="s">
        <v>2441</v>
      </c>
      <c r="C1806" s="4" t="s">
        <v>368</v>
      </c>
      <c r="D1806" s="4" t="s">
        <v>3550</v>
      </c>
      <c r="E1806" s="4"/>
      <c r="F1806" s="4" t="s">
        <v>2447</v>
      </c>
    </row>
    <row r="1807" customFormat="false" ht="28.35" hidden="false" customHeight="false" outlineLevel="0" collapsed="false">
      <c r="A1807" s="4" t="n">
        <v>91</v>
      </c>
      <c r="B1807" s="4" t="s">
        <v>2441</v>
      </c>
      <c r="C1807" s="4" t="s">
        <v>369</v>
      </c>
      <c r="D1807" s="4" t="s">
        <v>3503</v>
      </c>
      <c r="E1807" s="4" t="s">
        <v>780</v>
      </c>
      <c r="F1807" s="4" t="s">
        <v>494</v>
      </c>
    </row>
    <row r="1808" customFormat="false" ht="149.25" hidden="false" customHeight="false" outlineLevel="0" collapsed="false">
      <c r="A1808" s="4" t="n">
        <v>91</v>
      </c>
      <c r="B1808" s="4" t="s">
        <v>2441</v>
      </c>
      <c r="C1808" s="4" t="s">
        <v>372</v>
      </c>
      <c r="D1808" s="4" t="s">
        <v>3504</v>
      </c>
      <c r="E1808" s="4" t="s">
        <v>3693</v>
      </c>
      <c r="F1808" s="4" t="s">
        <v>2448</v>
      </c>
    </row>
    <row r="1809" customFormat="false" ht="28.35" hidden="false" customHeight="false" outlineLevel="0" collapsed="false">
      <c r="A1809" s="4" t="n">
        <v>91</v>
      </c>
      <c r="B1809" s="4" t="s">
        <v>2441</v>
      </c>
      <c r="C1809" s="4" t="s">
        <v>373</v>
      </c>
      <c r="D1809" s="4" t="s">
        <v>3664</v>
      </c>
      <c r="E1809" s="4" t="s">
        <v>2020</v>
      </c>
      <c r="F1809" s="4" t="s">
        <v>2449</v>
      </c>
    </row>
    <row r="1810" customFormat="false" ht="55.2" hidden="false" customHeight="false" outlineLevel="0" collapsed="false">
      <c r="A1810" s="4" t="n">
        <v>91</v>
      </c>
      <c r="B1810" s="4" t="s">
        <v>2441</v>
      </c>
      <c r="C1810" s="4" t="s">
        <v>374</v>
      </c>
      <c r="D1810" s="4" t="s">
        <v>3616</v>
      </c>
      <c r="E1810" s="4" t="s">
        <v>3694</v>
      </c>
      <c r="F1810" s="4" t="s">
        <v>2450</v>
      </c>
    </row>
    <row r="1811" customFormat="false" ht="135.8" hidden="false" customHeight="false" outlineLevel="0" collapsed="false">
      <c r="A1811" s="4" t="n">
        <v>91</v>
      </c>
      <c r="B1811" s="4" t="s">
        <v>2441</v>
      </c>
      <c r="C1811" s="4" t="s">
        <v>380</v>
      </c>
      <c r="D1811" s="4" t="s">
        <v>3474</v>
      </c>
      <c r="E1811" s="4" t="s">
        <v>3695</v>
      </c>
      <c r="F1811" s="4" t="s">
        <v>2452</v>
      </c>
    </row>
    <row r="1812" customFormat="false" ht="28.35" hidden="false" customHeight="false" outlineLevel="0" collapsed="false">
      <c r="A1812" s="4" t="n">
        <v>91</v>
      </c>
      <c r="B1812" s="4" t="s">
        <v>2441</v>
      </c>
      <c r="C1812" s="4" t="s">
        <v>395</v>
      </c>
      <c r="D1812" s="4" t="s">
        <v>3507</v>
      </c>
      <c r="E1812" s="4" t="s">
        <v>474</v>
      </c>
      <c r="F1812" s="4" t="s">
        <v>2453</v>
      </c>
    </row>
    <row r="1813" customFormat="false" ht="41.75" hidden="false" customHeight="false" outlineLevel="0" collapsed="false">
      <c r="A1813" s="4" t="n">
        <v>91</v>
      </c>
      <c r="B1813" s="4" t="s">
        <v>2441</v>
      </c>
      <c r="C1813" s="4" t="s">
        <v>403</v>
      </c>
      <c r="D1813" s="4" t="s">
        <v>3481</v>
      </c>
      <c r="E1813" s="4" t="s">
        <v>476</v>
      </c>
      <c r="F1813" s="4" t="s">
        <v>2454</v>
      </c>
    </row>
    <row r="1814" customFormat="false" ht="122.35" hidden="false" customHeight="false" outlineLevel="0" collapsed="false">
      <c r="A1814" s="4" t="n">
        <v>91</v>
      </c>
      <c r="B1814" s="4" t="s">
        <v>2441</v>
      </c>
      <c r="C1814" s="4" t="s">
        <v>419</v>
      </c>
      <c r="D1814" s="4" t="s">
        <v>3534</v>
      </c>
      <c r="E1814" s="4"/>
      <c r="F1814" s="4" t="s">
        <v>2459</v>
      </c>
    </row>
    <row r="1815" customFormat="false" ht="28.35" hidden="false" customHeight="false" outlineLevel="0" collapsed="false">
      <c r="A1815" s="4" t="n">
        <v>91</v>
      </c>
      <c r="B1815" s="4" t="s">
        <v>2441</v>
      </c>
      <c r="C1815" s="4" t="s">
        <v>427</v>
      </c>
      <c r="D1815" s="4" t="s">
        <v>3464</v>
      </c>
      <c r="E1815" s="4"/>
      <c r="F1815" s="4" t="s">
        <v>24</v>
      </c>
    </row>
    <row r="1816" customFormat="false" ht="28.35" hidden="false" customHeight="false" outlineLevel="0" collapsed="false">
      <c r="A1816" s="4" t="n">
        <v>91</v>
      </c>
      <c r="B1816" s="4" t="s">
        <v>2441</v>
      </c>
      <c r="C1816" s="4" t="s">
        <v>428</v>
      </c>
      <c r="D1816" s="4" t="s">
        <v>3465</v>
      </c>
      <c r="E1816" s="4"/>
      <c r="F1816" s="4" t="s">
        <v>30</v>
      </c>
    </row>
    <row r="1817" customFormat="false" ht="28.35" hidden="false" customHeight="false" outlineLevel="0" collapsed="false">
      <c r="A1817" s="4" t="n">
        <v>91</v>
      </c>
      <c r="B1817" s="4" t="s">
        <v>2441</v>
      </c>
      <c r="C1817" s="4" t="s">
        <v>429</v>
      </c>
      <c r="D1817" s="4" t="s">
        <v>3466</v>
      </c>
      <c r="E1817" s="4"/>
      <c r="F1817" s="4" t="s">
        <v>36</v>
      </c>
    </row>
    <row r="1818" customFormat="false" ht="28.35" hidden="false" customHeight="false" outlineLevel="0" collapsed="false">
      <c r="A1818" s="4" t="n">
        <v>91</v>
      </c>
      <c r="B1818" s="4" t="s">
        <v>2441</v>
      </c>
      <c r="C1818" s="4" t="s">
        <v>431</v>
      </c>
      <c r="D1818" s="4" t="s">
        <v>3468</v>
      </c>
      <c r="E1818" s="4"/>
      <c r="F1818" s="4" t="s">
        <v>484</v>
      </c>
    </row>
    <row r="1819" customFormat="false" ht="28.35" hidden="false" customHeight="false" outlineLevel="0" collapsed="false">
      <c r="A1819" s="4" t="n">
        <v>91</v>
      </c>
      <c r="B1819" s="4" t="s">
        <v>2441</v>
      </c>
      <c r="C1819" s="4" t="s">
        <v>432</v>
      </c>
      <c r="D1819" s="4" t="s">
        <v>3469</v>
      </c>
      <c r="E1819" s="4"/>
      <c r="F1819" s="4" t="s">
        <v>524</v>
      </c>
    </row>
    <row r="1820" customFormat="false" ht="28.35" hidden="false" customHeight="false" outlineLevel="0" collapsed="false">
      <c r="A1820" s="4" t="n">
        <v>91</v>
      </c>
      <c r="B1820" s="4" t="s">
        <v>2441</v>
      </c>
      <c r="C1820" s="4" t="s">
        <v>433</v>
      </c>
      <c r="D1820" s="4" t="s">
        <v>3470</v>
      </c>
      <c r="E1820" s="4"/>
      <c r="F1820" s="4" t="s">
        <v>2460</v>
      </c>
    </row>
    <row r="1821" customFormat="false" ht="28.35" hidden="false" customHeight="false" outlineLevel="0" collapsed="false">
      <c r="A1821" s="4" t="n">
        <v>91</v>
      </c>
      <c r="B1821" s="4" t="s">
        <v>2441</v>
      </c>
      <c r="C1821" s="4" t="s">
        <v>434</v>
      </c>
      <c r="D1821" s="4" t="s">
        <v>3482</v>
      </c>
      <c r="E1821" s="4"/>
      <c r="F1821" s="4" t="s">
        <v>2293</v>
      </c>
    </row>
    <row r="1822" customFormat="false" ht="28.35" hidden="false" customHeight="false" outlineLevel="0" collapsed="false">
      <c r="A1822" s="4" t="n">
        <v>91</v>
      </c>
      <c r="B1822" s="4" t="s">
        <v>2441</v>
      </c>
      <c r="C1822" s="4" t="s">
        <v>435</v>
      </c>
      <c r="D1822" s="4" t="s">
        <v>3510</v>
      </c>
      <c r="E1822" s="4"/>
      <c r="F1822" s="4" t="s">
        <v>2461</v>
      </c>
    </row>
    <row r="1823" customFormat="false" ht="28.35" hidden="false" customHeight="false" outlineLevel="0" collapsed="false">
      <c r="A1823" s="4" t="n">
        <v>91</v>
      </c>
      <c r="B1823" s="4" t="s">
        <v>2441</v>
      </c>
      <c r="C1823" s="4" t="s">
        <v>436</v>
      </c>
      <c r="D1823" s="4" t="s">
        <v>3471</v>
      </c>
      <c r="E1823" s="4"/>
      <c r="F1823" s="4" t="s">
        <v>2462</v>
      </c>
    </row>
    <row r="1824" customFormat="false" ht="28.35" hidden="false" customHeight="false" outlineLevel="0" collapsed="false">
      <c r="A1824" s="4" t="n">
        <v>91</v>
      </c>
      <c r="B1824" s="4" t="s">
        <v>2441</v>
      </c>
      <c r="C1824" s="4" t="s">
        <v>445</v>
      </c>
      <c r="D1824" s="4" t="s">
        <v>3496</v>
      </c>
      <c r="E1824" s="4"/>
      <c r="F1824" s="4" t="n">
        <v>1</v>
      </c>
    </row>
    <row r="1825" customFormat="false" ht="28.35" hidden="false" customHeight="false" outlineLevel="0" collapsed="false">
      <c r="A1825" s="4" t="n">
        <v>91</v>
      </c>
      <c r="B1825" s="4" t="s">
        <v>2441</v>
      </c>
      <c r="C1825" s="4" t="s">
        <v>447</v>
      </c>
      <c r="D1825" s="4" t="s">
        <v>3498</v>
      </c>
      <c r="E1825" s="4"/>
      <c r="F1825" s="4" t="s">
        <v>2463</v>
      </c>
    </row>
    <row r="1826" customFormat="false" ht="28.35" hidden="false" customHeight="false" outlineLevel="0" collapsed="false">
      <c r="A1826" s="4" t="n">
        <v>91</v>
      </c>
      <c r="B1826" s="4" t="s">
        <v>2441</v>
      </c>
      <c r="C1826" s="4" t="s">
        <v>449</v>
      </c>
      <c r="D1826" s="4" t="s">
        <v>3500</v>
      </c>
      <c r="E1826" s="4"/>
      <c r="F1826" s="4" t="s">
        <v>2464</v>
      </c>
    </row>
    <row r="1827" customFormat="false" ht="108.95" hidden="false" customHeight="false" outlineLevel="0" collapsed="false">
      <c r="A1827" s="4" t="n">
        <v>91</v>
      </c>
      <c r="B1827" s="4" t="s">
        <v>2441</v>
      </c>
      <c r="C1827" s="4" t="s">
        <v>450</v>
      </c>
      <c r="D1827" s="4" t="s">
        <v>3501</v>
      </c>
      <c r="E1827" s="4"/>
      <c r="F1827" s="4" t="s">
        <v>2465</v>
      </c>
    </row>
    <row r="1828" customFormat="false" ht="15" hidden="false" customHeight="false" outlineLevel="0" collapsed="false">
      <c r="A1828" s="4" t="n">
        <v>92</v>
      </c>
      <c r="B1828" s="4" t="s">
        <v>2466</v>
      </c>
      <c r="C1828" s="4" t="s">
        <v>365</v>
      </c>
      <c r="D1828" s="4" t="s">
        <v>3547</v>
      </c>
      <c r="E1828" s="4"/>
      <c r="F1828" s="4" t="n">
        <v>0.996964</v>
      </c>
    </row>
    <row r="1829" customFormat="false" ht="15" hidden="false" customHeight="false" outlineLevel="0" collapsed="false">
      <c r="A1829" s="4" t="n">
        <v>92</v>
      </c>
      <c r="B1829" s="4" t="s">
        <v>2466</v>
      </c>
      <c r="C1829" s="4" t="s">
        <v>366</v>
      </c>
      <c r="D1829" s="4" t="s">
        <v>3548</v>
      </c>
      <c r="E1829" s="4"/>
      <c r="F1829" s="4" t="n">
        <v>2026</v>
      </c>
    </row>
    <row r="1830" customFormat="false" ht="15" hidden="false" customHeight="false" outlineLevel="0" collapsed="false">
      <c r="A1830" s="4" t="n">
        <v>92</v>
      </c>
      <c r="B1830" s="4" t="s">
        <v>2466</v>
      </c>
      <c r="C1830" s="4" t="s">
        <v>367</v>
      </c>
      <c r="D1830" s="4" t="s">
        <v>3549</v>
      </c>
      <c r="E1830" s="4"/>
      <c r="F1830" s="4" t="s">
        <v>5</v>
      </c>
    </row>
    <row r="1831" customFormat="false" ht="15" hidden="false" customHeight="false" outlineLevel="0" collapsed="false">
      <c r="A1831" s="4" t="n">
        <v>92</v>
      </c>
      <c r="B1831" s="4" t="s">
        <v>2466</v>
      </c>
      <c r="C1831" s="4" t="s">
        <v>368</v>
      </c>
      <c r="D1831" s="4" t="s">
        <v>3550</v>
      </c>
      <c r="E1831" s="4"/>
      <c r="F1831" s="4" t="s">
        <v>2471</v>
      </c>
    </row>
    <row r="1832" customFormat="false" ht="15" hidden="false" customHeight="false" outlineLevel="0" collapsed="false">
      <c r="A1832" s="4" t="n">
        <v>92</v>
      </c>
      <c r="B1832" s="4" t="s">
        <v>2466</v>
      </c>
      <c r="C1832" s="4" t="s">
        <v>369</v>
      </c>
      <c r="D1832" s="4" t="s">
        <v>3503</v>
      </c>
      <c r="E1832" s="4" t="s">
        <v>780</v>
      </c>
      <c r="F1832" s="4" t="s">
        <v>494</v>
      </c>
    </row>
    <row r="1833" customFormat="false" ht="15" hidden="false" customHeight="false" outlineLevel="0" collapsed="false">
      <c r="A1833" s="4" t="n">
        <v>92</v>
      </c>
      <c r="B1833" s="4" t="s">
        <v>2466</v>
      </c>
      <c r="C1833" s="4" t="s">
        <v>370</v>
      </c>
      <c r="D1833" s="4" t="s">
        <v>3649</v>
      </c>
      <c r="E1833" s="4"/>
      <c r="F1833" s="4" t="n">
        <v>0.996964</v>
      </c>
    </row>
    <row r="1834" customFormat="false" ht="162.65" hidden="false" customHeight="false" outlineLevel="0" collapsed="false">
      <c r="A1834" s="4" t="n">
        <v>92</v>
      </c>
      <c r="B1834" s="4" t="s">
        <v>2466</v>
      </c>
      <c r="C1834" s="4" t="s">
        <v>372</v>
      </c>
      <c r="D1834" s="4" t="s">
        <v>3504</v>
      </c>
      <c r="E1834" s="4" t="s">
        <v>3696</v>
      </c>
      <c r="F1834" s="4" t="s">
        <v>2472</v>
      </c>
    </row>
    <row r="1835" customFormat="false" ht="28.35" hidden="false" customHeight="false" outlineLevel="0" collapsed="false">
      <c r="A1835" s="4" t="n">
        <v>92</v>
      </c>
      <c r="B1835" s="4" t="s">
        <v>2466</v>
      </c>
      <c r="C1835" s="4" t="s">
        <v>373</v>
      </c>
      <c r="D1835" s="4" t="s">
        <v>3664</v>
      </c>
      <c r="E1835" s="4" t="s">
        <v>2020</v>
      </c>
      <c r="F1835" s="4" t="s">
        <v>2473</v>
      </c>
    </row>
    <row r="1836" customFormat="false" ht="55.2" hidden="false" customHeight="false" outlineLevel="0" collapsed="false">
      <c r="A1836" s="4" t="n">
        <v>92</v>
      </c>
      <c r="B1836" s="4" t="s">
        <v>2466</v>
      </c>
      <c r="C1836" s="4" t="s">
        <v>374</v>
      </c>
      <c r="D1836" s="4" t="s">
        <v>3616</v>
      </c>
      <c r="E1836" s="4" t="s">
        <v>3697</v>
      </c>
      <c r="F1836" s="4" t="s">
        <v>2474</v>
      </c>
    </row>
    <row r="1837" customFormat="false" ht="135.8" hidden="false" customHeight="false" outlineLevel="0" collapsed="false">
      <c r="A1837" s="4" t="n">
        <v>92</v>
      </c>
      <c r="B1837" s="4" t="s">
        <v>2466</v>
      </c>
      <c r="C1837" s="4" t="s">
        <v>380</v>
      </c>
      <c r="D1837" s="4" t="s">
        <v>3474</v>
      </c>
      <c r="E1837" s="4" t="s">
        <v>3698</v>
      </c>
      <c r="F1837" s="4" t="s">
        <v>2475</v>
      </c>
    </row>
    <row r="1838" customFormat="false" ht="28.35" hidden="false" customHeight="false" outlineLevel="0" collapsed="false">
      <c r="A1838" s="4" t="n">
        <v>92</v>
      </c>
      <c r="B1838" s="4" t="s">
        <v>2466</v>
      </c>
      <c r="C1838" s="4" t="s">
        <v>381</v>
      </c>
      <c r="D1838" s="4" t="s">
        <v>3526</v>
      </c>
      <c r="E1838" s="4" t="n">
        <v>0.996964</v>
      </c>
      <c r="F1838" s="4"/>
    </row>
    <row r="1839" customFormat="false" ht="15" hidden="false" customHeight="false" outlineLevel="0" collapsed="false">
      <c r="A1839" s="4" t="n">
        <v>92</v>
      </c>
      <c r="B1839" s="4" t="s">
        <v>2466</v>
      </c>
      <c r="C1839" s="4" t="s">
        <v>382</v>
      </c>
      <c r="D1839" s="4" t="s">
        <v>3527</v>
      </c>
      <c r="E1839" s="4" t="s">
        <v>2267</v>
      </c>
      <c r="F1839" s="4"/>
    </row>
    <row r="1840" customFormat="false" ht="15" hidden="false" customHeight="false" outlineLevel="0" collapsed="false">
      <c r="A1840" s="4" t="n">
        <v>92</v>
      </c>
      <c r="B1840" s="4" t="s">
        <v>2466</v>
      </c>
      <c r="C1840" s="4" t="s">
        <v>383</v>
      </c>
      <c r="D1840" s="4" t="s">
        <v>3528</v>
      </c>
      <c r="E1840" s="4" t="s">
        <v>2268</v>
      </c>
      <c r="F1840" s="4"/>
    </row>
    <row r="1841" customFormat="false" ht="15" hidden="false" customHeight="false" outlineLevel="0" collapsed="false">
      <c r="A1841" s="4" t="n">
        <v>92</v>
      </c>
      <c r="B1841" s="4" t="s">
        <v>2466</v>
      </c>
      <c r="C1841" s="4" t="s">
        <v>384</v>
      </c>
      <c r="D1841" s="4" t="s">
        <v>3529</v>
      </c>
      <c r="E1841" s="4" t="s">
        <v>3699</v>
      </c>
      <c r="F1841" s="4"/>
    </row>
    <row r="1842" customFormat="false" ht="15" hidden="false" customHeight="false" outlineLevel="0" collapsed="false">
      <c r="A1842" s="4" t="n">
        <v>92</v>
      </c>
      <c r="B1842" s="4" t="s">
        <v>2466</v>
      </c>
      <c r="C1842" s="4" t="s">
        <v>387</v>
      </c>
      <c r="D1842" s="4" t="s">
        <v>3476</v>
      </c>
      <c r="E1842" s="4"/>
      <c r="F1842" s="4" t="n">
        <v>4</v>
      </c>
    </row>
    <row r="1843" customFormat="false" ht="15" hidden="false" customHeight="false" outlineLevel="0" collapsed="false">
      <c r="A1843" s="4" t="n">
        <v>92</v>
      </c>
      <c r="B1843" s="4" t="s">
        <v>2466</v>
      </c>
      <c r="C1843" s="4" t="s">
        <v>388</v>
      </c>
      <c r="D1843" s="4" t="s">
        <v>3477</v>
      </c>
      <c r="E1843" s="4"/>
      <c r="F1843" s="4" t="s">
        <v>2025</v>
      </c>
    </row>
    <row r="1844" customFormat="false" ht="41.75" hidden="false" customHeight="false" outlineLevel="0" collapsed="false">
      <c r="A1844" s="4" t="n">
        <v>92</v>
      </c>
      <c r="B1844" s="4" t="s">
        <v>2466</v>
      </c>
      <c r="C1844" s="4" t="s">
        <v>389</v>
      </c>
      <c r="D1844" s="4" t="s">
        <v>3478</v>
      </c>
      <c r="E1844" s="4" t="s">
        <v>472</v>
      </c>
      <c r="F1844" s="4" t="s">
        <v>2476</v>
      </c>
    </row>
    <row r="1845" customFormat="false" ht="28.35" hidden="false" customHeight="false" outlineLevel="0" collapsed="false">
      <c r="A1845" s="4" t="n">
        <v>92</v>
      </c>
      <c r="B1845" s="4" t="s">
        <v>2466</v>
      </c>
      <c r="C1845" s="4" t="s">
        <v>390</v>
      </c>
      <c r="D1845" s="4" t="s">
        <v>3479</v>
      </c>
      <c r="E1845" s="4" t="s">
        <v>473</v>
      </c>
      <c r="F1845" s="4" t="s">
        <v>503</v>
      </c>
    </row>
    <row r="1846" customFormat="false" ht="28.35" hidden="false" customHeight="false" outlineLevel="0" collapsed="false">
      <c r="A1846" s="4" t="n">
        <v>92</v>
      </c>
      <c r="B1846" s="4" t="s">
        <v>2466</v>
      </c>
      <c r="C1846" s="4" t="s">
        <v>391</v>
      </c>
      <c r="D1846" s="4" t="s">
        <v>3480</v>
      </c>
      <c r="E1846" s="4"/>
      <c r="F1846" s="4" t="s">
        <v>2477</v>
      </c>
    </row>
    <row r="1847" customFormat="false" ht="28.35" hidden="false" customHeight="false" outlineLevel="0" collapsed="false">
      <c r="A1847" s="4" t="n">
        <v>92</v>
      </c>
      <c r="B1847" s="4" t="s">
        <v>2466</v>
      </c>
      <c r="C1847" s="4" t="s">
        <v>395</v>
      </c>
      <c r="D1847" s="4" t="s">
        <v>3507</v>
      </c>
      <c r="E1847" s="4" t="s">
        <v>474</v>
      </c>
      <c r="F1847" s="4" t="s">
        <v>2478</v>
      </c>
    </row>
    <row r="1848" customFormat="false" ht="41.75" hidden="false" customHeight="false" outlineLevel="0" collapsed="false">
      <c r="A1848" s="4" t="n">
        <v>92</v>
      </c>
      <c r="B1848" s="4" t="s">
        <v>2466</v>
      </c>
      <c r="C1848" s="4" t="s">
        <v>403</v>
      </c>
      <c r="D1848" s="4" t="s">
        <v>3481</v>
      </c>
      <c r="E1848" s="4" t="s">
        <v>476</v>
      </c>
      <c r="F1848" s="4" t="s">
        <v>2479</v>
      </c>
    </row>
    <row r="1849" customFormat="false" ht="15" hidden="false" customHeight="false" outlineLevel="0" collapsed="false">
      <c r="A1849" s="4" t="n">
        <v>92</v>
      </c>
      <c r="B1849" s="4" t="s">
        <v>2466</v>
      </c>
      <c r="C1849" s="4" t="s">
        <v>16</v>
      </c>
      <c r="D1849" s="4" t="s">
        <v>3487</v>
      </c>
      <c r="E1849" s="4"/>
      <c r="F1849" s="4" t="n">
        <v>11</v>
      </c>
    </row>
    <row r="1850" customFormat="false" ht="15" hidden="false" customHeight="false" outlineLevel="0" collapsed="false">
      <c r="A1850" s="4" t="n">
        <v>92</v>
      </c>
      <c r="B1850" s="4" t="s">
        <v>2466</v>
      </c>
      <c r="C1850" s="4" t="s">
        <v>404</v>
      </c>
      <c r="D1850" s="4" t="s">
        <v>3488</v>
      </c>
      <c r="E1850" s="4"/>
      <c r="F1850" s="4" t="s">
        <v>2480</v>
      </c>
    </row>
    <row r="1851" customFormat="false" ht="41.75" hidden="false" customHeight="false" outlineLevel="0" collapsed="false">
      <c r="A1851" s="4" t="n">
        <v>92</v>
      </c>
      <c r="B1851" s="4" t="s">
        <v>2466</v>
      </c>
      <c r="C1851" s="4" t="s">
        <v>405</v>
      </c>
      <c r="D1851" s="4" t="s">
        <v>3489</v>
      </c>
      <c r="E1851" s="4"/>
      <c r="F1851" s="4" t="s">
        <v>2481</v>
      </c>
    </row>
    <row r="1852" customFormat="false" ht="28.35" hidden="false" customHeight="false" outlineLevel="0" collapsed="false">
      <c r="A1852" s="4" t="n">
        <v>92</v>
      </c>
      <c r="B1852" s="4" t="s">
        <v>2466</v>
      </c>
      <c r="C1852" s="4" t="s">
        <v>406</v>
      </c>
      <c r="D1852" s="4" t="s">
        <v>3490</v>
      </c>
      <c r="E1852" s="4"/>
      <c r="F1852" s="4" t="s">
        <v>2477</v>
      </c>
    </row>
    <row r="1853" customFormat="false" ht="122.35" hidden="false" customHeight="false" outlineLevel="0" collapsed="false">
      <c r="A1853" s="4" t="n">
        <v>92</v>
      </c>
      <c r="B1853" s="4" t="s">
        <v>2466</v>
      </c>
      <c r="C1853" s="4" t="s">
        <v>407</v>
      </c>
      <c r="D1853" s="4" t="s">
        <v>3485</v>
      </c>
      <c r="E1853" s="4"/>
      <c r="F1853" s="4" t="s">
        <v>2482</v>
      </c>
    </row>
    <row r="1854" customFormat="false" ht="82.05" hidden="false" customHeight="false" outlineLevel="0" collapsed="false">
      <c r="A1854" s="4" t="n">
        <v>92</v>
      </c>
      <c r="B1854" s="4" t="s">
        <v>2466</v>
      </c>
      <c r="C1854" s="4" t="s">
        <v>419</v>
      </c>
      <c r="D1854" s="4" t="s">
        <v>3534</v>
      </c>
      <c r="E1854" s="4"/>
      <c r="F1854" s="4" t="s">
        <v>2487</v>
      </c>
    </row>
    <row r="1855" customFormat="false" ht="15" hidden="false" customHeight="false" outlineLevel="0" collapsed="false">
      <c r="A1855" s="4" t="n">
        <v>92</v>
      </c>
      <c r="B1855" s="4" t="s">
        <v>2466</v>
      </c>
      <c r="C1855" s="4" t="s">
        <v>427</v>
      </c>
      <c r="D1855" s="4" t="s">
        <v>3464</v>
      </c>
      <c r="E1855" s="4"/>
      <c r="F1855" s="4" t="s">
        <v>24</v>
      </c>
    </row>
    <row r="1856" customFormat="false" ht="15" hidden="false" customHeight="false" outlineLevel="0" collapsed="false">
      <c r="A1856" s="4" t="n">
        <v>92</v>
      </c>
      <c r="B1856" s="4" t="s">
        <v>2466</v>
      </c>
      <c r="C1856" s="4" t="s">
        <v>428</v>
      </c>
      <c r="D1856" s="4" t="s">
        <v>3465</v>
      </c>
      <c r="E1856" s="4"/>
      <c r="F1856" s="4" t="s">
        <v>30</v>
      </c>
    </row>
    <row r="1857" customFormat="false" ht="15" hidden="false" customHeight="false" outlineLevel="0" collapsed="false">
      <c r="A1857" s="4" t="n">
        <v>92</v>
      </c>
      <c r="B1857" s="4" t="s">
        <v>2466</v>
      </c>
      <c r="C1857" s="4" t="s">
        <v>429</v>
      </c>
      <c r="D1857" s="4" t="s">
        <v>3466</v>
      </c>
      <c r="E1857" s="4"/>
      <c r="F1857" s="4" t="s">
        <v>37</v>
      </c>
    </row>
    <row r="1858" customFormat="false" ht="41.75" hidden="false" customHeight="false" outlineLevel="0" collapsed="false">
      <c r="A1858" s="4" t="n">
        <v>92</v>
      </c>
      <c r="B1858" s="4" t="s">
        <v>2466</v>
      </c>
      <c r="C1858" s="4" t="s">
        <v>430</v>
      </c>
      <c r="D1858" s="4" t="s">
        <v>3467</v>
      </c>
      <c r="E1858" s="4"/>
      <c r="F1858" s="4" t="s">
        <v>2382</v>
      </c>
    </row>
    <row r="1859" customFormat="false" ht="15" hidden="false" customHeight="false" outlineLevel="0" collapsed="false">
      <c r="A1859" s="4" t="n">
        <v>92</v>
      </c>
      <c r="B1859" s="4" t="s">
        <v>2466</v>
      </c>
      <c r="C1859" s="4" t="s">
        <v>431</v>
      </c>
      <c r="D1859" s="4" t="s">
        <v>3468</v>
      </c>
      <c r="E1859" s="4"/>
      <c r="F1859" s="4" t="s">
        <v>484</v>
      </c>
    </row>
    <row r="1860" customFormat="false" ht="15" hidden="false" customHeight="false" outlineLevel="0" collapsed="false">
      <c r="A1860" s="4" t="n">
        <v>92</v>
      </c>
      <c r="B1860" s="4" t="s">
        <v>2466</v>
      </c>
      <c r="C1860" s="4" t="s">
        <v>432</v>
      </c>
      <c r="D1860" s="4" t="s">
        <v>3469</v>
      </c>
      <c r="E1860" s="4"/>
      <c r="F1860" s="4" t="s">
        <v>524</v>
      </c>
    </row>
    <row r="1861" customFormat="false" ht="28.35" hidden="false" customHeight="false" outlineLevel="0" collapsed="false">
      <c r="A1861" s="4" t="n">
        <v>92</v>
      </c>
      <c r="B1861" s="4" t="s">
        <v>2466</v>
      </c>
      <c r="C1861" s="4" t="s">
        <v>433</v>
      </c>
      <c r="D1861" s="4" t="s">
        <v>3470</v>
      </c>
      <c r="E1861" s="4"/>
      <c r="F1861" s="4" t="s">
        <v>2383</v>
      </c>
    </row>
    <row r="1862" customFormat="false" ht="15" hidden="false" customHeight="false" outlineLevel="0" collapsed="false">
      <c r="A1862" s="4" t="n">
        <v>92</v>
      </c>
      <c r="B1862" s="4" t="s">
        <v>2466</v>
      </c>
      <c r="C1862" s="4" t="s">
        <v>434</v>
      </c>
      <c r="D1862" s="4" t="s">
        <v>3482</v>
      </c>
      <c r="E1862" s="4"/>
      <c r="F1862" s="4" t="s">
        <v>2187</v>
      </c>
    </row>
    <row r="1863" customFormat="false" ht="41.75" hidden="false" customHeight="false" outlineLevel="0" collapsed="false">
      <c r="A1863" s="4" t="n">
        <v>92</v>
      </c>
      <c r="B1863" s="4" t="s">
        <v>2466</v>
      </c>
      <c r="C1863" s="4" t="s">
        <v>435</v>
      </c>
      <c r="D1863" s="4" t="s">
        <v>3510</v>
      </c>
      <c r="E1863" s="4"/>
      <c r="F1863" s="4" t="s">
        <v>2384</v>
      </c>
    </row>
    <row r="1864" customFormat="false" ht="15" hidden="false" customHeight="false" outlineLevel="0" collapsed="false">
      <c r="A1864" s="4" t="n">
        <v>92</v>
      </c>
      <c r="B1864" s="4" t="s">
        <v>2466</v>
      </c>
      <c r="C1864" s="4" t="s">
        <v>436</v>
      </c>
      <c r="D1864" s="4" t="s">
        <v>3471</v>
      </c>
      <c r="E1864" s="4"/>
      <c r="F1864" s="4" t="s">
        <v>134</v>
      </c>
    </row>
    <row r="1865" customFormat="false" ht="28.35" hidden="false" customHeight="false" outlineLevel="0" collapsed="false">
      <c r="A1865" s="4" t="n">
        <v>92</v>
      </c>
      <c r="B1865" s="4" t="s">
        <v>2466</v>
      </c>
      <c r="C1865" s="4" t="s">
        <v>437</v>
      </c>
      <c r="D1865" s="4" t="s">
        <v>3472</v>
      </c>
      <c r="E1865" s="4"/>
      <c r="F1865" s="4" t="n">
        <v>10</v>
      </c>
    </row>
    <row r="1866" customFormat="false" ht="28.35" hidden="false" customHeight="false" outlineLevel="0" collapsed="false">
      <c r="A1866" s="4" t="n">
        <v>92</v>
      </c>
      <c r="B1866" s="4" t="s">
        <v>2466</v>
      </c>
      <c r="C1866" s="4" t="s">
        <v>440</v>
      </c>
      <c r="D1866" s="4" t="s">
        <v>3491</v>
      </c>
      <c r="E1866" s="4"/>
      <c r="F1866" s="4" t="n">
        <v>9</v>
      </c>
    </row>
    <row r="1867" customFormat="false" ht="28.35" hidden="false" customHeight="false" outlineLevel="0" collapsed="false">
      <c r="A1867" s="4" t="n">
        <v>92</v>
      </c>
      <c r="B1867" s="4" t="s">
        <v>2466</v>
      </c>
      <c r="C1867" s="4" t="s">
        <v>441</v>
      </c>
      <c r="D1867" s="4" t="s">
        <v>3492</v>
      </c>
      <c r="E1867" s="4"/>
      <c r="F1867" s="4" t="n">
        <v>1</v>
      </c>
    </row>
    <row r="1868" customFormat="false" ht="15" hidden="false" customHeight="false" outlineLevel="0" collapsed="false">
      <c r="A1868" s="4" t="n">
        <v>92</v>
      </c>
      <c r="B1868" s="4" t="s">
        <v>2466</v>
      </c>
      <c r="C1868" s="4" t="s">
        <v>442</v>
      </c>
      <c r="D1868" s="4" t="s">
        <v>3493</v>
      </c>
      <c r="E1868" s="4"/>
      <c r="F1868" s="4" t="n">
        <v>1</v>
      </c>
    </row>
    <row r="1869" customFormat="false" ht="15" hidden="false" customHeight="false" outlineLevel="0" collapsed="false">
      <c r="A1869" s="4" t="n">
        <v>92</v>
      </c>
      <c r="B1869" s="4" t="s">
        <v>2466</v>
      </c>
      <c r="C1869" s="4" t="s">
        <v>443</v>
      </c>
      <c r="D1869" s="4" t="s">
        <v>3494</v>
      </c>
      <c r="E1869" s="4"/>
      <c r="F1869" s="4" t="n">
        <v>11</v>
      </c>
    </row>
    <row r="1870" customFormat="false" ht="15" hidden="false" customHeight="false" outlineLevel="0" collapsed="false">
      <c r="A1870" s="4" t="n">
        <v>92</v>
      </c>
      <c r="B1870" s="4" t="s">
        <v>2466</v>
      </c>
      <c r="C1870" s="4" t="s">
        <v>446</v>
      </c>
      <c r="D1870" s="4" t="s">
        <v>3497</v>
      </c>
      <c r="E1870" s="4"/>
      <c r="F1870" s="4" t="n">
        <v>1</v>
      </c>
    </row>
    <row r="1871" customFormat="false" ht="55.2" hidden="false" customHeight="false" outlineLevel="0" collapsed="false">
      <c r="A1871" s="4" t="n">
        <v>92</v>
      </c>
      <c r="B1871" s="4" t="s">
        <v>2466</v>
      </c>
      <c r="C1871" s="4" t="s">
        <v>447</v>
      </c>
      <c r="D1871" s="4" t="s">
        <v>3498</v>
      </c>
      <c r="E1871" s="4"/>
      <c r="F1871" s="4" t="s">
        <v>2488</v>
      </c>
    </row>
    <row r="1872" customFormat="false" ht="95.5" hidden="false" customHeight="false" outlineLevel="0" collapsed="false">
      <c r="A1872" s="4" t="n">
        <v>92</v>
      </c>
      <c r="B1872" s="4" t="s">
        <v>2466</v>
      </c>
      <c r="C1872" s="4" t="s">
        <v>448</v>
      </c>
      <c r="D1872" s="4" t="s">
        <v>3499</v>
      </c>
      <c r="E1872" s="4"/>
      <c r="F1872" s="4" t="s">
        <v>2489</v>
      </c>
    </row>
    <row r="1873" customFormat="false" ht="28.35" hidden="false" customHeight="false" outlineLevel="0" collapsed="false">
      <c r="A1873" s="4" t="n">
        <v>92</v>
      </c>
      <c r="B1873" s="4" t="s">
        <v>2466</v>
      </c>
      <c r="C1873" s="4" t="s">
        <v>449</v>
      </c>
      <c r="D1873" s="4" t="s">
        <v>3500</v>
      </c>
      <c r="E1873" s="4"/>
      <c r="F1873" s="4" t="s">
        <v>2477</v>
      </c>
    </row>
    <row r="1874" customFormat="false" ht="189.55" hidden="false" customHeight="false" outlineLevel="0" collapsed="false">
      <c r="A1874" s="4" t="n">
        <v>92</v>
      </c>
      <c r="B1874" s="4" t="s">
        <v>2466</v>
      </c>
      <c r="C1874" s="4" t="s">
        <v>450</v>
      </c>
      <c r="D1874" s="4" t="s">
        <v>3501</v>
      </c>
      <c r="E1874" s="4"/>
      <c r="F1874" s="4" t="s">
        <v>2490</v>
      </c>
    </row>
    <row r="1875" customFormat="false" ht="15" hidden="false" customHeight="false" outlineLevel="0" collapsed="false">
      <c r="A1875" s="4" t="n">
        <v>93</v>
      </c>
      <c r="B1875" s="4" t="s">
        <v>2491</v>
      </c>
      <c r="C1875" s="4" t="s">
        <v>368</v>
      </c>
      <c r="D1875" s="4" t="s">
        <v>3550</v>
      </c>
      <c r="E1875" s="4" t="s">
        <v>3700</v>
      </c>
      <c r="F1875" s="4" t="s">
        <v>2497</v>
      </c>
    </row>
    <row r="1876" customFormat="false" ht="95.5" hidden="false" customHeight="false" outlineLevel="0" collapsed="false">
      <c r="A1876" s="4" t="n">
        <v>93</v>
      </c>
      <c r="B1876" s="4" t="s">
        <v>2491</v>
      </c>
      <c r="C1876" s="4" t="s">
        <v>372</v>
      </c>
      <c r="D1876" s="4" t="s">
        <v>3504</v>
      </c>
      <c r="E1876" s="4" t="s">
        <v>3701</v>
      </c>
      <c r="F1876" s="4" t="s">
        <v>2498</v>
      </c>
    </row>
    <row r="1877" customFormat="false" ht="28.35" hidden="false" customHeight="false" outlineLevel="0" collapsed="false">
      <c r="A1877" s="4" t="n">
        <v>93</v>
      </c>
      <c r="B1877" s="4" t="s">
        <v>2491</v>
      </c>
      <c r="C1877" s="4" t="s">
        <v>373</v>
      </c>
      <c r="D1877" s="4" t="s">
        <v>3664</v>
      </c>
      <c r="E1877" s="4" t="s">
        <v>2020</v>
      </c>
      <c r="F1877" s="4" t="s">
        <v>2499</v>
      </c>
    </row>
    <row r="1878" customFormat="false" ht="15" hidden="false" customHeight="false" outlineLevel="0" collapsed="false">
      <c r="A1878" s="4" t="n">
        <v>93</v>
      </c>
      <c r="B1878" s="4" t="s">
        <v>2491</v>
      </c>
      <c r="C1878" s="4" t="s">
        <v>374</v>
      </c>
      <c r="D1878" s="4" t="s">
        <v>3616</v>
      </c>
      <c r="E1878" s="4" t="s">
        <v>3702</v>
      </c>
      <c r="F1878" s="4" t="s">
        <v>2500</v>
      </c>
    </row>
    <row r="1879" customFormat="false" ht="229.85" hidden="false" customHeight="false" outlineLevel="0" collapsed="false">
      <c r="A1879" s="4" t="n">
        <v>93</v>
      </c>
      <c r="B1879" s="4" t="s">
        <v>2491</v>
      </c>
      <c r="C1879" s="4" t="s">
        <v>380</v>
      </c>
      <c r="D1879" s="4" t="s">
        <v>3474</v>
      </c>
      <c r="E1879" s="4" t="s">
        <v>3703</v>
      </c>
      <c r="F1879" s="4" t="s">
        <v>2502</v>
      </c>
    </row>
    <row r="1880" customFormat="false" ht="15" hidden="false" customHeight="false" outlineLevel="0" collapsed="false">
      <c r="A1880" s="4" t="n">
        <v>93</v>
      </c>
      <c r="B1880" s="4" t="s">
        <v>2491</v>
      </c>
      <c r="C1880" s="4" t="s">
        <v>392</v>
      </c>
      <c r="D1880" s="4" t="s">
        <v>3530</v>
      </c>
      <c r="E1880" s="4"/>
      <c r="F1880" s="4" t="n">
        <v>1.56624</v>
      </c>
    </row>
    <row r="1881" customFormat="false" ht="15" hidden="false" customHeight="false" outlineLevel="0" collapsed="false">
      <c r="A1881" s="4" t="n">
        <v>93</v>
      </c>
      <c r="B1881" s="4" t="s">
        <v>2491</v>
      </c>
      <c r="C1881" s="4" t="s">
        <v>393</v>
      </c>
      <c r="D1881" s="4" t="s">
        <v>3531</v>
      </c>
      <c r="E1881" s="4"/>
      <c r="F1881" s="4" t="n">
        <v>2026</v>
      </c>
    </row>
    <row r="1882" customFormat="false" ht="28.35" hidden="false" customHeight="false" outlineLevel="0" collapsed="false">
      <c r="A1882" s="4" t="n">
        <v>93</v>
      </c>
      <c r="B1882" s="4" t="s">
        <v>2491</v>
      </c>
      <c r="C1882" s="4" t="s">
        <v>394</v>
      </c>
      <c r="D1882" s="4" t="s">
        <v>3532</v>
      </c>
      <c r="E1882" s="4"/>
      <c r="F1882" s="4" t="s">
        <v>2503</v>
      </c>
    </row>
    <row r="1883" customFormat="false" ht="28.35" hidden="false" customHeight="false" outlineLevel="0" collapsed="false">
      <c r="A1883" s="4" t="n">
        <v>93</v>
      </c>
      <c r="B1883" s="4" t="s">
        <v>2491</v>
      </c>
      <c r="C1883" s="4" t="s">
        <v>395</v>
      </c>
      <c r="D1883" s="4" t="s">
        <v>3507</v>
      </c>
      <c r="E1883" s="4" t="s">
        <v>474</v>
      </c>
      <c r="F1883" s="4" t="s">
        <v>506</v>
      </c>
    </row>
    <row r="1884" customFormat="false" ht="41.75" hidden="false" customHeight="false" outlineLevel="0" collapsed="false">
      <c r="A1884" s="4" t="n">
        <v>93</v>
      </c>
      <c r="B1884" s="4" t="s">
        <v>2491</v>
      </c>
      <c r="C1884" s="4" t="s">
        <v>396</v>
      </c>
      <c r="D1884" s="4" t="s">
        <v>3533</v>
      </c>
      <c r="E1884" s="4"/>
      <c r="F1884" s="4" t="s">
        <v>2504</v>
      </c>
    </row>
    <row r="1885" customFormat="false" ht="28.35" hidden="false" customHeight="false" outlineLevel="0" collapsed="false">
      <c r="A1885" s="4" t="n">
        <v>93</v>
      </c>
      <c r="B1885" s="4" t="s">
        <v>2491</v>
      </c>
      <c r="C1885" s="4" t="s">
        <v>397</v>
      </c>
      <c r="D1885" s="4" t="s">
        <v>3553</v>
      </c>
      <c r="E1885" s="4"/>
      <c r="F1885" s="4" t="n">
        <v>1.052896</v>
      </c>
    </row>
    <row r="1886" customFormat="false" ht="15" hidden="false" customHeight="false" outlineLevel="0" collapsed="false">
      <c r="A1886" s="4" t="n">
        <v>93</v>
      </c>
      <c r="B1886" s="4" t="s">
        <v>2491</v>
      </c>
      <c r="C1886" s="4" t="s">
        <v>398</v>
      </c>
      <c r="D1886" s="4" t="s">
        <v>3554</v>
      </c>
      <c r="E1886" s="4"/>
      <c r="F1886" s="4" t="n">
        <v>2026</v>
      </c>
    </row>
    <row r="1887" customFormat="false" ht="15" hidden="false" customHeight="false" outlineLevel="0" collapsed="false">
      <c r="A1887" s="4" t="n">
        <v>93</v>
      </c>
      <c r="B1887" s="4" t="s">
        <v>2491</v>
      </c>
      <c r="C1887" s="4" t="s">
        <v>399</v>
      </c>
      <c r="D1887" s="4" t="s">
        <v>3555</v>
      </c>
      <c r="E1887" s="4"/>
      <c r="F1887" s="4" t="s">
        <v>2505</v>
      </c>
    </row>
    <row r="1888" customFormat="false" ht="28.35" hidden="false" customHeight="false" outlineLevel="0" collapsed="false">
      <c r="A1888" s="4" t="n">
        <v>93</v>
      </c>
      <c r="B1888" s="4" t="s">
        <v>2491</v>
      </c>
      <c r="C1888" s="4" t="s">
        <v>400</v>
      </c>
      <c r="D1888" s="4" t="s">
        <v>3556</v>
      </c>
      <c r="E1888" s="4"/>
      <c r="F1888" s="4" t="s">
        <v>509</v>
      </c>
    </row>
    <row r="1889" customFormat="false" ht="41.75" hidden="false" customHeight="false" outlineLevel="0" collapsed="false">
      <c r="A1889" s="4" t="n">
        <v>93</v>
      </c>
      <c r="B1889" s="4" t="s">
        <v>2491</v>
      </c>
      <c r="C1889" s="4" t="s">
        <v>401</v>
      </c>
      <c r="D1889" s="4" t="s">
        <v>3557</v>
      </c>
      <c r="E1889" s="4"/>
      <c r="F1889" s="4" t="s">
        <v>2506</v>
      </c>
    </row>
    <row r="1890" customFormat="false" ht="28.35" hidden="false" customHeight="false" outlineLevel="0" collapsed="false">
      <c r="A1890" s="4" t="n">
        <v>93</v>
      </c>
      <c r="B1890" s="4" t="s">
        <v>2491</v>
      </c>
      <c r="C1890" s="4" t="s">
        <v>402</v>
      </c>
      <c r="D1890" s="4" t="s">
        <v>3508</v>
      </c>
      <c r="E1890" s="4" t="s">
        <v>475</v>
      </c>
      <c r="F1890" s="4" t="s">
        <v>974</v>
      </c>
    </row>
    <row r="1891" customFormat="false" ht="41.75" hidden="false" customHeight="false" outlineLevel="0" collapsed="false">
      <c r="A1891" s="4" t="n">
        <v>93</v>
      </c>
      <c r="B1891" s="4" t="s">
        <v>2491</v>
      </c>
      <c r="C1891" s="4" t="s">
        <v>403</v>
      </c>
      <c r="D1891" s="4" t="s">
        <v>3481</v>
      </c>
      <c r="E1891" s="4" t="s">
        <v>3645</v>
      </c>
      <c r="F1891" s="4" t="s">
        <v>2507</v>
      </c>
    </row>
    <row r="1892" customFormat="false" ht="15" hidden="false" customHeight="false" outlineLevel="0" collapsed="false">
      <c r="A1892" s="4" t="n">
        <v>93</v>
      </c>
      <c r="B1892" s="4" t="s">
        <v>2491</v>
      </c>
      <c r="C1892" s="4" t="s">
        <v>16</v>
      </c>
      <c r="D1892" s="4" t="s">
        <v>3487</v>
      </c>
      <c r="E1892" s="4"/>
      <c r="F1892" s="4" t="n">
        <v>17</v>
      </c>
    </row>
    <row r="1893" customFormat="false" ht="15" hidden="false" customHeight="false" outlineLevel="0" collapsed="false">
      <c r="A1893" s="4" t="n">
        <v>93</v>
      </c>
      <c r="B1893" s="4" t="s">
        <v>2491</v>
      </c>
      <c r="C1893" s="4" t="s">
        <v>404</v>
      </c>
      <c r="D1893" s="4" t="s">
        <v>3488</v>
      </c>
      <c r="E1893" s="4"/>
      <c r="F1893" s="4" t="s">
        <v>964</v>
      </c>
    </row>
    <row r="1894" customFormat="false" ht="41.75" hidden="false" customHeight="false" outlineLevel="0" collapsed="false">
      <c r="A1894" s="4" t="n">
        <v>93</v>
      </c>
      <c r="B1894" s="4" t="s">
        <v>2491</v>
      </c>
      <c r="C1894" s="4" t="s">
        <v>405</v>
      </c>
      <c r="D1894" s="4" t="s">
        <v>3489</v>
      </c>
      <c r="E1894" s="4"/>
      <c r="F1894" s="4" t="s">
        <v>2508</v>
      </c>
    </row>
    <row r="1895" customFormat="false" ht="41.75" hidden="false" customHeight="false" outlineLevel="0" collapsed="false">
      <c r="A1895" s="4" t="n">
        <v>93</v>
      </c>
      <c r="B1895" s="4" t="s">
        <v>2491</v>
      </c>
      <c r="C1895" s="4" t="s">
        <v>406</v>
      </c>
      <c r="D1895" s="4" t="s">
        <v>3490</v>
      </c>
      <c r="E1895" s="4"/>
      <c r="F1895" s="4" t="s">
        <v>2509</v>
      </c>
    </row>
    <row r="1896" customFormat="false" ht="95.5" hidden="false" customHeight="false" outlineLevel="0" collapsed="false">
      <c r="A1896" s="4" t="n">
        <v>93</v>
      </c>
      <c r="B1896" s="4" t="s">
        <v>2491</v>
      </c>
      <c r="C1896" s="4" t="s">
        <v>419</v>
      </c>
      <c r="D1896" s="4" t="s">
        <v>3534</v>
      </c>
      <c r="E1896" s="4"/>
      <c r="F1896" s="4" t="s">
        <v>2516</v>
      </c>
    </row>
    <row r="1897" customFormat="false" ht="28.35" hidden="false" customHeight="false" outlineLevel="0" collapsed="false">
      <c r="A1897" s="4" t="n">
        <v>93</v>
      </c>
      <c r="B1897" s="4" t="s">
        <v>2491</v>
      </c>
      <c r="C1897" s="4" t="s">
        <v>420</v>
      </c>
      <c r="D1897" s="4" t="s">
        <v>3647</v>
      </c>
      <c r="E1897" s="4"/>
      <c r="F1897" s="4" t="n">
        <v>1.517282</v>
      </c>
    </row>
    <row r="1898" customFormat="false" ht="28.35" hidden="false" customHeight="false" outlineLevel="0" collapsed="false">
      <c r="A1898" s="4" t="n">
        <v>93</v>
      </c>
      <c r="B1898" s="4" t="s">
        <v>2491</v>
      </c>
      <c r="C1898" s="4" t="s">
        <v>421</v>
      </c>
      <c r="D1898" s="4" t="s">
        <v>3558</v>
      </c>
      <c r="E1898" s="4"/>
      <c r="F1898" s="4" t="n">
        <v>1.422362</v>
      </c>
    </row>
    <row r="1899" customFormat="false" ht="28.35" hidden="false" customHeight="false" outlineLevel="0" collapsed="false">
      <c r="A1899" s="4" t="n">
        <v>93</v>
      </c>
      <c r="B1899" s="4" t="s">
        <v>2491</v>
      </c>
      <c r="C1899" s="4" t="s">
        <v>422</v>
      </c>
      <c r="D1899" s="4" t="s">
        <v>3648</v>
      </c>
      <c r="E1899" s="4"/>
      <c r="F1899" s="4" t="n">
        <v>1.422362</v>
      </c>
    </row>
    <row r="1900" customFormat="false" ht="15" hidden="false" customHeight="false" outlineLevel="0" collapsed="false">
      <c r="A1900" s="4" t="n">
        <v>93</v>
      </c>
      <c r="B1900" s="4" t="s">
        <v>2491</v>
      </c>
      <c r="C1900" s="4" t="s">
        <v>423</v>
      </c>
      <c r="D1900" s="4" t="s">
        <v>3559</v>
      </c>
      <c r="E1900" s="4"/>
      <c r="F1900" s="4" t="s">
        <v>2517</v>
      </c>
    </row>
    <row r="1901" customFormat="false" ht="28.35" hidden="false" customHeight="false" outlineLevel="0" collapsed="false">
      <c r="A1901" s="4" t="n">
        <v>93</v>
      </c>
      <c r="B1901" s="4" t="s">
        <v>2491</v>
      </c>
      <c r="C1901" s="4" t="s">
        <v>424</v>
      </c>
      <c r="D1901" s="4" t="s">
        <v>3560</v>
      </c>
      <c r="E1901" s="4"/>
      <c r="F1901" s="4" t="s">
        <v>2518</v>
      </c>
    </row>
    <row r="1902" customFormat="false" ht="41.75" hidden="false" customHeight="false" outlineLevel="0" collapsed="false">
      <c r="A1902" s="4" t="n">
        <v>93</v>
      </c>
      <c r="B1902" s="4" t="s">
        <v>2491</v>
      </c>
      <c r="C1902" s="4" t="s">
        <v>425</v>
      </c>
      <c r="D1902" s="4" t="s">
        <v>3561</v>
      </c>
      <c r="E1902" s="4"/>
      <c r="F1902" s="4" t="s">
        <v>2519</v>
      </c>
    </row>
    <row r="1903" customFormat="false" ht="95.5" hidden="false" customHeight="false" outlineLevel="0" collapsed="false">
      <c r="A1903" s="4" t="n">
        <v>93</v>
      </c>
      <c r="B1903" s="4" t="s">
        <v>2491</v>
      </c>
      <c r="C1903" s="4" t="s">
        <v>426</v>
      </c>
      <c r="D1903" s="4" t="s">
        <v>3562</v>
      </c>
      <c r="E1903" s="4"/>
      <c r="F1903" s="4" t="s">
        <v>2520</v>
      </c>
    </row>
    <row r="1904" customFormat="false" ht="15" hidden="false" customHeight="false" outlineLevel="0" collapsed="false">
      <c r="A1904" s="4" t="n">
        <v>93</v>
      </c>
      <c r="B1904" s="4" t="s">
        <v>2491</v>
      </c>
      <c r="C1904" s="4" t="s">
        <v>427</v>
      </c>
      <c r="D1904" s="4" t="s">
        <v>3464</v>
      </c>
      <c r="E1904" s="4"/>
      <c r="F1904" s="4" t="s">
        <v>24</v>
      </c>
    </row>
    <row r="1905" customFormat="false" ht="15" hidden="false" customHeight="false" outlineLevel="0" collapsed="false">
      <c r="A1905" s="4" t="n">
        <v>93</v>
      </c>
      <c r="B1905" s="4" t="s">
        <v>2491</v>
      </c>
      <c r="C1905" s="4" t="s">
        <v>428</v>
      </c>
      <c r="D1905" s="4" t="s">
        <v>3465</v>
      </c>
      <c r="E1905" s="4"/>
      <c r="F1905" s="4" t="s">
        <v>30</v>
      </c>
    </row>
    <row r="1906" customFormat="false" ht="15" hidden="false" customHeight="false" outlineLevel="0" collapsed="false">
      <c r="A1906" s="4" t="n">
        <v>93</v>
      </c>
      <c r="B1906" s="4" t="s">
        <v>2491</v>
      </c>
      <c r="C1906" s="4" t="s">
        <v>429</v>
      </c>
      <c r="D1906" s="4" t="s">
        <v>3466</v>
      </c>
      <c r="E1906" s="4"/>
      <c r="F1906" s="4" t="s">
        <v>35</v>
      </c>
    </row>
    <row r="1907" customFormat="false" ht="28.35" hidden="false" customHeight="false" outlineLevel="0" collapsed="false">
      <c r="A1907" s="4" t="n">
        <v>93</v>
      </c>
      <c r="B1907" s="4" t="s">
        <v>2491</v>
      </c>
      <c r="C1907" s="4" t="s">
        <v>430</v>
      </c>
      <c r="D1907" s="4" t="s">
        <v>3467</v>
      </c>
      <c r="E1907" s="4"/>
      <c r="F1907" s="4" t="s">
        <v>2078</v>
      </c>
    </row>
    <row r="1908" customFormat="false" ht="15" hidden="false" customHeight="false" outlineLevel="0" collapsed="false">
      <c r="A1908" s="4" t="n">
        <v>93</v>
      </c>
      <c r="B1908" s="4" t="s">
        <v>2491</v>
      </c>
      <c r="C1908" s="4" t="s">
        <v>431</v>
      </c>
      <c r="D1908" s="4" t="s">
        <v>3468</v>
      </c>
      <c r="E1908" s="4"/>
      <c r="F1908" s="4" t="s">
        <v>484</v>
      </c>
    </row>
    <row r="1909" customFormat="false" ht="15" hidden="false" customHeight="false" outlineLevel="0" collapsed="false">
      <c r="A1909" s="4" t="n">
        <v>93</v>
      </c>
      <c r="B1909" s="4" t="s">
        <v>2491</v>
      </c>
      <c r="C1909" s="4" t="s">
        <v>432</v>
      </c>
      <c r="D1909" s="4" t="s">
        <v>3469</v>
      </c>
      <c r="E1909" s="4"/>
      <c r="F1909" s="4" t="s">
        <v>524</v>
      </c>
    </row>
    <row r="1910" customFormat="false" ht="28.35" hidden="false" customHeight="false" outlineLevel="0" collapsed="false">
      <c r="A1910" s="4" t="n">
        <v>93</v>
      </c>
      <c r="B1910" s="4" t="s">
        <v>2491</v>
      </c>
      <c r="C1910" s="4" t="s">
        <v>433</v>
      </c>
      <c r="D1910" s="4" t="s">
        <v>3470</v>
      </c>
      <c r="E1910" s="4"/>
      <c r="F1910" s="4" t="s">
        <v>2079</v>
      </c>
    </row>
    <row r="1911" customFormat="false" ht="28.35" hidden="false" customHeight="false" outlineLevel="0" collapsed="false">
      <c r="A1911" s="4" t="n">
        <v>93</v>
      </c>
      <c r="B1911" s="4" t="s">
        <v>2491</v>
      </c>
      <c r="C1911" s="4" t="s">
        <v>434</v>
      </c>
      <c r="D1911" s="4" t="s">
        <v>3482</v>
      </c>
      <c r="E1911" s="4"/>
      <c r="F1911" s="4" t="s">
        <v>2080</v>
      </c>
    </row>
    <row r="1912" customFormat="false" ht="15" hidden="false" customHeight="false" outlineLevel="0" collapsed="false">
      <c r="A1912" s="4" t="n">
        <v>93</v>
      </c>
      <c r="B1912" s="4" t="s">
        <v>2491</v>
      </c>
      <c r="C1912" s="4" t="s">
        <v>435</v>
      </c>
      <c r="D1912" s="4" t="s">
        <v>3510</v>
      </c>
      <c r="E1912" s="4"/>
      <c r="F1912" s="4" t="s">
        <v>121</v>
      </c>
    </row>
    <row r="1913" customFormat="false" ht="15" hidden="false" customHeight="false" outlineLevel="0" collapsed="false">
      <c r="A1913" s="4" t="n">
        <v>93</v>
      </c>
      <c r="B1913" s="4" t="s">
        <v>2491</v>
      </c>
      <c r="C1913" s="4" t="s">
        <v>436</v>
      </c>
      <c r="D1913" s="4" t="s">
        <v>3471</v>
      </c>
      <c r="E1913" s="4"/>
      <c r="F1913" s="4" t="s">
        <v>120</v>
      </c>
    </row>
    <row r="1914" customFormat="false" ht="28.35" hidden="false" customHeight="false" outlineLevel="0" collapsed="false">
      <c r="A1914" s="4" t="n">
        <v>93</v>
      </c>
      <c r="B1914" s="4" t="s">
        <v>2491</v>
      </c>
      <c r="C1914" s="4" t="s">
        <v>437</v>
      </c>
      <c r="D1914" s="4" t="s">
        <v>3472</v>
      </c>
      <c r="E1914" s="4"/>
      <c r="F1914" s="4" t="n">
        <v>10</v>
      </c>
    </row>
    <row r="1915" customFormat="false" ht="28.35" hidden="false" customHeight="false" outlineLevel="0" collapsed="false">
      <c r="A1915" s="4" t="n">
        <v>93</v>
      </c>
      <c r="B1915" s="4" t="s">
        <v>2491</v>
      </c>
      <c r="C1915" s="4" t="s">
        <v>440</v>
      </c>
      <c r="D1915" s="4" t="s">
        <v>3491</v>
      </c>
      <c r="E1915" s="4"/>
      <c r="F1915" s="4" t="n">
        <v>7</v>
      </c>
    </row>
    <row r="1916" customFormat="false" ht="28.35" hidden="false" customHeight="false" outlineLevel="0" collapsed="false">
      <c r="A1916" s="4" t="n">
        <v>93</v>
      </c>
      <c r="B1916" s="4" t="s">
        <v>2491</v>
      </c>
      <c r="C1916" s="4" t="s">
        <v>441</v>
      </c>
      <c r="D1916" s="4" t="s">
        <v>3492</v>
      </c>
      <c r="E1916" s="4"/>
      <c r="F1916" s="4" t="n">
        <v>6</v>
      </c>
    </row>
    <row r="1917" customFormat="false" ht="15" hidden="false" customHeight="false" outlineLevel="0" collapsed="false">
      <c r="A1917" s="4" t="n">
        <v>93</v>
      </c>
      <c r="B1917" s="4" t="s">
        <v>2491</v>
      </c>
      <c r="C1917" s="4" t="s">
        <v>442</v>
      </c>
      <c r="D1917" s="4" t="s">
        <v>3493</v>
      </c>
      <c r="E1917" s="4"/>
      <c r="F1917" s="4" t="n">
        <v>0</v>
      </c>
    </row>
    <row r="1918" customFormat="false" ht="15" hidden="false" customHeight="false" outlineLevel="0" collapsed="false">
      <c r="A1918" s="4" t="n">
        <v>93</v>
      </c>
      <c r="B1918" s="4" t="s">
        <v>2491</v>
      </c>
      <c r="C1918" s="4" t="s">
        <v>443</v>
      </c>
      <c r="D1918" s="4" t="s">
        <v>3494</v>
      </c>
      <c r="E1918" s="4"/>
      <c r="F1918" s="4" t="n">
        <v>13</v>
      </c>
    </row>
    <row r="1919" customFormat="false" ht="15" hidden="false" customHeight="false" outlineLevel="0" collapsed="false">
      <c r="A1919" s="4" t="n">
        <v>93</v>
      </c>
      <c r="B1919" s="4" t="s">
        <v>2491</v>
      </c>
      <c r="C1919" s="4" t="s">
        <v>444</v>
      </c>
      <c r="D1919" s="4" t="s">
        <v>3495</v>
      </c>
      <c r="E1919" s="4"/>
      <c r="F1919" s="4" t="n">
        <v>2</v>
      </c>
    </row>
    <row r="1920" customFormat="false" ht="15" hidden="false" customHeight="false" outlineLevel="0" collapsed="false">
      <c r="A1920" s="4" t="n">
        <v>93</v>
      </c>
      <c r="B1920" s="4" t="s">
        <v>2491</v>
      </c>
      <c r="C1920" s="4" t="s">
        <v>445</v>
      </c>
      <c r="D1920" s="4" t="s">
        <v>3496</v>
      </c>
      <c r="E1920" s="4"/>
      <c r="F1920" s="4" t="n">
        <v>4</v>
      </c>
    </row>
    <row r="1921" customFormat="false" ht="15" hidden="false" customHeight="false" outlineLevel="0" collapsed="false">
      <c r="A1921" s="4" t="n">
        <v>93</v>
      </c>
      <c r="B1921" s="4" t="s">
        <v>2491</v>
      </c>
      <c r="C1921" s="4" t="s">
        <v>446</v>
      </c>
      <c r="D1921" s="4" t="s">
        <v>3497</v>
      </c>
      <c r="E1921" s="4"/>
      <c r="F1921" s="4" t="n">
        <v>0</v>
      </c>
    </row>
    <row r="1922" customFormat="false" ht="68.65" hidden="false" customHeight="false" outlineLevel="0" collapsed="false">
      <c r="A1922" s="4" t="n">
        <v>93</v>
      </c>
      <c r="B1922" s="4" t="s">
        <v>2491</v>
      </c>
      <c r="C1922" s="4" t="s">
        <v>447</v>
      </c>
      <c r="D1922" s="4" t="s">
        <v>3498</v>
      </c>
      <c r="E1922" s="4"/>
      <c r="F1922" s="4" t="s">
        <v>2521</v>
      </c>
    </row>
    <row r="1923" customFormat="false" ht="95.5" hidden="false" customHeight="false" outlineLevel="0" collapsed="false">
      <c r="A1923" s="4" t="n">
        <v>93</v>
      </c>
      <c r="B1923" s="4" t="s">
        <v>2491</v>
      </c>
      <c r="C1923" s="4" t="s">
        <v>448</v>
      </c>
      <c r="D1923" s="4" t="s">
        <v>3499</v>
      </c>
      <c r="E1923" s="4"/>
      <c r="F1923" s="4" t="s">
        <v>2522</v>
      </c>
    </row>
    <row r="1924" customFormat="false" ht="41.75" hidden="false" customHeight="false" outlineLevel="0" collapsed="false">
      <c r="A1924" s="4" t="n">
        <v>93</v>
      </c>
      <c r="B1924" s="4" t="s">
        <v>2491</v>
      </c>
      <c r="C1924" s="4" t="s">
        <v>449</v>
      </c>
      <c r="D1924" s="4" t="s">
        <v>3500</v>
      </c>
      <c r="E1924" s="4"/>
      <c r="F1924" s="4" t="s">
        <v>2523</v>
      </c>
    </row>
    <row r="1925" customFormat="false" ht="337.3" hidden="false" customHeight="false" outlineLevel="0" collapsed="false">
      <c r="A1925" s="4" t="n">
        <v>93</v>
      </c>
      <c r="B1925" s="4" t="s">
        <v>2491</v>
      </c>
      <c r="C1925" s="4" t="s">
        <v>450</v>
      </c>
      <c r="D1925" s="4" t="s">
        <v>3501</v>
      </c>
      <c r="E1925" s="4"/>
      <c r="F1925" s="4" t="s">
        <v>2524</v>
      </c>
    </row>
    <row r="1926" customFormat="false" ht="95.5" hidden="false" customHeight="false" outlineLevel="0" collapsed="false">
      <c r="A1926" s="4" t="n">
        <v>94</v>
      </c>
      <c r="B1926" s="4" t="s">
        <v>2525</v>
      </c>
      <c r="C1926" s="4" t="s">
        <v>372</v>
      </c>
      <c r="D1926" s="4" t="s">
        <v>3504</v>
      </c>
      <c r="E1926" s="4" t="s">
        <v>3704</v>
      </c>
      <c r="F1926" s="4" t="s">
        <v>2531</v>
      </c>
    </row>
    <row r="1927" customFormat="false" ht="95.5" hidden="false" customHeight="false" outlineLevel="0" collapsed="false">
      <c r="A1927" s="4" t="n">
        <v>94</v>
      </c>
      <c r="B1927" s="4" t="s">
        <v>2525</v>
      </c>
      <c r="C1927" s="4" t="s">
        <v>380</v>
      </c>
      <c r="D1927" s="4" t="s">
        <v>3474</v>
      </c>
      <c r="E1927" s="4" t="s">
        <v>3705</v>
      </c>
      <c r="F1927" s="4" t="s">
        <v>2534</v>
      </c>
    </row>
    <row r="1928" customFormat="false" ht="41.75" hidden="false" customHeight="false" outlineLevel="0" collapsed="false">
      <c r="A1928" s="4" t="n">
        <v>94</v>
      </c>
      <c r="B1928" s="4" t="s">
        <v>2525</v>
      </c>
      <c r="C1928" s="4" t="s">
        <v>403</v>
      </c>
      <c r="D1928" s="4" t="s">
        <v>3481</v>
      </c>
      <c r="E1928" s="4" t="s">
        <v>476</v>
      </c>
      <c r="F1928" s="4" t="s">
        <v>2535</v>
      </c>
    </row>
    <row r="1929" customFormat="false" ht="15" hidden="false" customHeight="false" outlineLevel="0" collapsed="false">
      <c r="A1929" s="4" t="n">
        <v>94</v>
      </c>
      <c r="B1929" s="4" t="s">
        <v>2525</v>
      </c>
      <c r="C1929" s="4" t="s">
        <v>427</v>
      </c>
      <c r="D1929" s="4" t="s">
        <v>3464</v>
      </c>
      <c r="E1929" s="4"/>
      <c r="F1929" s="4" t="s">
        <v>26</v>
      </c>
    </row>
    <row r="1930" customFormat="false" ht="15" hidden="false" customHeight="false" outlineLevel="0" collapsed="false">
      <c r="A1930" s="4" t="n">
        <v>94</v>
      </c>
      <c r="B1930" s="4" t="s">
        <v>2525</v>
      </c>
      <c r="C1930" s="4" t="s">
        <v>428</v>
      </c>
      <c r="D1930" s="4" t="s">
        <v>3465</v>
      </c>
      <c r="E1930" s="4"/>
      <c r="F1930" s="4" t="s">
        <v>26</v>
      </c>
    </row>
    <row r="1931" customFormat="false" ht="15" hidden="false" customHeight="false" outlineLevel="0" collapsed="false">
      <c r="A1931" s="4" t="n">
        <v>94</v>
      </c>
      <c r="B1931" s="4" t="s">
        <v>2525</v>
      </c>
      <c r="C1931" s="4" t="s">
        <v>429</v>
      </c>
      <c r="D1931" s="4" t="s">
        <v>3466</v>
      </c>
      <c r="E1931" s="4"/>
      <c r="F1931" s="4" t="s">
        <v>39</v>
      </c>
    </row>
    <row r="1932" customFormat="false" ht="15" hidden="false" customHeight="false" outlineLevel="0" collapsed="false">
      <c r="A1932" s="4" t="n">
        <v>94</v>
      </c>
      <c r="B1932" s="4" t="s">
        <v>2525</v>
      </c>
      <c r="C1932" s="4" t="s">
        <v>431</v>
      </c>
      <c r="D1932" s="4" t="s">
        <v>3468</v>
      </c>
      <c r="E1932" s="4"/>
      <c r="F1932" s="4" t="s">
        <v>484</v>
      </c>
    </row>
    <row r="1933" customFormat="false" ht="15" hidden="false" customHeight="false" outlineLevel="0" collapsed="false">
      <c r="A1933" s="4" t="n">
        <v>94</v>
      </c>
      <c r="B1933" s="4" t="s">
        <v>2525</v>
      </c>
      <c r="C1933" s="4" t="s">
        <v>432</v>
      </c>
      <c r="D1933" s="4" t="s">
        <v>3469</v>
      </c>
      <c r="E1933" s="4"/>
      <c r="F1933" s="4" t="s">
        <v>485</v>
      </c>
    </row>
    <row r="1934" customFormat="false" ht="15" hidden="false" customHeight="false" outlineLevel="0" collapsed="false">
      <c r="A1934" s="4" t="n">
        <v>94</v>
      </c>
      <c r="B1934" s="4" t="s">
        <v>2525</v>
      </c>
      <c r="C1934" s="4" t="s">
        <v>433</v>
      </c>
      <c r="D1934" s="4" t="s">
        <v>3470</v>
      </c>
      <c r="E1934" s="4"/>
      <c r="F1934" s="4" t="s">
        <v>2541</v>
      </c>
    </row>
    <row r="1935" customFormat="false" ht="15" hidden="false" customHeight="false" outlineLevel="0" collapsed="false">
      <c r="A1935" s="4" t="n">
        <v>94</v>
      </c>
      <c r="B1935" s="4" t="s">
        <v>2525</v>
      </c>
      <c r="C1935" s="4" t="s">
        <v>436</v>
      </c>
      <c r="D1935" s="4" t="s">
        <v>3471</v>
      </c>
      <c r="E1935" s="4"/>
      <c r="F1935" s="4" t="s">
        <v>2542</v>
      </c>
    </row>
    <row r="1936" customFormat="false" ht="28.35" hidden="false" customHeight="false" outlineLevel="0" collapsed="false">
      <c r="A1936" s="4" t="n">
        <v>95</v>
      </c>
      <c r="B1936" s="4" t="s">
        <v>2543</v>
      </c>
      <c r="C1936" s="4" t="s">
        <v>365</v>
      </c>
      <c r="D1936" s="4" t="s">
        <v>3547</v>
      </c>
      <c r="E1936" s="4"/>
      <c r="F1936" s="4" t="n">
        <v>5.37467</v>
      </c>
    </row>
    <row r="1937" customFormat="false" ht="28.35" hidden="false" customHeight="false" outlineLevel="0" collapsed="false">
      <c r="A1937" s="4" t="n">
        <v>95</v>
      </c>
      <c r="B1937" s="4" t="s">
        <v>2543</v>
      </c>
      <c r="C1937" s="4" t="s">
        <v>366</v>
      </c>
      <c r="D1937" s="4" t="s">
        <v>3548</v>
      </c>
      <c r="E1937" s="4"/>
      <c r="F1937" s="4" t="n">
        <v>2026</v>
      </c>
    </row>
    <row r="1938" customFormat="false" ht="28.35" hidden="false" customHeight="false" outlineLevel="0" collapsed="false">
      <c r="A1938" s="4" t="n">
        <v>95</v>
      </c>
      <c r="B1938" s="4" t="s">
        <v>2543</v>
      </c>
      <c r="C1938" s="4" t="s">
        <v>367</v>
      </c>
      <c r="D1938" s="4" t="s">
        <v>3549</v>
      </c>
      <c r="E1938" s="4"/>
      <c r="F1938" s="4" t="s">
        <v>6</v>
      </c>
    </row>
    <row r="1939" customFormat="false" ht="28.35" hidden="false" customHeight="false" outlineLevel="0" collapsed="false">
      <c r="A1939" s="4" t="n">
        <v>95</v>
      </c>
      <c r="B1939" s="4" t="s">
        <v>2543</v>
      </c>
      <c r="C1939" s="4" t="s">
        <v>368</v>
      </c>
      <c r="D1939" s="4" t="s">
        <v>3550</v>
      </c>
      <c r="E1939" s="4"/>
      <c r="F1939" s="4" t="s">
        <v>2548</v>
      </c>
    </row>
    <row r="1940" customFormat="false" ht="28.35" hidden="false" customHeight="false" outlineLevel="0" collapsed="false">
      <c r="A1940" s="4" t="n">
        <v>95</v>
      </c>
      <c r="B1940" s="4" t="s">
        <v>2543</v>
      </c>
      <c r="C1940" s="4" t="s">
        <v>369</v>
      </c>
      <c r="D1940" s="4" t="s">
        <v>3503</v>
      </c>
      <c r="E1940" s="4" t="s">
        <v>780</v>
      </c>
      <c r="F1940" s="4" t="s">
        <v>494</v>
      </c>
    </row>
    <row r="1941" customFormat="false" ht="135.8" hidden="false" customHeight="false" outlineLevel="0" collapsed="false">
      <c r="A1941" s="4" t="n">
        <v>95</v>
      </c>
      <c r="B1941" s="4" t="s">
        <v>2543</v>
      </c>
      <c r="C1941" s="4" t="s">
        <v>372</v>
      </c>
      <c r="D1941" s="4" t="s">
        <v>3504</v>
      </c>
      <c r="E1941" s="4" t="s">
        <v>3706</v>
      </c>
      <c r="F1941" s="4" t="s">
        <v>2549</v>
      </c>
    </row>
    <row r="1942" customFormat="false" ht="28.35" hidden="false" customHeight="false" outlineLevel="0" collapsed="false">
      <c r="A1942" s="4" t="n">
        <v>95</v>
      </c>
      <c r="B1942" s="4" t="s">
        <v>2543</v>
      </c>
      <c r="C1942" s="4" t="s">
        <v>373</v>
      </c>
      <c r="D1942" s="4" t="s">
        <v>3664</v>
      </c>
      <c r="E1942" s="4" t="s">
        <v>2020</v>
      </c>
      <c r="F1942" s="4" t="s">
        <v>2550</v>
      </c>
    </row>
    <row r="1943" customFormat="false" ht="55.2" hidden="false" customHeight="false" outlineLevel="0" collapsed="false">
      <c r="A1943" s="4" t="n">
        <v>95</v>
      </c>
      <c r="B1943" s="4" t="s">
        <v>2543</v>
      </c>
      <c r="C1943" s="4" t="s">
        <v>380</v>
      </c>
      <c r="D1943" s="4" t="s">
        <v>3474</v>
      </c>
      <c r="E1943" s="4" t="s">
        <v>3707</v>
      </c>
      <c r="F1943" s="4" t="s">
        <v>2553</v>
      </c>
    </row>
    <row r="1944" customFormat="false" ht="41.75" hidden="false" customHeight="false" outlineLevel="0" collapsed="false">
      <c r="A1944" s="4" t="n">
        <v>95</v>
      </c>
      <c r="B1944" s="4" t="s">
        <v>2543</v>
      </c>
      <c r="C1944" s="4" t="s">
        <v>403</v>
      </c>
      <c r="D1944" s="4" t="s">
        <v>3481</v>
      </c>
      <c r="E1944" s="4" t="s">
        <v>476</v>
      </c>
      <c r="F1944" s="4" t="s">
        <v>2554</v>
      </c>
    </row>
    <row r="1945" customFormat="false" ht="28.35" hidden="false" customHeight="false" outlineLevel="0" collapsed="false">
      <c r="A1945" s="4" t="n">
        <v>95</v>
      </c>
      <c r="B1945" s="4" t="s">
        <v>2543</v>
      </c>
      <c r="C1945" s="4" t="s">
        <v>427</v>
      </c>
      <c r="D1945" s="4" t="s">
        <v>3464</v>
      </c>
      <c r="E1945" s="4"/>
      <c r="F1945" s="4" t="s">
        <v>24</v>
      </c>
    </row>
    <row r="1946" customFormat="false" ht="28.35" hidden="false" customHeight="false" outlineLevel="0" collapsed="false">
      <c r="A1946" s="4" t="n">
        <v>95</v>
      </c>
      <c r="B1946" s="4" t="s">
        <v>2543</v>
      </c>
      <c r="C1946" s="4" t="s">
        <v>428</v>
      </c>
      <c r="D1946" s="4" t="s">
        <v>3465</v>
      </c>
      <c r="E1946" s="4"/>
      <c r="F1946" s="4" t="s">
        <v>30</v>
      </c>
    </row>
    <row r="1947" customFormat="false" ht="28.35" hidden="false" customHeight="false" outlineLevel="0" collapsed="false">
      <c r="A1947" s="4" t="n">
        <v>95</v>
      </c>
      <c r="B1947" s="4" t="s">
        <v>2543</v>
      </c>
      <c r="C1947" s="4" t="s">
        <v>429</v>
      </c>
      <c r="D1947" s="4" t="s">
        <v>3466</v>
      </c>
      <c r="E1947" s="4"/>
      <c r="F1947" s="4" t="s">
        <v>37</v>
      </c>
    </row>
    <row r="1948" customFormat="false" ht="41.75" hidden="false" customHeight="false" outlineLevel="0" collapsed="false">
      <c r="A1948" s="4" t="n">
        <v>95</v>
      </c>
      <c r="B1948" s="4" t="s">
        <v>2543</v>
      </c>
      <c r="C1948" s="4" t="s">
        <v>430</v>
      </c>
      <c r="D1948" s="4" t="s">
        <v>3467</v>
      </c>
      <c r="E1948" s="4"/>
      <c r="F1948" s="4" t="s">
        <v>2382</v>
      </c>
    </row>
    <row r="1949" customFormat="false" ht="28.35" hidden="false" customHeight="false" outlineLevel="0" collapsed="false">
      <c r="A1949" s="4" t="n">
        <v>95</v>
      </c>
      <c r="B1949" s="4" t="s">
        <v>2543</v>
      </c>
      <c r="C1949" s="4" t="s">
        <v>431</v>
      </c>
      <c r="D1949" s="4" t="s">
        <v>3468</v>
      </c>
      <c r="E1949" s="4"/>
      <c r="F1949" s="4" t="s">
        <v>484</v>
      </c>
    </row>
    <row r="1950" customFormat="false" ht="28.35" hidden="false" customHeight="false" outlineLevel="0" collapsed="false">
      <c r="A1950" s="4" t="n">
        <v>95</v>
      </c>
      <c r="B1950" s="4" t="s">
        <v>2543</v>
      </c>
      <c r="C1950" s="4" t="s">
        <v>432</v>
      </c>
      <c r="D1950" s="4" t="s">
        <v>3469</v>
      </c>
      <c r="E1950" s="4"/>
      <c r="F1950" s="4" t="s">
        <v>664</v>
      </c>
    </row>
    <row r="1951" customFormat="false" ht="28.35" hidden="false" customHeight="false" outlineLevel="0" collapsed="false">
      <c r="A1951" s="4" t="n">
        <v>95</v>
      </c>
      <c r="B1951" s="4" t="s">
        <v>2543</v>
      </c>
      <c r="C1951" s="4" t="s">
        <v>433</v>
      </c>
      <c r="D1951" s="4" t="s">
        <v>3470</v>
      </c>
      <c r="E1951" s="4"/>
      <c r="F1951" s="4" t="s">
        <v>2383</v>
      </c>
    </row>
    <row r="1952" customFormat="false" ht="28.35" hidden="false" customHeight="false" outlineLevel="0" collapsed="false">
      <c r="A1952" s="4" t="n">
        <v>95</v>
      </c>
      <c r="B1952" s="4" t="s">
        <v>2543</v>
      </c>
      <c r="C1952" s="4" t="s">
        <v>434</v>
      </c>
      <c r="D1952" s="4" t="s">
        <v>3482</v>
      </c>
      <c r="E1952" s="4"/>
      <c r="F1952" s="4" t="s">
        <v>2187</v>
      </c>
    </row>
    <row r="1953" customFormat="false" ht="41.75" hidden="false" customHeight="false" outlineLevel="0" collapsed="false">
      <c r="A1953" s="4" t="n">
        <v>95</v>
      </c>
      <c r="B1953" s="4" t="s">
        <v>2543</v>
      </c>
      <c r="C1953" s="4" t="s">
        <v>435</v>
      </c>
      <c r="D1953" s="4" t="s">
        <v>3510</v>
      </c>
      <c r="E1953" s="4"/>
      <c r="F1953" s="4" t="s">
        <v>2384</v>
      </c>
    </row>
    <row r="1954" customFormat="false" ht="28.35" hidden="false" customHeight="false" outlineLevel="0" collapsed="false">
      <c r="A1954" s="4" t="n">
        <v>95</v>
      </c>
      <c r="B1954" s="4" t="s">
        <v>2543</v>
      </c>
      <c r="C1954" s="4" t="s">
        <v>436</v>
      </c>
      <c r="D1954" s="4" t="s">
        <v>3471</v>
      </c>
      <c r="E1954" s="4"/>
      <c r="F1954" s="4" t="s">
        <v>134</v>
      </c>
    </row>
    <row r="1955" customFormat="false" ht="28.35" hidden="false" customHeight="false" outlineLevel="0" collapsed="false">
      <c r="A1955" s="4" t="n">
        <v>95</v>
      </c>
      <c r="B1955" s="4" t="s">
        <v>2543</v>
      </c>
      <c r="C1955" s="4" t="s">
        <v>437</v>
      </c>
      <c r="D1955" s="4" t="s">
        <v>3472</v>
      </c>
      <c r="E1955" s="4"/>
      <c r="F1955" s="4" t="n">
        <v>10</v>
      </c>
    </row>
    <row r="1956" customFormat="false" ht="28.35" hidden="false" customHeight="false" outlineLevel="0" collapsed="false">
      <c r="A1956" s="4" t="n">
        <v>96</v>
      </c>
      <c r="B1956" s="4" t="s">
        <v>2558</v>
      </c>
      <c r="C1956" s="4" t="s">
        <v>365</v>
      </c>
      <c r="D1956" s="4" t="s">
        <v>3547</v>
      </c>
      <c r="E1956" s="4"/>
      <c r="F1956" s="4" t="n">
        <v>15.531808</v>
      </c>
    </row>
    <row r="1957" customFormat="false" ht="28.35" hidden="false" customHeight="false" outlineLevel="0" collapsed="false">
      <c r="A1957" s="4" t="n">
        <v>96</v>
      </c>
      <c r="B1957" s="4" t="s">
        <v>2558</v>
      </c>
      <c r="C1957" s="4" t="s">
        <v>366</v>
      </c>
      <c r="D1957" s="4" t="s">
        <v>3548</v>
      </c>
      <c r="E1957" s="4"/>
      <c r="F1957" s="4" t="n">
        <v>2026</v>
      </c>
    </row>
    <row r="1958" customFormat="false" ht="28.35" hidden="false" customHeight="false" outlineLevel="0" collapsed="false">
      <c r="A1958" s="4" t="n">
        <v>96</v>
      </c>
      <c r="B1958" s="4" t="s">
        <v>2558</v>
      </c>
      <c r="C1958" s="4" t="s">
        <v>367</v>
      </c>
      <c r="D1958" s="4" t="s">
        <v>3549</v>
      </c>
      <c r="E1958" s="4"/>
      <c r="F1958" s="4" t="s">
        <v>6</v>
      </c>
    </row>
    <row r="1959" customFormat="false" ht="28.35" hidden="false" customHeight="false" outlineLevel="0" collapsed="false">
      <c r="A1959" s="4" t="n">
        <v>96</v>
      </c>
      <c r="B1959" s="4" t="s">
        <v>2558</v>
      </c>
      <c r="C1959" s="4" t="s">
        <v>368</v>
      </c>
      <c r="D1959" s="4" t="s">
        <v>3550</v>
      </c>
      <c r="E1959" s="4"/>
      <c r="F1959" s="4" t="s">
        <v>2564</v>
      </c>
    </row>
    <row r="1960" customFormat="false" ht="28.35" hidden="false" customHeight="false" outlineLevel="0" collapsed="false">
      <c r="A1960" s="4" t="n">
        <v>96</v>
      </c>
      <c r="B1960" s="4" t="s">
        <v>2558</v>
      </c>
      <c r="C1960" s="4" t="s">
        <v>369</v>
      </c>
      <c r="D1960" s="4" t="s">
        <v>3503</v>
      </c>
      <c r="E1960" s="4" t="s">
        <v>780</v>
      </c>
      <c r="F1960" s="4" t="s">
        <v>494</v>
      </c>
    </row>
    <row r="1961" customFormat="false" ht="162.65" hidden="false" customHeight="false" outlineLevel="0" collapsed="false">
      <c r="A1961" s="4" t="n">
        <v>96</v>
      </c>
      <c r="B1961" s="4" t="s">
        <v>2558</v>
      </c>
      <c r="C1961" s="4" t="s">
        <v>372</v>
      </c>
      <c r="D1961" s="4" t="s">
        <v>3504</v>
      </c>
      <c r="E1961" s="4" t="s">
        <v>3708</v>
      </c>
      <c r="F1961" s="4" t="s">
        <v>2565</v>
      </c>
    </row>
    <row r="1962" customFormat="false" ht="28.35" hidden="false" customHeight="false" outlineLevel="0" collapsed="false">
      <c r="A1962" s="4" t="n">
        <v>96</v>
      </c>
      <c r="B1962" s="4" t="s">
        <v>2558</v>
      </c>
      <c r="C1962" s="4" t="s">
        <v>373</v>
      </c>
      <c r="D1962" s="4" t="s">
        <v>3664</v>
      </c>
      <c r="E1962" s="4" t="s">
        <v>2595</v>
      </c>
      <c r="F1962" s="4" t="s">
        <v>2566</v>
      </c>
    </row>
    <row r="1963" customFormat="false" ht="68.65" hidden="false" customHeight="false" outlineLevel="0" collapsed="false">
      <c r="A1963" s="4" t="n">
        <v>96</v>
      </c>
      <c r="B1963" s="4" t="s">
        <v>2558</v>
      </c>
      <c r="C1963" s="4" t="s">
        <v>374</v>
      </c>
      <c r="D1963" s="4" t="s">
        <v>3616</v>
      </c>
      <c r="E1963" s="4" t="s">
        <v>2934</v>
      </c>
      <c r="F1963" s="4" t="s">
        <v>2567</v>
      </c>
    </row>
    <row r="1964" customFormat="false" ht="95.5" hidden="false" customHeight="false" outlineLevel="0" collapsed="false">
      <c r="A1964" s="4" t="n">
        <v>96</v>
      </c>
      <c r="B1964" s="4" t="s">
        <v>2558</v>
      </c>
      <c r="C1964" s="4" t="s">
        <v>380</v>
      </c>
      <c r="D1964" s="4" t="s">
        <v>3474</v>
      </c>
      <c r="E1964" s="4" t="s">
        <v>2580</v>
      </c>
      <c r="F1964" s="4" t="s">
        <v>2570</v>
      </c>
    </row>
    <row r="1965" customFormat="false" ht="28.35" hidden="false" customHeight="false" outlineLevel="0" collapsed="false">
      <c r="A1965" s="4" t="n">
        <v>96</v>
      </c>
      <c r="B1965" s="4" t="s">
        <v>2558</v>
      </c>
      <c r="C1965" s="4" t="s">
        <v>387</v>
      </c>
      <c r="D1965" s="4" t="s">
        <v>3476</v>
      </c>
      <c r="E1965" s="4"/>
      <c r="F1965" s="4" t="n">
        <v>148</v>
      </c>
    </row>
    <row r="1966" customFormat="false" ht="28.35" hidden="false" customHeight="false" outlineLevel="0" collapsed="false">
      <c r="A1966" s="4" t="n">
        <v>96</v>
      </c>
      <c r="B1966" s="4" t="s">
        <v>2558</v>
      </c>
      <c r="C1966" s="4" t="s">
        <v>388</v>
      </c>
      <c r="D1966" s="4" t="s">
        <v>3477</v>
      </c>
      <c r="E1966" s="4"/>
      <c r="F1966" s="4" t="s">
        <v>601</v>
      </c>
    </row>
    <row r="1967" customFormat="false" ht="55.2" hidden="false" customHeight="false" outlineLevel="0" collapsed="false">
      <c r="A1967" s="4" t="n">
        <v>96</v>
      </c>
      <c r="B1967" s="4" t="s">
        <v>2558</v>
      </c>
      <c r="C1967" s="4" t="s">
        <v>389</v>
      </c>
      <c r="D1967" s="4" t="s">
        <v>3478</v>
      </c>
      <c r="E1967" s="4" t="s">
        <v>2598</v>
      </c>
      <c r="F1967" s="4" t="s">
        <v>2571</v>
      </c>
    </row>
    <row r="1968" customFormat="false" ht="28.35" hidden="false" customHeight="false" outlineLevel="0" collapsed="false">
      <c r="A1968" s="4" t="n">
        <v>96</v>
      </c>
      <c r="B1968" s="4" t="s">
        <v>2558</v>
      </c>
      <c r="C1968" s="4" t="s">
        <v>390</v>
      </c>
      <c r="D1968" s="4" t="s">
        <v>3479</v>
      </c>
      <c r="E1968" s="4" t="s">
        <v>2599</v>
      </c>
      <c r="F1968" s="4" t="s">
        <v>503</v>
      </c>
    </row>
    <row r="1969" customFormat="false" ht="28.35" hidden="false" customHeight="false" outlineLevel="0" collapsed="false">
      <c r="A1969" s="4" t="n">
        <v>96</v>
      </c>
      <c r="B1969" s="4" t="s">
        <v>2558</v>
      </c>
      <c r="C1969" s="4" t="s">
        <v>391</v>
      </c>
      <c r="D1969" s="4" t="s">
        <v>3480</v>
      </c>
      <c r="E1969" s="4"/>
      <c r="F1969" s="4" t="s">
        <v>2572</v>
      </c>
    </row>
    <row r="1970" customFormat="false" ht="41.75" hidden="false" customHeight="false" outlineLevel="0" collapsed="false">
      <c r="A1970" s="4" t="n">
        <v>96</v>
      </c>
      <c r="B1970" s="4" t="s">
        <v>2558</v>
      </c>
      <c r="C1970" s="4" t="s">
        <v>395</v>
      </c>
      <c r="D1970" s="4" t="s">
        <v>3507</v>
      </c>
      <c r="E1970" s="4" t="s">
        <v>2749</v>
      </c>
      <c r="F1970" s="4" t="s">
        <v>2573</v>
      </c>
    </row>
    <row r="1971" customFormat="false" ht="41.75" hidden="false" customHeight="false" outlineLevel="0" collapsed="false">
      <c r="A1971" s="4" t="n">
        <v>96</v>
      </c>
      <c r="B1971" s="4" t="s">
        <v>2558</v>
      </c>
      <c r="C1971" s="4" t="s">
        <v>403</v>
      </c>
      <c r="D1971" s="4" t="s">
        <v>3481</v>
      </c>
      <c r="E1971" s="4" t="s">
        <v>3004</v>
      </c>
      <c r="F1971" s="4" t="s">
        <v>2575</v>
      </c>
    </row>
    <row r="1972" customFormat="false" ht="95.5" hidden="false" customHeight="false" outlineLevel="0" collapsed="false">
      <c r="A1972" s="4" t="n">
        <v>96</v>
      </c>
      <c r="B1972" s="4" t="s">
        <v>2558</v>
      </c>
      <c r="C1972" s="4" t="s">
        <v>407</v>
      </c>
      <c r="D1972" s="4" t="s">
        <v>3485</v>
      </c>
      <c r="E1972" s="4"/>
      <c r="F1972" s="4" t="s">
        <v>2576</v>
      </c>
    </row>
    <row r="1973" customFormat="false" ht="95.5" hidden="false" customHeight="false" outlineLevel="0" collapsed="false">
      <c r="A1973" s="4" t="n">
        <v>96</v>
      </c>
      <c r="B1973" s="4" t="s">
        <v>2558</v>
      </c>
      <c r="C1973" s="4" t="s">
        <v>419</v>
      </c>
      <c r="D1973" s="4" t="s">
        <v>3534</v>
      </c>
      <c r="E1973" s="4"/>
      <c r="F1973" s="4" t="s">
        <v>2581</v>
      </c>
    </row>
    <row r="1974" customFormat="false" ht="28.35" hidden="false" customHeight="false" outlineLevel="0" collapsed="false">
      <c r="A1974" s="4" t="n">
        <v>96</v>
      </c>
      <c r="B1974" s="4" t="s">
        <v>2558</v>
      </c>
      <c r="C1974" s="4" t="s">
        <v>427</v>
      </c>
      <c r="D1974" s="4" t="s">
        <v>3464</v>
      </c>
      <c r="E1974" s="4"/>
      <c r="F1974" s="4" t="s">
        <v>23</v>
      </c>
    </row>
    <row r="1975" customFormat="false" ht="28.35" hidden="false" customHeight="false" outlineLevel="0" collapsed="false">
      <c r="A1975" s="4" t="n">
        <v>96</v>
      </c>
      <c r="B1975" s="4" t="s">
        <v>2558</v>
      </c>
      <c r="C1975" s="4" t="s">
        <v>428</v>
      </c>
      <c r="D1975" s="4" t="s">
        <v>3465</v>
      </c>
      <c r="E1975" s="4"/>
      <c r="F1975" s="4" t="s">
        <v>28</v>
      </c>
    </row>
    <row r="1976" customFormat="false" ht="28.35" hidden="false" customHeight="false" outlineLevel="0" collapsed="false">
      <c r="A1976" s="4" t="n">
        <v>96</v>
      </c>
      <c r="B1976" s="4" t="s">
        <v>2558</v>
      </c>
      <c r="C1976" s="4" t="s">
        <v>429</v>
      </c>
      <c r="D1976" s="4" t="s">
        <v>3466</v>
      </c>
      <c r="E1976" s="4"/>
      <c r="F1976" s="4" t="s">
        <v>34</v>
      </c>
    </row>
    <row r="1977" customFormat="false" ht="28.35" hidden="false" customHeight="false" outlineLevel="0" collapsed="false">
      <c r="A1977" s="4" t="n">
        <v>96</v>
      </c>
      <c r="B1977" s="4" t="s">
        <v>2558</v>
      </c>
      <c r="C1977" s="4" t="s">
        <v>431</v>
      </c>
      <c r="D1977" s="4" t="s">
        <v>3468</v>
      </c>
      <c r="E1977" s="4"/>
      <c r="F1977" s="4" t="s">
        <v>484</v>
      </c>
    </row>
    <row r="1978" customFormat="false" ht="28.35" hidden="false" customHeight="false" outlineLevel="0" collapsed="false">
      <c r="A1978" s="4" t="n">
        <v>96</v>
      </c>
      <c r="B1978" s="4" t="s">
        <v>2558</v>
      </c>
      <c r="C1978" s="4" t="s">
        <v>432</v>
      </c>
      <c r="D1978" s="4" t="s">
        <v>3469</v>
      </c>
      <c r="E1978" s="4"/>
      <c r="F1978" s="4" t="s">
        <v>524</v>
      </c>
    </row>
    <row r="1979" customFormat="false" ht="28.35" hidden="false" customHeight="false" outlineLevel="0" collapsed="false">
      <c r="A1979" s="4" t="n">
        <v>96</v>
      </c>
      <c r="B1979" s="4" t="s">
        <v>2558</v>
      </c>
      <c r="C1979" s="4" t="s">
        <v>433</v>
      </c>
      <c r="D1979" s="4" t="s">
        <v>3470</v>
      </c>
      <c r="E1979" s="4"/>
      <c r="F1979" s="4" t="s">
        <v>2582</v>
      </c>
    </row>
    <row r="1980" customFormat="false" ht="28.35" hidden="false" customHeight="false" outlineLevel="0" collapsed="false">
      <c r="A1980" s="4" t="n">
        <v>96</v>
      </c>
      <c r="B1980" s="4" t="s">
        <v>2558</v>
      </c>
      <c r="C1980" s="4" t="s">
        <v>434</v>
      </c>
      <c r="D1980" s="4" t="s">
        <v>3482</v>
      </c>
      <c r="E1980" s="4"/>
      <c r="F1980" s="4" t="s">
        <v>1208</v>
      </c>
    </row>
    <row r="1981" customFormat="false" ht="28.35" hidden="false" customHeight="false" outlineLevel="0" collapsed="false">
      <c r="A1981" s="4" t="n">
        <v>96</v>
      </c>
      <c r="B1981" s="4" t="s">
        <v>2558</v>
      </c>
      <c r="C1981" s="4" t="s">
        <v>436</v>
      </c>
      <c r="D1981" s="4" t="s">
        <v>3471</v>
      </c>
      <c r="E1981" s="4"/>
      <c r="F1981" s="4" t="s">
        <v>2583</v>
      </c>
    </row>
    <row r="1982" customFormat="false" ht="28.35" hidden="false" customHeight="false" outlineLevel="0" collapsed="false">
      <c r="A1982" s="4" t="n">
        <v>96</v>
      </c>
      <c r="B1982" s="4" t="s">
        <v>2558</v>
      </c>
      <c r="C1982" s="4" t="s">
        <v>440</v>
      </c>
      <c r="D1982" s="4" t="s">
        <v>3491</v>
      </c>
      <c r="E1982" s="4"/>
      <c r="F1982" s="4" t="n">
        <v>83</v>
      </c>
    </row>
    <row r="1983" customFormat="false" ht="28.35" hidden="false" customHeight="false" outlineLevel="0" collapsed="false">
      <c r="A1983" s="4" t="n">
        <v>96</v>
      </c>
      <c r="B1983" s="4" t="s">
        <v>2558</v>
      </c>
      <c r="C1983" s="4" t="s">
        <v>441</v>
      </c>
      <c r="D1983" s="4" t="s">
        <v>3492</v>
      </c>
      <c r="E1983" s="4"/>
      <c r="F1983" s="4" t="n">
        <v>51</v>
      </c>
    </row>
    <row r="1984" customFormat="false" ht="28.35" hidden="false" customHeight="false" outlineLevel="0" collapsed="false">
      <c r="A1984" s="4" t="n">
        <v>96</v>
      </c>
      <c r="B1984" s="4" t="s">
        <v>2558</v>
      </c>
      <c r="C1984" s="4" t="s">
        <v>442</v>
      </c>
      <c r="D1984" s="4" t="s">
        <v>3493</v>
      </c>
      <c r="E1984" s="4"/>
      <c r="F1984" s="4" t="n">
        <v>1</v>
      </c>
    </row>
    <row r="1985" customFormat="false" ht="28.35" hidden="false" customHeight="false" outlineLevel="0" collapsed="false">
      <c r="A1985" s="4" t="n">
        <v>96</v>
      </c>
      <c r="B1985" s="4" t="s">
        <v>2558</v>
      </c>
      <c r="C1985" s="4" t="s">
        <v>443</v>
      </c>
      <c r="D1985" s="4" t="s">
        <v>3494</v>
      </c>
      <c r="E1985" s="4"/>
      <c r="F1985" s="4" t="n">
        <v>135</v>
      </c>
    </row>
    <row r="1986" customFormat="false" ht="55.2" hidden="false" customHeight="false" outlineLevel="0" collapsed="false">
      <c r="A1986" s="4" t="n">
        <v>96</v>
      </c>
      <c r="B1986" s="4" t="s">
        <v>2558</v>
      </c>
      <c r="C1986" s="4" t="s">
        <v>447</v>
      </c>
      <c r="D1986" s="4" t="s">
        <v>3498</v>
      </c>
      <c r="E1986" s="4"/>
      <c r="F1986" s="4" t="s">
        <v>2584</v>
      </c>
    </row>
    <row r="1987" customFormat="false" ht="95.5" hidden="false" customHeight="false" outlineLevel="0" collapsed="false">
      <c r="A1987" s="4" t="n">
        <v>96</v>
      </c>
      <c r="B1987" s="4" t="s">
        <v>2558</v>
      </c>
      <c r="C1987" s="4" t="s">
        <v>448</v>
      </c>
      <c r="D1987" s="4" t="s">
        <v>3499</v>
      </c>
      <c r="E1987" s="4"/>
      <c r="F1987" s="4" t="s">
        <v>2585</v>
      </c>
    </row>
    <row r="1988" customFormat="false" ht="28.35" hidden="false" customHeight="false" outlineLevel="0" collapsed="false">
      <c r="A1988" s="4" t="n">
        <v>96</v>
      </c>
      <c r="B1988" s="4" t="s">
        <v>2558</v>
      </c>
      <c r="C1988" s="4" t="s">
        <v>449</v>
      </c>
      <c r="D1988" s="4" t="s">
        <v>3500</v>
      </c>
      <c r="E1988" s="4"/>
      <c r="F1988" s="4" t="s">
        <v>2586</v>
      </c>
    </row>
    <row r="1989" customFormat="false" ht="122.35" hidden="false" customHeight="false" outlineLevel="0" collapsed="false">
      <c r="A1989" s="4" t="n">
        <v>96</v>
      </c>
      <c r="B1989" s="4" t="s">
        <v>2558</v>
      </c>
      <c r="C1989" s="4" t="s">
        <v>450</v>
      </c>
      <c r="D1989" s="4" t="s">
        <v>3501</v>
      </c>
      <c r="E1989" s="4"/>
      <c r="F1989" s="4" t="s">
        <v>2587</v>
      </c>
    </row>
    <row r="1990" customFormat="false" ht="364.15" hidden="false" customHeight="false" outlineLevel="0" collapsed="false">
      <c r="A1990" s="4" t="n">
        <v>97</v>
      </c>
      <c r="B1990" s="4" t="s">
        <v>2588</v>
      </c>
      <c r="C1990" s="4" t="s">
        <v>380</v>
      </c>
      <c r="D1990" s="4" t="s">
        <v>3474</v>
      </c>
      <c r="E1990" s="4" t="s">
        <v>3709</v>
      </c>
      <c r="F1990" s="4" t="s">
        <v>2597</v>
      </c>
    </row>
    <row r="1991" customFormat="false" ht="15" hidden="false" customHeight="false" outlineLevel="0" collapsed="false">
      <c r="A1991" s="4" t="n">
        <v>97</v>
      </c>
      <c r="B1991" s="4" t="s">
        <v>2588</v>
      </c>
      <c r="C1991" s="4" t="s">
        <v>392</v>
      </c>
      <c r="D1991" s="4" t="s">
        <v>3530</v>
      </c>
      <c r="E1991" s="4"/>
      <c r="F1991" s="4" t="n">
        <v>72.8035</v>
      </c>
    </row>
    <row r="1992" customFormat="false" ht="15" hidden="false" customHeight="false" outlineLevel="0" collapsed="false">
      <c r="A1992" s="4" t="n">
        <v>97</v>
      </c>
      <c r="B1992" s="4" t="s">
        <v>2588</v>
      </c>
      <c r="C1992" s="4" t="s">
        <v>393</v>
      </c>
      <c r="D1992" s="4" t="s">
        <v>3531</v>
      </c>
      <c r="E1992" s="4"/>
      <c r="F1992" s="4" t="n">
        <v>2026</v>
      </c>
    </row>
    <row r="1993" customFormat="false" ht="41.75" hidden="false" customHeight="false" outlineLevel="0" collapsed="false">
      <c r="A1993" s="4" t="n">
        <v>97</v>
      </c>
      <c r="B1993" s="4" t="s">
        <v>2588</v>
      </c>
      <c r="C1993" s="4" t="s">
        <v>394</v>
      </c>
      <c r="D1993" s="4" t="s">
        <v>3532</v>
      </c>
      <c r="E1993" s="4"/>
      <c r="F1993" s="4" t="s">
        <v>2600</v>
      </c>
    </row>
    <row r="1994" customFormat="false" ht="15" hidden="false" customHeight="false" outlineLevel="0" collapsed="false">
      <c r="A1994" s="4" t="n">
        <v>97</v>
      </c>
      <c r="B1994" s="4" t="s">
        <v>2588</v>
      </c>
      <c r="C1994" s="4" t="s">
        <v>395</v>
      </c>
      <c r="D1994" s="4" t="s">
        <v>3507</v>
      </c>
      <c r="E1994" s="4" t="s">
        <v>2749</v>
      </c>
      <c r="F1994" s="4" t="s">
        <v>506</v>
      </c>
    </row>
    <row r="1995" customFormat="false" ht="28.35" hidden="false" customHeight="false" outlineLevel="0" collapsed="false">
      <c r="A1995" s="4" t="n">
        <v>97</v>
      </c>
      <c r="B1995" s="4" t="s">
        <v>2588</v>
      </c>
      <c r="C1995" s="4" t="s">
        <v>396</v>
      </c>
      <c r="D1995" s="4" t="s">
        <v>3533</v>
      </c>
      <c r="E1995" s="4"/>
      <c r="F1995" s="4" t="s">
        <v>2601</v>
      </c>
    </row>
    <row r="1996" customFormat="false" ht="28.35" hidden="false" customHeight="false" outlineLevel="0" collapsed="false">
      <c r="A1996" s="4" t="n">
        <v>97</v>
      </c>
      <c r="B1996" s="4" t="s">
        <v>2588</v>
      </c>
      <c r="C1996" s="4" t="s">
        <v>397</v>
      </c>
      <c r="D1996" s="4" t="s">
        <v>3553</v>
      </c>
      <c r="E1996" s="4"/>
      <c r="F1996" s="4" t="n">
        <v>14.113971</v>
      </c>
    </row>
    <row r="1997" customFormat="false" ht="15" hidden="false" customHeight="false" outlineLevel="0" collapsed="false">
      <c r="A1997" s="4" t="n">
        <v>97</v>
      </c>
      <c r="B1997" s="4" t="s">
        <v>2588</v>
      </c>
      <c r="C1997" s="4" t="s">
        <v>398</v>
      </c>
      <c r="D1997" s="4" t="s">
        <v>3554</v>
      </c>
      <c r="E1997" s="4"/>
      <c r="F1997" s="4" t="n">
        <v>2026</v>
      </c>
    </row>
    <row r="1998" customFormat="false" ht="15" hidden="false" customHeight="false" outlineLevel="0" collapsed="false">
      <c r="A1998" s="4" t="n">
        <v>97</v>
      </c>
      <c r="B1998" s="4" t="s">
        <v>2588</v>
      </c>
      <c r="C1998" s="4" t="s">
        <v>399</v>
      </c>
      <c r="D1998" s="4" t="s">
        <v>3555</v>
      </c>
      <c r="E1998" s="4"/>
      <c r="F1998" s="4" t="s">
        <v>2030</v>
      </c>
    </row>
    <row r="1999" customFormat="false" ht="55.2" hidden="false" customHeight="false" outlineLevel="0" collapsed="false">
      <c r="A1999" s="4" t="n">
        <v>97</v>
      </c>
      <c r="B1999" s="4" t="s">
        <v>2588</v>
      </c>
      <c r="C1999" s="4" t="s">
        <v>400</v>
      </c>
      <c r="D1999" s="4" t="s">
        <v>3556</v>
      </c>
      <c r="E1999" s="4"/>
      <c r="F1999" s="4" t="s">
        <v>2602</v>
      </c>
    </row>
    <row r="2000" customFormat="false" ht="41.75" hidden="false" customHeight="false" outlineLevel="0" collapsed="false">
      <c r="A2000" s="4" t="n">
        <v>97</v>
      </c>
      <c r="B2000" s="4" t="s">
        <v>2588</v>
      </c>
      <c r="C2000" s="4" t="s">
        <v>401</v>
      </c>
      <c r="D2000" s="4" t="s">
        <v>3557</v>
      </c>
      <c r="E2000" s="4"/>
      <c r="F2000" s="4" t="s">
        <v>2603</v>
      </c>
    </row>
    <row r="2001" customFormat="false" ht="15" hidden="false" customHeight="false" outlineLevel="0" collapsed="false">
      <c r="A2001" s="4" t="n">
        <v>97</v>
      </c>
      <c r="B2001" s="4" t="s">
        <v>2588</v>
      </c>
      <c r="C2001" s="4" t="s">
        <v>402</v>
      </c>
      <c r="D2001" s="4" t="s">
        <v>3508</v>
      </c>
      <c r="E2001" s="4" t="s">
        <v>2574</v>
      </c>
      <c r="F2001" s="4" t="s">
        <v>2033</v>
      </c>
    </row>
    <row r="2002" customFormat="false" ht="41.75" hidden="false" customHeight="false" outlineLevel="0" collapsed="false">
      <c r="A2002" s="4" t="n">
        <v>97</v>
      </c>
      <c r="B2002" s="4" t="s">
        <v>2588</v>
      </c>
      <c r="C2002" s="4" t="s">
        <v>403</v>
      </c>
      <c r="D2002" s="4" t="s">
        <v>3481</v>
      </c>
      <c r="E2002" s="4" t="s">
        <v>3645</v>
      </c>
      <c r="F2002" s="4" t="s">
        <v>2604</v>
      </c>
    </row>
    <row r="2003" customFormat="false" ht="15" hidden="false" customHeight="false" outlineLevel="0" collapsed="false">
      <c r="A2003" s="4" t="n">
        <v>97</v>
      </c>
      <c r="B2003" s="4" t="s">
        <v>2588</v>
      </c>
      <c r="C2003" s="4" t="s">
        <v>16</v>
      </c>
      <c r="D2003" s="4" t="s">
        <v>3487</v>
      </c>
      <c r="E2003" s="4"/>
      <c r="F2003" s="4" t="n">
        <v>1321</v>
      </c>
    </row>
    <row r="2004" customFormat="false" ht="15" hidden="false" customHeight="false" outlineLevel="0" collapsed="false">
      <c r="A2004" s="4" t="n">
        <v>97</v>
      </c>
      <c r="B2004" s="4" t="s">
        <v>2588</v>
      </c>
      <c r="C2004" s="4" t="s">
        <v>404</v>
      </c>
      <c r="D2004" s="4" t="s">
        <v>3488</v>
      </c>
      <c r="E2004" s="4"/>
      <c r="F2004" s="4" t="s">
        <v>964</v>
      </c>
    </row>
    <row r="2005" customFormat="false" ht="55.2" hidden="false" customHeight="false" outlineLevel="0" collapsed="false">
      <c r="A2005" s="4" t="n">
        <v>97</v>
      </c>
      <c r="B2005" s="4" t="s">
        <v>2588</v>
      </c>
      <c r="C2005" s="4" t="s">
        <v>405</v>
      </c>
      <c r="D2005" s="4" t="s">
        <v>3489</v>
      </c>
      <c r="E2005" s="4"/>
      <c r="F2005" s="4" t="s">
        <v>2605</v>
      </c>
    </row>
    <row r="2006" customFormat="false" ht="28.35" hidden="false" customHeight="false" outlineLevel="0" collapsed="false">
      <c r="A2006" s="4" t="n">
        <v>97</v>
      </c>
      <c r="B2006" s="4" t="s">
        <v>2588</v>
      </c>
      <c r="C2006" s="4" t="s">
        <v>406</v>
      </c>
      <c r="D2006" s="4" t="s">
        <v>3490</v>
      </c>
      <c r="E2006" s="4"/>
      <c r="F2006" s="4" t="s">
        <v>2606</v>
      </c>
    </row>
    <row r="2007" customFormat="false" ht="68.65" hidden="false" customHeight="false" outlineLevel="0" collapsed="false">
      <c r="A2007" s="4" t="n">
        <v>97</v>
      </c>
      <c r="B2007" s="4" t="s">
        <v>2588</v>
      </c>
      <c r="C2007" s="4" t="s">
        <v>407</v>
      </c>
      <c r="D2007" s="4" t="s">
        <v>3485</v>
      </c>
      <c r="E2007" s="4"/>
      <c r="F2007" s="4" t="s">
        <v>2607</v>
      </c>
    </row>
    <row r="2008" customFormat="false" ht="28.35" hidden="false" customHeight="false" outlineLevel="0" collapsed="false">
      <c r="A2008" s="4" t="n">
        <v>97</v>
      </c>
      <c r="B2008" s="4" t="s">
        <v>2588</v>
      </c>
      <c r="C2008" s="4" t="s">
        <v>417</v>
      </c>
      <c r="D2008" s="4" t="s">
        <v>3654</v>
      </c>
      <c r="E2008" s="4"/>
      <c r="F2008" s="4" t="n">
        <v>72.849102</v>
      </c>
    </row>
    <row r="2009" customFormat="false" ht="28.35" hidden="false" customHeight="false" outlineLevel="0" collapsed="false">
      <c r="A2009" s="4" t="n">
        <v>97</v>
      </c>
      <c r="B2009" s="4" t="s">
        <v>2588</v>
      </c>
      <c r="C2009" s="4" t="s">
        <v>418</v>
      </c>
      <c r="D2009" s="4" t="s">
        <v>3655</v>
      </c>
      <c r="E2009" s="4"/>
      <c r="F2009" s="4" t="s">
        <v>2612</v>
      </c>
    </row>
    <row r="2010" customFormat="false" ht="149.25" hidden="false" customHeight="false" outlineLevel="0" collapsed="false">
      <c r="A2010" s="4" t="n">
        <v>97</v>
      </c>
      <c r="B2010" s="4" t="s">
        <v>2588</v>
      </c>
      <c r="C2010" s="4" t="s">
        <v>419</v>
      </c>
      <c r="D2010" s="4" t="s">
        <v>3534</v>
      </c>
      <c r="E2010" s="4"/>
      <c r="F2010" s="4" t="s">
        <v>3710</v>
      </c>
    </row>
    <row r="2011" customFormat="false" ht="297" hidden="false" customHeight="false" outlineLevel="0" collapsed="false">
      <c r="A2011" s="4" t="n">
        <v>97</v>
      </c>
      <c r="B2011" s="4" t="s">
        <v>2588</v>
      </c>
      <c r="C2011" s="4" t="s">
        <v>419</v>
      </c>
      <c r="D2011" s="4" t="s">
        <v>3534</v>
      </c>
      <c r="E2011" s="4" t="s">
        <v>3710</v>
      </c>
      <c r="F2011" s="4" t="s">
        <v>2613</v>
      </c>
    </row>
    <row r="2012" customFormat="false" ht="28.35" hidden="false" customHeight="false" outlineLevel="0" collapsed="false">
      <c r="A2012" s="4" t="n">
        <v>97</v>
      </c>
      <c r="B2012" s="4" t="s">
        <v>2588</v>
      </c>
      <c r="C2012" s="4" t="s">
        <v>420</v>
      </c>
      <c r="D2012" s="4" t="s">
        <v>3647</v>
      </c>
      <c r="E2012" s="4"/>
      <c r="F2012" s="4" t="n">
        <v>63.48109</v>
      </c>
    </row>
    <row r="2013" customFormat="false" ht="28.35" hidden="false" customHeight="false" outlineLevel="0" collapsed="false">
      <c r="A2013" s="4" t="n">
        <v>97</v>
      </c>
      <c r="B2013" s="4" t="s">
        <v>2588</v>
      </c>
      <c r="C2013" s="4" t="s">
        <v>421</v>
      </c>
      <c r="D2013" s="4" t="s">
        <v>3558</v>
      </c>
      <c r="E2013" s="4"/>
      <c r="F2013" s="4" t="n">
        <v>57.934101</v>
      </c>
    </row>
    <row r="2014" customFormat="false" ht="28.35" hidden="false" customHeight="false" outlineLevel="0" collapsed="false">
      <c r="A2014" s="4" t="n">
        <v>97</v>
      </c>
      <c r="B2014" s="4" t="s">
        <v>2588</v>
      </c>
      <c r="C2014" s="4" t="s">
        <v>422</v>
      </c>
      <c r="D2014" s="4" t="s">
        <v>3648</v>
      </c>
      <c r="E2014" s="4"/>
      <c r="F2014" s="4" t="n">
        <v>57.934101</v>
      </c>
    </row>
    <row r="2015" customFormat="false" ht="41.75" hidden="false" customHeight="false" outlineLevel="0" collapsed="false">
      <c r="A2015" s="4" t="n">
        <v>97</v>
      </c>
      <c r="B2015" s="4" t="s">
        <v>2588</v>
      </c>
      <c r="C2015" s="4" t="s">
        <v>423</v>
      </c>
      <c r="D2015" s="4" t="s">
        <v>3559</v>
      </c>
      <c r="E2015" s="4"/>
      <c r="F2015" s="4" t="s">
        <v>2045</v>
      </c>
    </row>
    <row r="2016" customFormat="false" ht="28.35" hidden="false" customHeight="false" outlineLevel="0" collapsed="false">
      <c r="A2016" s="4" t="n">
        <v>97</v>
      </c>
      <c r="B2016" s="4" t="s">
        <v>2588</v>
      </c>
      <c r="C2016" s="4" t="s">
        <v>424</v>
      </c>
      <c r="D2016" s="4" t="s">
        <v>3560</v>
      </c>
      <c r="E2016" s="4"/>
      <c r="F2016" s="4" t="s">
        <v>2046</v>
      </c>
    </row>
    <row r="2017" customFormat="false" ht="41.75" hidden="false" customHeight="false" outlineLevel="0" collapsed="false">
      <c r="A2017" s="4" t="n">
        <v>97</v>
      </c>
      <c r="B2017" s="4" t="s">
        <v>2588</v>
      </c>
      <c r="C2017" s="4" t="s">
        <v>425</v>
      </c>
      <c r="D2017" s="4" t="s">
        <v>3561</v>
      </c>
      <c r="E2017" s="4"/>
      <c r="F2017" s="4" t="s">
        <v>2614</v>
      </c>
    </row>
    <row r="2018" customFormat="false" ht="122.35" hidden="false" customHeight="false" outlineLevel="0" collapsed="false">
      <c r="A2018" s="4" t="n">
        <v>97</v>
      </c>
      <c r="B2018" s="4" t="s">
        <v>2588</v>
      </c>
      <c r="C2018" s="4" t="s">
        <v>426</v>
      </c>
      <c r="D2018" s="4" t="s">
        <v>3562</v>
      </c>
      <c r="E2018" s="4"/>
      <c r="F2018" s="4" t="s">
        <v>2615</v>
      </c>
    </row>
    <row r="2019" customFormat="false" ht="15" hidden="false" customHeight="false" outlineLevel="0" collapsed="false">
      <c r="A2019" s="4" t="n">
        <v>97</v>
      </c>
      <c r="B2019" s="4" t="s">
        <v>2588</v>
      </c>
      <c r="C2019" s="4" t="s">
        <v>427</v>
      </c>
      <c r="D2019" s="4" t="s">
        <v>3464</v>
      </c>
      <c r="E2019" s="4"/>
      <c r="F2019" s="4" t="s">
        <v>24</v>
      </c>
    </row>
    <row r="2020" customFormat="false" ht="15" hidden="false" customHeight="false" outlineLevel="0" collapsed="false">
      <c r="A2020" s="4" t="n">
        <v>97</v>
      </c>
      <c r="B2020" s="4" t="s">
        <v>2588</v>
      </c>
      <c r="C2020" s="4" t="s">
        <v>428</v>
      </c>
      <c r="D2020" s="4" t="s">
        <v>3465</v>
      </c>
      <c r="E2020" s="4"/>
      <c r="F2020" s="4" t="s">
        <v>30</v>
      </c>
    </row>
    <row r="2021" customFormat="false" ht="15" hidden="false" customHeight="false" outlineLevel="0" collapsed="false">
      <c r="A2021" s="4" t="n">
        <v>97</v>
      </c>
      <c r="B2021" s="4" t="s">
        <v>2588</v>
      </c>
      <c r="C2021" s="4" t="s">
        <v>429</v>
      </c>
      <c r="D2021" s="4" t="s">
        <v>3466</v>
      </c>
      <c r="E2021" s="4"/>
      <c r="F2021" s="4" t="s">
        <v>34</v>
      </c>
    </row>
    <row r="2022" customFormat="false" ht="41.75" hidden="false" customHeight="false" outlineLevel="0" collapsed="false">
      <c r="A2022" s="4" t="n">
        <v>97</v>
      </c>
      <c r="B2022" s="4" t="s">
        <v>2588</v>
      </c>
      <c r="C2022" s="4" t="s">
        <v>430</v>
      </c>
      <c r="D2022" s="4" t="s">
        <v>3467</v>
      </c>
      <c r="E2022" s="4"/>
      <c r="F2022" s="4" t="s">
        <v>2616</v>
      </c>
    </row>
    <row r="2023" customFormat="false" ht="15" hidden="false" customHeight="false" outlineLevel="0" collapsed="false">
      <c r="A2023" s="4" t="n">
        <v>97</v>
      </c>
      <c r="B2023" s="4" t="s">
        <v>2588</v>
      </c>
      <c r="C2023" s="4" t="s">
        <v>431</v>
      </c>
      <c r="D2023" s="4" t="s">
        <v>3468</v>
      </c>
      <c r="E2023" s="4"/>
      <c r="F2023" s="4" t="s">
        <v>484</v>
      </c>
    </row>
    <row r="2024" customFormat="false" ht="15" hidden="false" customHeight="false" outlineLevel="0" collapsed="false">
      <c r="A2024" s="4" t="n">
        <v>97</v>
      </c>
      <c r="B2024" s="4" t="s">
        <v>2588</v>
      </c>
      <c r="C2024" s="4" t="s">
        <v>432</v>
      </c>
      <c r="D2024" s="4" t="s">
        <v>3469</v>
      </c>
      <c r="E2024" s="4"/>
      <c r="F2024" s="4" t="s">
        <v>524</v>
      </c>
    </row>
    <row r="2025" customFormat="false" ht="28.35" hidden="false" customHeight="false" outlineLevel="0" collapsed="false">
      <c r="A2025" s="4" t="n">
        <v>97</v>
      </c>
      <c r="B2025" s="4" t="s">
        <v>2588</v>
      </c>
      <c r="C2025" s="4" t="s">
        <v>433</v>
      </c>
      <c r="D2025" s="4" t="s">
        <v>3470</v>
      </c>
      <c r="E2025" s="4"/>
      <c r="F2025" s="4" t="s">
        <v>2617</v>
      </c>
    </row>
    <row r="2026" customFormat="false" ht="28.35" hidden="false" customHeight="false" outlineLevel="0" collapsed="false">
      <c r="A2026" s="4" t="n">
        <v>97</v>
      </c>
      <c r="B2026" s="4" t="s">
        <v>2588</v>
      </c>
      <c r="C2026" s="4" t="s">
        <v>434</v>
      </c>
      <c r="D2026" s="4" t="s">
        <v>3482</v>
      </c>
      <c r="E2026" s="4"/>
      <c r="F2026" s="4" t="s">
        <v>2618</v>
      </c>
    </row>
    <row r="2027" customFormat="false" ht="28.35" hidden="false" customHeight="false" outlineLevel="0" collapsed="false">
      <c r="A2027" s="4" t="n">
        <v>97</v>
      </c>
      <c r="B2027" s="4" t="s">
        <v>2588</v>
      </c>
      <c r="C2027" s="4" t="s">
        <v>435</v>
      </c>
      <c r="D2027" s="4" t="s">
        <v>3510</v>
      </c>
      <c r="E2027" s="4"/>
      <c r="F2027" s="4" t="s">
        <v>2619</v>
      </c>
    </row>
    <row r="2028" customFormat="false" ht="15" hidden="false" customHeight="false" outlineLevel="0" collapsed="false">
      <c r="A2028" s="4" t="n">
        <v>97</v>
      </c>
      <c r="B2028" s="4" t="s">
        <v>2588</v>
      </c>
      <c r="C2028" s="4" t="s">
        <v>436</v>
      </c>
      <c r="D2028" s="4" t="s">
        <v>3471</v>
      </c>
      <c r="E2028" s="4"/>
      <c r="F2028" s="4" t="s">
        <v>201</v>
      </c>
    </row>
    <row r="2029" customFormat="false" ht="28.35" hidden="false" customHeight="false" outlineLevel="0" collapsed="false">
      <c r="A2029" s="4" t="n">
        <v>97</v>
      </c>
      <c r="B2029" s="4" t="s">
        <v>2588</v>
      </c>
      <c r="C2029" s="4" t="s">
        <v>437</v>
      </c>
      <c r="D2029" s="4" t="s">
        <v>3472</v>
      </c>
      <c r="E2029" s="4"/>
      <c r="F2029" s="4" t="n">
        <v>10</v>
      </c>
    </row>
    <row r="2030" customFormat="false" ht="28.35" hidden="false" customHeight="false" outlineLevel="0" collapsed="false">
      <c r="A2030" s="4" t="n">
        <v>97</v>
      </c>
      <c r="B2030" s="4" t="s">
        <v>2588</v>
      </c>
      <c r="C2030" s="4" t="s">
        <v>440</v>
      </c>
      <c r="D2030" s="4" t="s">
        <v>3491</v>
      </c>
      <c r="E2030" s="4"/>
      <c r="F2030" s="4" t="n">
        <v>858</v>
      </c>
    </row>
    <row r="2031" customFormat="false" ht="28.35" hidden="false" customHeight="false" outlineLevel="0" collapsed="false">
      <c r="A2031" s="4" t="n">
        <v>97</v>
      </c>
      <c r="B2031" s="4" t="s">
        <v>2588</v>
      </c>
      <c r="C2031" s="4" t="s">
        <v>441</v>
      </c>
      <c r="D2031" s="4" t="s">
        <v>3492</v>
      </c>
      <c r="E2031" s="4"/>
      <c r="F2031" s="4" t="n">
        <v>195</v>
      </c>
    </row>
    <row r="2032" customFormat="false" ht="15" hidden="false" customHeight="false" outlineLevel="0" collapsed="false">
      <c r="A2032" s="4" t="n">
        <v>97</v>
      </c>
      <c r="B2032" s="4" t="s">
        <v>2588</v>
      </c>
      <c r="C2032" s="4" t="s">
        <v>442</v>
      </c>
      <c r="D2032" s="4" t="s">
        <v>3493</v>
      </c>
      <c r="E2032" s="4"/>
      <c r="F2032" s="4" t="n">
        <v>266</v>
      </c>
    </row>
    <row r="2033" customFormat="false" ht="15" hidden="false" customHeight="false" outlineLevel="0" collapsed="false">
      <c r="A2033" s="4" t="n">
        <v>97</v>
      </c>
      <c r="B2033" s="4" t="s">
        <v>2588</v>
      </c>
      <c r="C2033" s="4" t="s">
        <v>443</v>
      </c>
      <c r="D2033" s="4" t="s">
        <v>3494</v>
      </c>
      <c r="E2033" s="4"/>
      <c r="F2033" s="4" t="n">
        <v>1319</v>
      </c>
    </row>
    <row r="2034" customFormat="false" ht="15" hidden="false" customHeight="false" outlineLevel="0" collapsed="false">
      <c r="A2034" s="4" t="n">
        <v>97</v>
      </c>
      <c r="B2034" s="4" t="s">
        <v>2588</v>
      </c>
      <c r="C2034" s="4" t="s">
        <v>445</v>
      </c>
      <c r="D2034" s="4" t="s">
        <v>3496</v>
      </c>
      <c r="E2034" s="4"/>
      <c r="F2034" s="4" t="n">
        <v>2</v>
      </c>
    </row>
    <row r="2035" customFormat="false" ht="41.75" hidden="false" customHeight="false" outlineLevel="0" collapsed="false">
      <c r="A2035" s="4" t="n">
        <v>97</v>
      </c>
      <c r="B2035" s="4" t="s">
        <v>2588</v>
      </c>
      <c r="C2035" s="4" t="s">
        <v>447</v>
      </c>
      <c r="D2035" s="4" t="s">
        <v>3498</v>
      </c>
      <c r="E2035" s="4"/>
      <c r="F2035" s="4" t="s">
        <v>2620</v>
      </c>
    </row>
    <row r="2036" customFormat="false" ht="149.25" hidden="false" customHeight="false" outlineLevel="0" collapsed="false">
      <c r="A2036" s="4" t="n">
        <v>97</v>
      </c>
      <c r="B2036" s="4" t="s">
        <v>2588</v>
      </c>
      <c r="C2036" s="4" t="s">
        <v>448</v>
      </c>
      <c r="D2036" s="4" t="s">
        <v>3499</v>
      </c>
      <c r="E2036" s="4"/>
      <c r="F2036" s="4" t="s">
        <v>2621</v>
      </c>
    </row>
    <row r="2037" customFormat="false" ht="28.35" hidden="false" customHeight="false" outlineLevel="0" collapsed="false">
      <c r="A2037" s="4" t="n">
        <v>97</v>
      </c>
      <c r="B2037" s="4" t="s">
        <v>2588</v>
      </c>
      <c r="C2037" s="4" t="s">
        <v>449</v>
      </c>
      <c r="D2037" s="4" t="s">
        <v>3500</v>
      </c>
      <c r="E2037" s="4"/>
      <c r="F2037" s="4" t="s">
        <v>2606</v>
      </c>
    </row>
    <row r="2038" customFormat="false" ht="176.1" hidden="false" customHeight="false" outlineLevel="0" collapsed="false">
      <c r="A2038" s="4" t="n">
        <v>97</v>
      </c>
      <c r="B2038" s="4" t="s">
        <v>2588</v>
      </c>
      <c r="C2038" s="4" t="s">
        <v>450</v>
      </c>
      <c r="D2038" s="4" t="s">
        <v>3501</v>
      </c>
      <c r="E2038" s="4"/>
      <c r="F2038" s="4" t="s">
        <v>2622</v>
      </c>
    </row>
    <row r="2039" customFormat="false" ht="28.35" hidden="false" customHeight="false" outlineLevel="0" collapsed="false">
      <c r="A2039" s="4" t="n">
        <v>98</v>
      </c>
      <c r="B2039" s="4" t="s">
        <v>2623</v>
      </c>
      <c r="C2039" s="4" t="s">
        <v>365</v>
      </c>
      <c r="D2039" s="4" t="s">
        <v>3547</v>
      </c>
      <c r="E2039" s="4"/>
      <c r="F2039" s="4" t="n">
        <v>123.015591</v>
      </c>
    </row>
    <row r="2040" customFormat="false" ht="28.35" hidden="false" customHeight="false" outlineLevel="0" collapsed="false">
      <c r="A2040" s="4" t="n">
        <v>98</v>
      </c>
      <c r="B2040" s="4" t="s">
        <v>2623</v>
      </c>
      <c r="C2040" s="4" t="s">
        <v>366</v>
      </c>
      <c r="D2040" s="4" t="s">
        <v>3548</v>
      </c>
      <c r="E2040" s="4"/>
      <c r="F2040" s="4" t="n">
        <v>2026</v>
      </c>
    </row>
    <row r="2041" customFormat="false" ht="28.35" hidden="false" customHeight="false" outlineLevel="0" collapsed="false">
      <c r="A2041" s="4" t="n">
        <v>98</v>
      </c>
      <c r="B2041" s="4" t="s">
        <v>2623</v>
      </c>
      <c r="C2041" s="4" t="s">
        <v>367</v>
      </c>
      <c r="D2041" s="4" t="s">
        <v>3549</v>
      </c>
      <c r="E2041" s="4"/>
      <c r="F2041" s="4" t="s">
        <v>6</v>
      </c>
    </row>
    <row r="2042" customFormat="false" ht="28.35" hidden="false" customHeight="false" outlineLevel="0" collapsed="false">
      <c r="A2042" s="4" t="n">
        <v>98</v>
      </c>
      <c r="B2042" s="4" t="s">
        <v>2623</v>
      </c>
      <c r="C2042" s="4" t="s">
        <v>368</v>
      </c>
      <c r="D2042" s="4" t="s">
        <v>3550</v>
      </c>
      <c r="E2042" s="4"/>
      <c r="F2042" s="4" t="s">
        <v>2018</v>
      </c>
    </row>
    <row r="2043" customFormat="false" ht="28.35" hidden="false" customHeight="false" outlineLevel="0" collapsed="false">
      <c r="A2043" s="4" t="n">
        <v>98</v>
      </c>
      <c r="B2043" s="4" t="s">
        <v>2623</v>
      </c>
      <c r="C2043" s="4" t="s">
        <v>369</v>
      </c>
      <c r="D2043" s="4" t="s">
        <v>3503</v>
      </c>
      <c r="E2043" s="4" t="s">
        <v>780</v>
      </c>
      <c r="F2043" s="4" t="s">
        <v>494</v>
      </c>
    </row>
    <row r="2044" customFormat="false" ht="28.35" hidden="false" customHeight="false" outlineLevel="0" collapsed="false">
      <c r="A2044" s="4" t="n">
        <v>98</v>
      </c>
      <c r="B2044" s="4" t="s">
        <v>2623</v>
      </c>
      <c r="C2044" s="4" t="s">
        <v>370</v>
      </c>
      <c r="D2044" s="4" t="s">
        <v>3649</v>
      </c>
      <c r="E2044" s="4"/>
      <c r="F2044" s="4" t="n">
        <v>123.015591</v>
      </c>
    </row>
    <row r="2045" customFormat="false" ht="95.5" hidden="false" customHeight="false" outlineLevel="0" collapsed="false">
      <c r="A2045" s="4" t="n">
        <v>98</v>
      </c>
      <c r="B2045" s="4" t="s">
        <v>2623</v>
      </c>
      <c r="C2045" s="4" t="s">
        <v>372</v>
      </c>
      <c r="D2045" s="4" t="s">
        <v>3504</v>
      </c>
      <c r="E2045" s="4" t="s">
        <v>3708</v>
      </c>
      <c r="F2045" s="4" t="s">
        <v>2629</v>
      </c>
    </row>
    <row r="2046" customFormat="false" ht="68.65" hidden="false" customHeight="false" outlineLevel="0" collapsed="false">
      <c r="A2046" s="4" t="n">
        <v>98</v>
      </c>
      <c r="B2046" s="4" t="s">
        <v>2623</v>
      </c>
      <c r="C2046" s="4" t="s">
        <v>374</v>
      </c>
      <c r="D2046" s="4" t="s">
        <v>3616</v>
      </c>
      <c r="E2046" s="4" t="s">
        <v>2934</v>
      </c>
      <c r="F2046" s="4" t="s">
        <v>2630</v>
      </c>
    </row>
    <row r="2047" customFormat="false" ht="350.7" hidden="false" customHeight="false" outlineLevel="0" collapsed="false">
      <c r="A2047" s="4" t="n">
        <v>98</v>
      </c>
      <c r="B2047" s="4" t="s">
        <v>2623</v>
      </c>
      <c r="C2047" s="4" t="s">
        <v>380</v>
      </c>
      <c r="D2047" s="4" t="s">
        <v>3474</v>
      </c>
      <c r="E2047" s="4" t="s">
        <v>3711</v>
      </c>
      <c r="F2047" s="4" t="s">
        <v>2631</v>
      </c>
    </row>
    <row r="2048" customFormat="false" ht="28.35" hidden="false" customHeight="false" outlineLevel="0" collapsed="false">
      <c r="A2048" s="4" t="n">
        <v>98</v>
      </c>
      <c r="B2048" s="4" t="s">
        <v>2623</v>
      </c>
      <c r="C2048" s="4" t="s">
        <v>392</v>
      </c>
      <c r="D2048" s="4" t="s">
        <v>3530</v>
      </c>
      <c r="E2048" s="4"/>
      <c r="F2048" s="4" t="n">
        <v>21.669549</v>
      </c>
    </row>
    <row r="2049" customFormat="false" ht="28.35" hidden="false" customHeight="false" outlineLevel="0" collapsed="false">
      <c r="A2049" s="4" t="n">
        <v>98</v>
      </c>
      <c r="B2049" s="4" t="s">
        <v>2623</v>
      </c>
      <c r="C2049" s="4" t="s">
        <v>393</v>
      </c>
      <c r="D2049" s="4" t="s">
        <v>3531</v>
      </c>
      <c r="E2049" s="4"/>
      <c r="F2049" s="4" t="n">
        <v>2026</v>
      </c>
    </row>
    <row r="2050" customFormat="false" ht="55.2" hidden="false" customHeight="false" outlineLevel="0" collapsed="false">
      <c r="A2050" s="4" t="n">
        <v>98</v>
      </c>
      <c r="B2050" s="4" t="s">
        <v>2623</v>
      </c>
      <c r="C2050" s="4" t="s">
        <v>394</v>
      </c>
      <c r="D2050" s="4" t="s">
        <v>3532</v>
      </c>
      <c r="E2050" s="4"/>
      <c r="F2050" s="4" t="s">
        <v>2632</v>
      </c>
    </row>
    <row r="2051" customFormat="false" ht="28.35" hidden="false" customHeight="false" outlineLevel="0" collapsed="false">
      <c r="A2051" s="4" t="n">
        <v>98</v>
      </c>
      <c r="B2051" s="4" t="s">
        <v>2623</v>
      </c>
      <c r="C2051" s="4" t="s">
        <v>395</v>
      </c>
      <c r="D2051" s="4" t="s">
        <v>3507</v>
      </c>
      <c r="E2051" s="4" t="s">
        <v>2749</v>
      </c>
      <c r="F2051" s="4" t="s">
        <v>506</v>
      </c>
    </row>
    <row r="2052" customFormat="false" ht="28.35" hidden="false" customHeight="false" outlineLevel="0" collapsed="false">
      <c r="A2052" s="4" t="n">
        <v>98</v>
      </c>
      <c r="B2052" s="4" t="s">
        <v>2623</v>
      </c>
      <c r="C2052" s="4" t="s">
        <v>396</v>
      </c>
      <c r="D2052" s="4" t="s">
        <v>3533</v>
      </c>
      <c r="E2052" s="4"/>
      <c r="F2052" s="4" t="s">
        <v>2633</v>
      </c>
    </row>
    <row r="2053" customFormat="false" ht="28.35" hidden="false" customHeight="false" outlineLevel="0" collapsed="false">
      <c r="A2053" s="4" t="n">
        <v>98</v>
      </c>
      <c r="B2053" s="4" t="s">
        <v>2623</v>
      </c>
      <c r="C2053" s="4" t="s">
        <v>397</v>
      </c>
      <c r="D2053" s="4" t="s">
        <v>3553</v>
      </c>
      <c r="E2053" s="4"/>
      <c r="F2053" s="4" t="n">
        <v>4.461338</v>
      </c>
    </row>
    <row r="2054" customFormat="false" ht="28.35" hidden="false" customHeight="false" outlineLevel="0" collapsed="false">
      <c r="A2054" s="4" t="n">
        <v>98</v>
      </c>
      <c r="B2054" s="4" t="s">
        <v>2623</v>
      </c>
      <c r="C2054" s="4" t="s">
        <v>398</v>
      </c>
      <c r="D2054" s="4" t="s">
        <v>3554</v>
      </c>
      <c r="E2054" s="4"/>
      <c r="F2054" s="4" t="n">
        <v>2026</v>
      </c>
    </row>
    <row r="2055" customFormat="false" ht="28.35" hidden="false" customHeight="false" outlineLevel="0" collapsed="false">
      <c r="A2055" s="4" t="n">
        <v>98</v>
      </c>
      <c r="B2055" s="4" t="s">
        <v>2623</v>
      </c>
      <c r="C2055" s="4" t="s">
        <v>399</v>
      </c>
      <c r="D2055" s="4" t="s">
        <v>3555</v>
      </c>
      <c r="E2055" s="4"/>
      <c r="F2055" s="4" t="s">
        <v>2030</v>
      </c>
    </row>
    <row r="2056" customFormat="false" ht="55.2" hidden="false" customHeight="false" outlineLevel="0" collapsed="false">
      <c r="A2056" s="4" t="n">
        <v>98</v>
      </c>
      <c r="B2056" s="4" t="s">
        <v>2623</v>
      </c>
      <c r="C2056" s="4" t="s">
        <v>400</v>
      </c>
      <c r="D2056" s="4" t="s">
        <v>3556</v>
      </c>
      <c r="E2056" s="4"/>
      <c r="F2056" s="4" t="s">
        <v>2634</v>
      </c>
    </row>
    <row r="2057" customFormat="false" ht="41.75" hidden="false" customHeight="false" outlineLevel="0" collapsed="false">
      <c r="A2057" s="4" t="n">
        <v>98</v>
      </c>
      <c r="B2057" s="4" t="s">
        <v>2623</v>
      </c>
      <c r="C2057" s="4" t="s">
        <v>401</v>
      </c>
      <c r="D2057" s="4" t="s">
        <v>3557</v>
      </c>
      <c r="E2057" s="4"/>
      <c r="F2057" s="4" t="s">
        <v>2635</v>
      </c>
    </row>
    <row r="2058" customFormat="false" ht="28.35" hidden="false" customHeight="false" outlineLevel="0" collapsed="false">
      <c r="A2058" s="4" t="n">
        <v>98</v>
      </c>
      <c r="B2058" s="4" t="s">
        <v>2623</v>
      </c>
      <c r="C2058" s="4" t="s">
        <v>402</v>
      </c>
      <c r="D2058" s="4" t="s">
        <v>3508</v>
      </c>
      <c r="E2058" s="4" t="s">
        <v>2574</v>
      </c>
      <c r="F2058" s="4" t="s">
        <v>2033</v>
      </c>
    </row>
    <row r="2059" customFormat="false" ht="41.75" hidden="false" customHeight="false" outlineLevel="0" collapsed="false">
      <c r="A2059" s="4" t="n">
        <v>98</v>
      </c>
      <c r="B2059" s="4" t="s">
        <v>2623</v>
      </c>
      <c r="C2059" s="4" t="s">
        <v>403</v>
      </c>
      <c r="D2059" s="4" t="s">
        <v>3481</v>
      </c>
      <c r="E2059" s="4" t="s">
        <v>3004</v>
      </c>
      <c r="F2059" s="4" t="s">
        <v>2604</v>
      </c>
    </row>
    <row r="2060" customFormat="false" ht="28.35" hidden="false" customHeight="false" outlineLevel="0" collapsed="false">
      <c r="A2060" s="4" t="n">
        <v>98</v>
      </c>
      <c r="B2060" s="4" t="s">
        <v>2623</v>
      </c>
      <c r="C2060" s="4" t="s">
        <v>16</v>
      </c>
      <c r="D2060" s="4" t="s">
        <v>3487</v>
      </c>
      <c r="E2060" s="4"/>
      <c r="F2060" s="4" t="n">
        <v>312</v>
      </c>
    </row>
    <row r="2061" customFormat="false" ht="28.35" hidden="false" customHeight="false" outlineLevel="0" collapsed="false">
      <c r="A2061" s="4" t="n">
        <v>98</v>
      </c>
      <c r="B2061" s="4" t="s">
        <v>2623</v>
      </c>
      <c r="C2061" s="4" t="s">
        <v>404</v>
      </c>
      <c r="D2061" s="4" t="s">
        <v>3488</v>
      </c>
      <c r="E2061" s="4"/>
      <c r="F2061" s="4" t="s">
        <v>964</v>
      </c>
    </row>
    <row r="2062" customFormat="false" ht="55.2" hidden="false" customHeight="false" outlineLevel="0" collapsed="false">
      <c r="A2062" s="4" t="n">
        <v>98</v>
      </c>
      <c r="B2062" s="4" t="s">
        <v>2623</v>
      </c>
      <c r="C2062" s="4" t="s">
        <v>405</v>
      </c>
      <c r="D2062" s="4" t="s">
        <v>3489</v>
      </c>
      <c r="E2062" s="4"/>
      <c r="F2062" s="4" t="s">
        <v>2636</v>
      </c>
    </row>
    <row r="2063" customFormat="false" ht="28.35" hidden="false" customHeight="false" outlineLevel="0" collapsed="false">
      <c r="A2063" s="4" t="n">
        <v>98</v>
      </c>
      <c r="B2063" s="4" t="s">
        <v>2623</v>
      </c>
      <c r="C2063" s="4" t="s">
        <v>406</v>
      </c>
      <c r="D2063" s="4" t="s">
        <v>3490</v>
      </c>
      <c r="E2063" s="4"/>
      <c r="F2063" s="4" t="s">
        <v>2637</v>
      </c>
    </row>
    <row r="2064" customFormat="false" ht="55.2" hidden="false" customHeight="false" outlineLevel="0" collapsed="false">
      <c r="A2064" s="4" t="n">
        <v>98</v>
      </c>
      <c r="B2064" s="4" t="s">
        <v>2623</v>
      </c>
      <c r="C2064" s="4" t="s">
        <v>407</v>
      </c>
      <c r="D2064" s="4" t="s">
        <v>3485</v>
      </c>
      <c r="E2064" s="4"/>
      <c r="F2064" s="4" t="s">
        <v>2638</v>
      </c>
    </row>
    <row r="2065" customFormat="false" ht="95.5" hidden="false" customHeight="false" outlineLevel="0" collapsed="false">
      <c r="A2065" s="4" t="n">
        <v>98</v>
      </c>
      <c r="B2065" s="4" t="s">
        <v>2623</v>
      </c>
      <c r="C2065" s="4" t="s">
        <v>419</v>
      </c>
      <c r="D2065" s="4" t="s">
        <v>3534</v>
      </c>
      <c r="E2065" s="4"/>
      <c r="F2065" s="4" t="s">
        <v>3712</v>
      </c>
    </row>
    <row r="2066" customFormat="false" ht="297" hidden="false" customHeight="false" outlineLevel="0" collapsed="false">
      <c r="A2066" s="4" t="n">
        <v>98</v>
      </c>
      <c r="B2066" s="4" t="s">
        <v>2623</v>
      </c>
      <c r="C2066" s="4" t="s">
        <v>419</v>
      </c>
      <c r="D2066" s="4" t="s">
        <v>3534</v>
      </c>
      <c r="E2066" s="4" t="s">
        <v>3712</v>
      </c>
      <c r="F2066" s="4" t="s">
        <v>2643</v>
      </c>
    </row>
    <row r="2067" customFormat="false" ht="28.35" hidden="false" customHeight="false" outlineLevel="0" collapsed="false">
      <c r="A2067" s="4" t="n">
        <v>98</v>
      </c>
      <c r="B2067" s="4" t="s">
        <v>2623</v>
      </c>
      <c r="C2067" s="4" t="s">
        <v>420</v>
      </c>
      <c r="D2067" s="4" t="s">
        <v>3647</v>
      </c>
      <c r="E2067" s="4"/>
      <c r="F2067" s="4" t="n">
        <v>19.508546</v>
      </c>
    </row>
    <row r="2068" customFormat="false" ht="28.35" hidden="false" customHeight="false" outlineLevel="0" collapsed="false">
      <c r="A2068" s="4" t="n">
        <v>98</v>
      </c>
      <c r="B2068" s="4" t="s">
        <v>2623</v>
      </c>
      <c r="C2068" s="4" t="s">
        <v>421</v>
      </c>
      <c r="D2068" s="4" t="s">
        <v>3558</v>
      </c>
      <c r="E2068" s="4"/>
      <c r="F2068" s="4" t="n">
        <v>18.711895</v>
      </c>
    </row>
    <row r="2069" customFormat="false" ht="28.35" hidden="false" customHeight="false" outlineLevel="0" collapsed="false">
      <c r="A2069" s="4" t="n">
        <v>98</v>
      </c>
      <c r="B2069" s="4" t="s">
        <v>2623</v>
      </c>
      <c r="C2069" s="4" t="s">
        <v>422</v>
      </c>
      <c r="D2069" s="4" t="s">
        <v>3648</v>
      </c>
      <c r="E2069" s="4"/>
      <c r="F2069" s="4" t="n">
        <v>18.711895</v>
      </c>
    </row>
    <row r="2070" customFormat="false" ht="41.75" hidden="false" customHeight="false" outlineLevel="0" collapsed="false">
      <c r="A2070" s="4" t="n">
        <v>98</v>
      </c>
      <c r="B2070" s="4" t="s">
        <v>2623</v>
      </c>
      <c r="C2070" s="4" t="s">
        <v>423</v>
      </c>
      <c r="D2070" s="4" t="s">
        <v>3559</v>
      </c>
      <c r="E2070" s="4"/>
      <c r="F2070" s="4" t="s">
        <v>2045</v>
      </c>
    </row>
    <row r="2071" customFormat="false" ht="28.35" hidden="false" customHeight="false" outlineLevel="0" collapsed="false">
      <c r="A2071" s="4" t="n">
        <v>98</v>
      </c>
      <c r="B2071" s="4" t="s">
        <v>2623</v>
      </c>
      <c r="C2071" s="4" t="s">
        <v>424</v>
      </c>
      <c r="D2071" s="4" t="s">
        <v>3560</v>
      </c>
      <c r="E2071" s="4"/>
      <c r="F2071" s="4" t="s">
        <v>2046</v>
      </c>
    </row>
    <row r="2072" customFormat="false" ht="41.75" hidden="false" customHeight="false" outlineLevel="0" collapsed="false">
      <c r="A2072" s="4" t="n">
        <v>98</v>
      </c>
      <c r="B2072" s="4" t="s">
        <v>2623</v>
      </c>
      <c r="C2072" s="4" t="s">
        <v>425</v>
      </c>
      <c r="D2072" s="4" t="s">
        <v>3561</v>
      </c>
      <c r="E2072" s="4"/>
      <c r="F2072" s="4" t="s">
        <v>2644</v>
      </c>
    </row>
    <row r="2073" customFormat="false" ht="122.35" hidden="false" customHeight="false" outlineLevel="0" collapsed="false">
      <c r="A2073" s="4" t="n">
        <v>98</v>
      </c>
      <c r="B2073" s="4" t="s">
        <v>2623</v>
      </c>
      <c r="C2073" s="4" t="s">
        <v>426</v>
      </c>
      <c r="D2073" s="4" t="s">
        <v>3562</v>
      </c>
      <c r="E2073" s="4"/>
      <c r="F2073" s="4" t="s">
        <v>2645</v>
      </c>
    </row>
    <row r="2074" customFormat="false" ht="28.35" hidden="false" customHeight="false" outlineLevel="0" collapsed="false">
      <c r="A2074" s="4" t="n">
        <v>98</v>
      </c>
      <c r="B2074" s="4" t="s">
        <v>2623</v>
      </c>
      <c r="C2074" s="4" t="s">
        <v>427</v>
      </c>
      <c r="D2074" s="4" t="s">
        <v>3464</v>
      </c>
      <c r="E2074" s="4"/>
      <c r="F2074" s="4" t="s">
        <v>24</v>
      </c>
    </row>
    <row r="2075" customFormat="false" ht="28.35" hidden="false" customHeight="false" outlineLevel="0" collapsed="false">
      <c r="A2075" s="4" t="n">
        <v>98</v>
      </c>
      <c r="B2075" s="4" t="s">
        <v>2623</v>
      </c>
      <c r="C2075" s="4" t="s">
        <v>428</v>
      </c>
      <c r="D2075" s="4" t="s">
        <v>3465</v>
      </c>
      <c r="E2075" s="4"/>
      <c r="F2075" s="4" t="s">
        <v>30</v>
      </c>
    </row>
    <row r="2076" customFormat="false" ht="28.35" hidden="false" customHeight="false" outlineLevel="0" collapsed="false">
      <c r="A2076" s="4" t="n">
        <v>98</v>
      </c>
      <c r="B2076" s="4" t="s">
        <v>2623</v>
      </c>
      <c r="C2076" s="4" t="s">
        <v>429</v>
      </c>
      <c r="D2076" s="4" t="s">
        <v>3466</v>
      </c>
      <c r="E2076" s="4"/>
      <c r="F2076" s="4" t="s">
        <v>36</v>
      </c>
    </row>
    <row r="2077" customFormat="false" ht="28.35" hidden="false" customHeight="false" outlineLevel="0" collapsed="false">
      <c r="A2077" s="4" t="n">
        <v>98</v>
      </c>
      <c r="B2077" s="4" t="s">
        <v>2623</v>
      </c>
      <c r="C2077" s="4" t="s">
        <v>431</v>
      </c>
      <c r="D2077" s="4" t="s">
        <v>3468</v>
      </c>
      <c r="E2077" s="4"/>
      <c r="F2077" s="4" t="s">
        <v>484</v>
      </c>
    </row>
    <row r="2078" customFormat="false" ht="28.35" hidden="false" customHeight="false" outlineLevel="0" collapsed="false">
      <c r="A2078" s="4" t="n">
        <v>98</v>
      </c>
      <c r="B2078" s="4" t="s">
        <v>2623</v>
      </c>
      <c r="C2078" s="4" t="s">
        <v>432</v>
      </c>
      <c r="D2078" s="4" t="s">
        <v>3469</v>
      </c>
      <c r="E2078" s="4"/>
      <c r="F2078" s="4" t="s">
        <v>524</v>
      </c>
    </row>
    <row r="2079" customFormat="false" ht="28.35" hidden="false" customHeight="false" outlineLevel="0" collapsed="false">
      <c r="A2079" s="4" t="n">
        <v>98</v>
      </c>
      <c r="B2079" s="4" t="s">
        <v>2623</v>
      </c>
      <c r="C2079" s="4" t="s">
        <v>433</v>
      </c>
      <c r="D2079" s="4" t="s">
        <v>3470</v>
      </c>
      <c r="E2079" s="4"/>
      <c r="F2079" s="4" t="s">
        <v>2646</v>
      </c>
    </row>
    <row r="2080" customFormat="false" ht="28.35" hidden="false" customHeight="false" outlineLevel="0" collapsed="false">
      <c r="A2080" s="4" t="n">
        <v>98</v>
      </c>
      <c r="B2080" s="4" t="s">
        <v>2623</v>
      </c>
      <c r="C2080" s="4" t="s">
        <v>434</v>
      </c>
      <c r="D2080" s="4" t="s">
        <v>3482</v>
      </c>
      <c r="E2080" s="4"/>
      <c r="F2080" s="4" t="s">
        <v>2647</v>
      </c>
    </row>
    <row r="2081" customFormat="false" ht="28.35" hidden="false" customHeight="false" outlineLevel="0" collapsed="false">
      <c r="A2081" s="4" t="n">
        <v>98</v>
      </c>
      <c r="B2081" s="4" t="s">
        <v>2623</v>
      </c>
      <c r="C2081" s="4" t="s">
        <v>435</v>
      </c>
      <c r="D2081" s="4" t="s">
        <v>3510</v>
      </c>
      <c r="E2081" s="4"/>
      <c r="F2081" s="4" t="s">
        <v>2648</v>
      </c>
    </row>
    <row r="2082" customFormat="false" ht="28.35" hidden="false" customHeight="false" outlineLevel="0" collapsed="false">
      <c r="A2082" s="4" t="n">
        <v>98</v>
      </c>
      <c r="B2082" s="4" t="s">
        <v>2623</v>
      </c>
      <c r="C2082" s="4" t="s">
        <v>436</v>
      </c>
      <c r="D2082" s="4" t="s">
        <v>3471</v>
      </c>
      <c r="E2082" s="4"/>
      <c r="F2082" s="4" t="s">
        <v>2649</v>
      </c>
    </row>
    <row r="2083" customFormat="false" ht="28.35" hidden="false" customHeight="false" outlineLevel="0" collapsed="false">
      <c r="A2083" s="4" t="n">
        <v>98</v>
      </c>
      <c r="B2083" s="4" t="s">
        <v>2623</v>
      </c>
      <c r="C2083" s="4" t="s">
        <v>440</v>
      </c>
      <c r="D2083" s="4" t="s">
        <v>3491</v>
      </c>
      <c r="E2083" s="4"/>
      <c r="F2083" s="4" t="n">
        <v>172</v>
      </c>
    </row>
    <row r="2084" customFormat="false" ht="28.35" hidden="false" customHeight="false" outlineLevel="0" collapsed="false">
      <c r="A2084" s="4" t="n">
        <v>98</v>
      </c>
      <c r="B2084" s="4" t="s">
        <v>2623</v>
      </c>
      <c r="C2084" s="4" t="s">
        <v>441</v>
      </c>
      <c r="D2084" s="4" t="s">
        <v>3492</v>
      </c>
      <c r="E2084" s="4"/>
      <c r="F2084" s="4" t="n">
        <v>121</v>
      </c>
    </row>
    <row r="2085" customFormat="false" ht="28.35" hidden="false" customHeight="false" outlineLevel="0" collapsed="false">
      <c r="A2085" s="4" t="n">
        <v>98</v>
      </c>
      <c r="B2085" s="4" t="s">
        <v>2623</v>
      </c>
      <c r="C2085" s="4" t="s">
        <v>442</v>
      </c>
      <c r="D2085" s="4" t="s">
        <v>3493</v>
      </c>
      <c r="E2085" s="4"/>
      <c r="F2085" s="4" t="n">
        <v>19</v>
      </c>
    </row>
    <row r="2086" customFormat="false" ht="28.35" hidden="false" customHeight="false" outlineLevel="0" collapsed="false">
      <c r="A2086" s="4" t="n">
        <v>98</v>
      </c>
      <c r="B2086" s="4" t="s">
        <v>2623</v>
      </c>
      <c r="C2086" s="4" t="s">
        <v>443</v>
      </c>
      <c r="D2086" s="4" t="s">
        <v>3494</v>
      </c>
      <c r="E2086" s="4"/>
      <c r="F2086" s="4" t="n">
        <v>312</v>
      </c>
    </row>
    <row r="2087" customFormat="false" ht="28.35" hidden="false" customHeight="false" outlineLevel="0" collapsed="false">
      <c r="A2087" s="4" t="n">
        <v>98</v>
      </c>
      <c r="B2087" s="4" t="s">
        <v>2623</v>
      </c>
      <c r="C2087" s="4" t="s">
        <v>447</v>
      </c>
      <c r="D2087" s="4" t="s">
        <v>3498</v>
      </c>
      <c r="E2087" s="4"/>
      <c r="F2087" s="4" t="s">
        <v>2650</v>
      </c>
    </row>
    <row r="2088" customFormat="false" ht="135.8" hidden="false" customHeight="false" outlineLevel="0" collapsed="false">
      <c r="A2088" s="4" t="n">
        <v>98</v>
      </c>
      <c r="B2088" s="4" t="s">
        <v>2623</v>
      </c>
      <c r="C2088" s="4" t="s">
        <v>448</v>
      </c>
      <c r="D2088" s="4" t="s">
        <v>3499</v>
      </c>
      <c r="E2088" s="4"/>
      <c r="F2088" s="4" t="s">
        <v>2651</v>
      </c>
    </row>
    <row r="2089" customFormat="false" ht="28.35" hidden="false" customHeight="false" outlineLevel="0" collapsed="false">
      <c r="A2089" s="4" t="n">
        <v>98</v>
      </c>
      <c r="B2089" s="4" t="s">
        <v>2623</v>
      </c>
      <c r="C2089" s="4" t="s">
        <v>449</v>
      </c>
      <c r="D2089" s="4" t="s">
        <v>3500</v>
      </c>
      <c r="E2089" s="4"/>
      <c r="F2089" s="4" t="s">
        <v>2637</v>
      </c>
    </row>
    <row r="2090" customFormat="false" ht="229.85" hidden="false" customHeight="false" outlineLevel="0" collapsed="false">
      <c r="A2090" s="4" t="n">
        <v>98</v>
      </c>
      <c r="B2090" s="4" t="s">
        <v>2623</v>
      </c>
      <c r="C2090" s="4" t="s">
        <v>450</v>
      </c>
      <c r="D2090" s="4" t="s">
        <v>3501</v>
      </c>
      <c r="E2090" s="4"/>
      <c r="F2090" s="4" t="s">
        <v>2652</v>
      </c>
    </row>
    <row r="2091" customFormat="false" ht="364.15" hidden="false" customHeight="false" outlineLevel="0" collapsed="false">
      <c r="A2091" s="4" t="n">
        <v>99</v>
      </c>
      <c r="B2091" s="4" t="s">
        <v>2653</v>
      </c>
      <c r="C2091" s="4" t="s">
        <v>380</v>
      </c>
      <c r="D2091" s="4" t="s">
        <v>3474</v>
      </c>
      <c r="E2091" s="4" t="s">
        <v>3713</v>
      </c>
      <c r="F2091" s="4" t="s">
        <v>2658</v>
      </c>
    </row>
    <row r="2092" customFormat="false" ht="28.35" hidden="false" customHeight="false" outlineLevel="0" collapsed="false">
      <c r="A2092" s="4" t="n">
        <v>99</v>
      </c>
      <c r="B2092" s="4" t="s">
        <v>2653</v>
      </c>
      <c r="C2092" s="4" t="s">
        <v>397</v>
      </c>
      <c r="D2092" s="4" t="s">
        <v>3553</v>
      </c>
      <c r="E2092" s="4"/>
      <c r="F2092" s="4" t="n">
        <v>0.43181</v>
      </c>
    </row>
    <row r="2093" customFormat="false" ht="28.35" hidden="false" customHeight="false" outlineLevel="0" collapsed="false">
      <c r="A2093" s="4" t="n">
        <v>99</v>
      </c>
      <c r="B2093" s="4" t="s">
        <v>2653</v>
      </c>
      <c r="C2093" s="4" t="s">
        <v>398</v>
      </c>
      <c r="D2093" s="4" t="s">
        <v>3554</v>
      </c>
      <c r="E2093" s="4"/>
      <c r="F2093" s="4" t="n">
        <v>2026</v>
      </c>
    </row>
    <row r="2094" customFormat="false" ht="28.35" hidden="false" customHeight="false" outlineLevel="0" collapsed="false">
      <c r="A2094" s="4" t="n">
        <v>99</v>
      </c>
      <c r="B2094" s="4" t="s">
        <v>2653</v>
      </c>
      <c r="C2094" s="4" t="s">
        <v>399</v>
      </c>
      <c r="D2094" s="4" t="s">
        <v>3555</v>
      </c>
      <c r="E2094" s="4"/>
      <c r="F2094" s="4" t="s">
        <v>2030</v>
      </c>
    </row>
    <row r="2095" customFormat="false" ht="41.75" hidden="false" customHeight="false" outlineLevel="0" collapsed="false">
      <c r="A2095" s="4" t="n">
        <v>99</v>
      </c>
      <c r="B2095" s="4" t="s">
        <v>2653</v>
      </c>
      <c r="C2095" s="4" t="s">
        <v>400</v>
      </c>
      <c r="D2095" s="4" t="s">
        <v>3556</v>
      </c>
      <c r="E2095" s="4"/>
      <c r="F2095" s="4" t="s">
        <v>2661</v>
      </c>
    </row>
    <row r="2096" customFormat="false" ht="41.75" hidden="false" customHeight="false" outlineLevel="0" collapsed="false">
      <c r="A2096" s="4" t="n">
        <v>99</v>
      </c>
      <c r="B2096" s="4" t="s">
        <v>2653</v>
      </c>
      <c r="C2096" s="4" t="s">
        <v>401</v>
      </c>
      <c r="D2096" s="4" t="s">
        <v>3557</v>
      </c>
      <c r="E2096" s="4"/>
      <c r="F2096" s="4" t="s">
        <v>2662</v>
      </c>
    </row>
    <row r="2097" customFormat="false" ht="28.35" hidden="false" customHeight="false" outlineLevel="0" collapsed="false">
      <c r="A2097" s="4" t="n">
        <v>99</v>
      </c>
      <c r="B2097" s="4" t="s">
        <v>2653</v>
      </c>
      <c r="C2097" s="4" t="s">
        <v>402</v>
      </c>
      <c r="D2097" s="4" t="s">
        <v>3508</v>
      </c>
      <c r="E2097" s="4" t="s">
        <v>2574</v>
      </c>
      <c r="F2097" s="4" t="s">
        <v>2033</v>
      </c>
    </row>
    <row r="2098" customFormat="false" ht="41.75" hidden="false" customHeight="false" outlineLevel="0" collapsed="false">
      <c r="A2098" s="4" t="n">
        <v>99</v>
      </c>
      <c r="B2098" s="4" t="s">
        <v>2653</v>
      </c>
      <c r="C2098" s="4" t="s">
        <v>403</v>
      </c>
      <c r="D2098" s="4" t="s">
        <v>3481</v>
      </c>
      <c r="E2098" s="4" t="s">
        <v>3645</v>
      </c>
      <c r="F2098" s="4" t="s">
        <v>2604</v>
      </c>
    </row>
    <row r="2099" customFormat="false" ht="28.35" hidden="false" customHeight="false" outlineLevel="0" collapsed="false">
      <c r="A2099" s="4" t="n">
        <v>99</v>
      </c>
      <c r="B2099" s="4" t="s">
        <v>2653</v>
      </c>
      <c r="C2099" s="4" t="s">
        <v>16</v>
      </c>
      <c r="D2099" s="4" t="s">
        <v>3487</v>
      </c>
      <c r="E2099" s="4" t="n">
        <v>12</v>
      </c>
      <c r="F2099" s="4" t="n">
        <v>40</v>
      </c>
    </row>
    <row r="2100" customFormat="false" ht="55.2" hidden="false" customHeight="false" outlineLevel="0" collapsed="false">
      <c r="A2100" s="4" t="n">
        <v>99</v>
      </c>
      <c r="B2100" s="4" t="s">
        <v>2653</v>
      </c>
      <c r="C2100" s="4" t="s">
        <v>405</v>
      </c>
      <c r="D2100" s="4" t="s">
        <v>3489</v>
      </c>
      <c r="E2100" s="4" t="s">
        <v>3714</v>
      </c>
      <c r="F2100" s="4" t="s">
        <v>2663</v>
      </c>
    </row>
    <row r="2101" customFormat="false" ht="28.35" hidden="false" customHeight="false" outlineLevel="0" collapsed="false">
      <c r="A2101" s="4" t="n">
        <v>99</v>
      </c>
      <c r="B2101" s="4" t="s">
        <v>2653</v>
      </c>
      <c r="C2101" s="4" t="s">
        <v>406</v>
      </c>
      <c r="D2101" s="4" t="s">
        <v>3490</v>
      </c>
      <c r="E2101" s="4" t="s">
        <v>2660</v>
      </c>
      <c r="F2101" s="4" t="s">
        <v>2664</v>
      </c>
    </row>
    <row r="2102" customFormat="false" ht="55.2" hidden="false" customHeight="false" outlineLevel="0" collapsed="false">
      <c r="A2102" s="4" t="n">
        <v>99</v>
      </c>
      <c r="B2102" s="4" t="s">
        <v>2653</v>
      </c>
      <c r="C2102" s="4" t="s">
        <v>407</v>
      </c>
      <c r="D2102" s="4" t="s">
        <v>3485</v>
      </c>
      <c r="E2102" s="4" t="s">
        <v>3715</v>
      </c>
      <c r="F2102" s="4" t="s">
        <v>2665</v>
      </c>
    </row>
    <row r="2103" customFormat="false" ht="95.5" hidden="false" customHeight="false" outlineLevel="0" collapsed="false">
      <c r="A2103" s="4" t="n">
        <v>99</v>
      </c>
      <c r="B2103" s="4" t="s">
        <v>2653</v>
      </c>
      <c r="C2103" s="4" t="s">
        <v>419</v>
      </c>
      <c r="D2103" s="4" t="s">
        <v>3534</v>
      </c>
      <c r="E2103" s="4"/>
      <c r="F2103" s="4" t="s">
        <v>3716</v>
      </c>
    </row>
    <row r="2104" customFormat="false" ht="283.55" hidden="false" customHeight="false" outlineLevel="0" collapsed="false">
      <c r="A2104" s="4" t="n">
        <v>99</v>
      </c>
      <c r="B2104" s="4" t="s">
        <v>2653</v>
      </c>
      <c r="C2104" s="4" t="s">
        <v>419</v>
      </c>
      <c r="D2104" s="4" t="s">
        <v>3534</v>
      </c>
      <c r="E2104" s="4" t="s">
        <v>3716</v>
      </c>
      <c r="F2104" s="4" t="s">
        <v>2672</v>
      </c>
    </row>
    <row r="2105" customFormat="false" ht="28.35" hidden="false" customHeight="false" outlineLevel="0" collapsed="false">
      <c r="A2105" s="4" t="n">
        <v>99</v>
      </c>
      <c r="B2105" s="4" t="s">
        <v>2653</v>
      </c>
      <c r="C2105" s="4" t="s">
        <v>420</v>
      </c>
      <c r="D2105" s="4" t="s">
        <v>3647</v>
      </c>
      <c r="E2105" s="4"/>
      <c r="F2105" s="4" t="n">
        <v>2.237818</v>
      </c>
    </row>
    <row r="2106" customFormat="false" ht="28.35" hidden="false" customHeight="false" outlineLevel="0" collapsed="false">
      <c r="A2106" s="4" t="n">
        <v>99</v>
      </c>
      <c r="B2106" s="4" t="s">
        <v>2653</v>
      </c>
      <c r="C2106" s="4" t="s">
        <v>421</v>
      </c>
      <c r="D2106" s="4" t="s">
        <v>3558</v>
      </c>
      <c r="E2106" s="4"/>
      <c r="F2106" s="4" t="n">
        <v>1.601418</v>
      </c>
    </row>
    <row r="2107" customFormat="false" ht="28.35" hidden="false" customHeight="false" outlineLevel="0" collapsed="false">
      <c r="A2107" s="4" t="n">
        <v>99</v>
      </c>
      <c r="B2107" s="4" t="s">
        <v>2653</v>
      </c>
      <c r="C2107" s="4" t="s">
        <v>422</v>
      </c>
      <c r="D2107" s="4" t="s">
        <v>3648</v>
      </c>
      <c r="E2107" s="4"/>
      <c r="F2107" s="4" t="n">
        <v>1.601418</v>
      </c>
    </row>
    <row r="2108" customFormat="false" ht="41.75" hidden="false" customHeight="false" outlineLevel="0" collapsed="false">
      <c r="A2108" s="4" t="n">
        <v>99</v>
      </c>
      <c r="B2108" s="4" t="s">
        <v>2653</v>
      </c>
      <c r="C2108" s="4" t="s">
        <v>423</v>
      </c>
      <c r="D2108" s="4" t="s">
        <v>3559</v>
      </c>
      <c r="E2108" s="4"/>
      <c r="F2108" s="4" t="s">
        <v>2045</v>
      </c>
    </row>
    <row r="2109" customFormat="false" ht="28.35" hidden="false" customHeight="false" outlineLevel="0" collapsed="false">
      <c r="A2109" s="4" t="n">
        <v>99</v>
      </c>
      <c r="B2109" s="4" t="s">
        <v>2653</v>
      </c>
      <c r="C2109" s="4" t="s">
        <v>424</v>
      </c>
      <c r="D2109" s="4" t="s">
        <v>3560</v>
      </c>
      <c r="E2109" s="4"/>
      <c r="F2109" s="4" t="s">
        <v>2046</v>
      </c>
    </row>
    <row r="2110" customFormat="false" ht="41.75" hidden="false" customHeight="false" outlineLevel="0" collapsed="false">
      <c r="A2110" s="4" t="n">
        <v>99</v>
      </c>
      <c r="B2110" s="4" t="s">
        <v>2653</v>
      </c>
      <c r="C2110" s="4" t="s">
        <v>425</v>
      </c>
      <c r="D2110" s="4" t="s">
        <v>3561</v>
      </c>
      <c r="E2110" s="4"/>
      <c r="F2110" s="4" t="s">
        <v>2673</v>
      </c>
    </row>
    <row r="2111" customFormat="false" ht="82.05" hidden="false" customHeight="false" outlineLevel="0" collapsed="false">
      <c r="A2111" s="4" t="n">
        <v>99</v>
      </c>
      <c r="B2111" s="4" t="s">
        <v>2653</v>
      </c>
      <c r="C2111" s="4" t="s">
        <v>426</v>
      </c>
      <c r="D2111" s="4" t="s">
        <v>3562</v>
      </c>
      <c r="E2111" s="4"/>
      <c r="F2111" s="4" t="s">
        <v>2674</v>
      </c>
    </row>
    <row r="2112" customFormat="false" ht="28.35" hidden="false" customHeight="false" outlineLevel="0" collapsed="false">
      <c r="A2112" s="4" t="n">
        <v>99</v>
      </c>
      <c r="B2112" s="4" t="s">
        <v>2653</v>
      </c>
      <c r="C2112" s="4" t="s">
        <v>427</v>
      </c>
      <c r="D2112" s="4" t="s">
        <v>3464</v>
      </c>
      <c r="E2112" s="4"/>
      <c r="F2112" s="4" t="s">
        <v>24</v>
      </c>
    </row>
    <row r="2113" customFormat="false" ht="28.35" hidden="false" customHeight="false" outlineLevel="0" collapsed="false">
      <c r="A2113" s="4" t="n">
        <v>99</v>
      </c>
      <c r="B2113" s="4" t="s">
        <v>2653</v>
      </c>
      <c r="C2113" s="4" t="s">
        <v>428</v>
      </c>
      <c r="D2113" s="4" t="s">
        <v>3465</v>
      </c>
      <c r="E2113" s="4"/>
      <c r="F2113" s="4" t="s">
        <v>30</v>
      </c>
    </row>
    <row r="2114" customFormat="false" ht="28.35" hidden="false" customHeight="false" outlineLevel="0" collapsed="false">
      <c r="A2114" s="4" t="n">
        <v>99</v>
      </c>
      <c r="B2114" s="4" t="s">
        <v>2653</v>
      </c>
      <c r="C2114" s="4" t="s">
        <v>429</v>
      </c>
      <c r="D2114" s="4" t="s">
        <v>3466</v>
      </c>
      <c r="E2114" s="4"/>
      <c r="F2114" s="4" t="s">
        <v>37</v>
      </c>
    </row>
    <row r="2115" customFormat="false" ht="28.35" hidden="false" customHeight="false" outlineLevel="0" collapsed="false">
      <c r="A2115" s="4" t="n">
        <v>99</v>
      </c>
      <c r="B2115" s="4" t="s">
        <v>2653</v>
      </c>
      <c r="C2115" s="4" t="s">
        <v>430</v>
      </c>
      <c r="D2115" s="4" t="s">
        <v>3467</v>
      </c>
      <c r="E2115" s="4"/>
      <c r="F2115" s="4" t="s">
        <v>2185</v>
      </c>
    </row>
    <row r="2116" customFormat="false" ht="28.35" hidden="false" customHeight="false" outlineLevel="0" collapsed="false">
      <c r="A2116" s="4" t="n">
        <v>99</v>
      </c>
      <c r="B2116" s="4" t="s">
        <v>2653</v>
      </c>
      <c r="C2116" s="4" t="s">
        <v>431</v>
      </c>
      <c r="D2116" s="4" t="s">
        <v>3468</v>
      </c>
      <c r="E2116" s="4"/>
      <c r="F2116" s="4" t="s">
        <v>484</v>
      </c>
    </row>
    <row r="2117" customFormat="false" ht="28.35" hidden="false" customHeight="false" outlineLevel="0" collapsed="false">
      <c r="A2117" s="4" t="n">
        <v>99</v>
      </c>
      <c r="B2117" s="4" t="s">
        <v>2653</v>
      </c>
      <c r="C2117" s="4" t="s">
        <v>432</v>
      </c>
      <c r="D2117" s="4" t="s">
        <v>3469</v>
      </c>
      <c r="E2117" s="4"/>
      <c r="F2117" s="4" t="s">
        <v>524</v>
      </c>
    </row>
    <row r="2118" customFormat="false" ht="28.35" hidden="false" customHeight="false" outlineLevel="0" collapsed="false">
      <c r="A2118" s="4" t="n">
        <v>99</v>
      </c>
      <c r="B2118" s="4" t="s">
        <v>2653</v>
      </c>
      <c r="C2118" s="4" t="s">
        <v>433</v>
      </c>
      <c r="D2118" s="4" t="s">
        <v>3470</v>
      </c>
      <c r="E2118" s="4"/>
      <c r="F2118" s="4" t="s">
        <v>2186</v>
      </c>
    </row>
    <row r="2119" customFormat="false" ht="28.35" hidden="false" customHeight="false" outlineLevel="0" collapsed="false">
      <c r="A2119" s="4" t="n">
        <v>99</v>
      </c>
      <c r="B2119" s="4" t="s">
        <v>2653</v>
      </c>
      <c r="C2119" s="4" t="s">
        <v>434</v>
      </c>
      <c r="D2119" s="4" t="s">
        <v>3482</v>
      </c>
      <c r="E2119" s="4"/>
      <c r="F2119" s="4" t="s">
        <v>2187</v>
      </c>
    </row>
    <row r="2120" customFormat="false" ht="28.35" hidden="false" customHeight="false" outlineLevel="0" collapsed="false">
      <c r="A2120" s="4" t="n">
        <v>99</v>
      </c>
      <c r="B2120" s="4" t="s">
        <v>2653</v>
      </c>
      <c r="C2120" s="4" t="s">
        <v>435</v>
      </c>
      <c r="D2120" s="4" t="s">
        <v>3510</v>
      </c>
      <c r="E2120" s="4"/>
      <c r="F2120" s="4" t="s">
        <v>150</v>
      </c>
    </row>
    <row r="2121" customFormat="false" ht="28.35" hidden="false" customHeight="false" outlineLevel="0" collapsed="false">
      <c r="A2121" s="4" t="n">
        <v>99</v>
      </c>
      <c r="B2121" s="4" t="s">
        <v>2653</v>
      </c>
      <c r="C2121" s="4" t="s">
        <v>436</v>
      </c>
      <c r="D2121" s="4" t="s">
        <v>3471</v>
      </c>
      <c r="E2121" s="4"/>
      <c r="F2121" s="4" t="s">
        <v>149</v>
      </c>
    </row>
    <row r="2122" customFormat="false" ht="28.35" hidden="false" customHeight="false" outlineLevel="0" collapsed="false">
      <c r="A2122" s="4" t="n">
        <v>99</v>
      </c>
      <c r="B2122" s="4" t="s">
        <v>2653</v>
      </c>
      <c r="C2122" s="4" t="s">
        <v>437</v>
      </c>
      <c r="D2122" s="4" t="s">
        <v>3472</v>
      </c>
      <c r="E2122" s="4"/>
      <c r="F2122" s="4" t="n">
        <v>11</v>
      </c>
    </row>
    <row r="2123" customFormat="false" ht="28.35" hidden="false" customHeight="false" outlineLevel="0" collapsed="false">
      <c r="A2123" s="4" t="n">
        <v>99</v>
      </c>
      <c r="B2123" s="4" t="s">
        <v>2653</v>
      </c>
      <c r="C2123" s="4" t="s">
        <v>440</v>
      </c>
      <c r="D2123" s="4" t="s">
        <v>3491</v>
      </c>
      <c r="E2123" s="4"/>
      <c r="F2123" s="4" t="n">
        <v>21</v>
      </c>
    </row>
    <row r="2124" customFormat="false" ht="28.35" hidden="false" customHeight="false" outlineLevel="0" collapsed="false">
      <c r="A2124" s="4" t="n">
        <v>99</v>
      </c>
      <c r="B2124" s="4" t="s">
        <v>2653</v>
      </c>
      <c r="C2124" s="4" t="s">
        <v>441</v>
      </c>
      <c r="D2124" s="4" t="s">
        <v>3492</v>
      </c>
      <c r="E2124" s="4"/>
      <c r="F2124" s="4" t="n">
        <v>18</v>
      </c>
    </row>
    <row r="2125" customFormat="false" ht="28.35" hidden="false" customHeight="false" outlineLevel="0" collapsed="false">
      <c r="A2125" s="4" t="n">
        <v>99</v>
      </c>
      <c r="B2125" s="4" t="s">
        <v>2653</v>
      </c>
      <c r="C2125" s="4" t="s">
        <v>442</v>
      </c>
      <c r="D2125" s="4" t="s">
        <v>3493</v>
      </c>
      <c r="E2125" s="4"/>
      <c r="F2125" s="4" t="n">
        <v>0</v>
      </c>
    </row>
    <row r="2126" customFormat="false" ht="28.35" hidden="false" customHeight="false" outlineLevel="0" collapsed="false">
      <c r="A2126" s="4" t="n">
        <v>99</v>
      </c>
      <c r="B2126" s="4" t="s">
        <v>2653</v>
      </c>
      <c r="C2126" s="4" t="s">
        <v>443</v>
      </c>
      <c r="D2126" s="4" t="s">
        <v>3494</v>
      </c>
      <c r="E2126" s="4"/>
      <c r="F2126" s="4" t="n">
        <v>39</v>
      </c>
    </row>
    <row r="2127" customFormat="false" ht="28.35" hidden="false" customHeight="false" outlineLevel="0" collapsed="false">
      <c r="A2127" s="4" t="n">
        <v>99</v>
      </c>
      <c r="B2127" s="4" t="s">
        <v>2653</v>
      </c>
      <c r="C2127" s="4" t="s">
        <v>445</v>
      </c>
      <c r="D2127" s="4" t="s">
        <v>3496</v>
      </c>
      <c r="E2127" s="4"/>
      <c r="F2127" s="4" t="n">
        <v>1</v>
      </c>
    </row>
    <row r="2128" customFormat="false" ht="28.35" hidden="false" customHeight="false" outlineLevel="0" collapsed="false">
      <c r="A2128" s="4" t="n">
        <v>99</v>
      </c>
      <c r="B2128" s="4" t="s">
        <v>2653</v>
      </c>
      <c r="C2128" s="4" t="s">
        <v>447</v>
      </c>
      <c r="D2128" s="4" t="s">
        <v>3498</v>
      </c>
      <c r="E2128" s="4"/>
      <c r="F2128" s="4" t="s">
        <v>2675</v>
      </c>
    </row>
    <row r="2129" customFormat="false" ht="108.95" hidden="false" customHeight="false" outlineLevel="0" collapsed="false">
      <c r="A2129" s="4" t="n">
        <v>99</v>
      </c>
      <c r="B2129" s="4" t="s">
        <v>2653</v>
      </c>
      <c r="C2129" s="4" t="s">
        <v>448</v>
      </c>
      <c r="D2129" s="4" t="s">
        <v>3499</v>
      </c>
      <c r="E2129" s="4"/>
      <c r="F2129" s="4" t="s">
        <v>2676</v>
      </c>
    </row>
    <row r="2130" customFormat="false" ht="28.35" hidden="false" customHeight="false" outlineLevel="0" collapsed="false">
      <c r="A2130" s="4" t="n">
        <v>99</v>
      </c>
      <c r="B2130" s="4" t="s">
        <v>2653</v>
      </c>
      <c r="C2130" s="4" t="s">
        <v>449</v>
      </c>
      <c r="D2130" s="4" t="s">
        <v>3500</v>
      </c>
      <c r="E2130" s="4"/>
      <c r="F2130" s="4" t="s">
        <v>2664</v>
      </c>
    </row>
    <row r="2131" customFormat="false" ht="162.65" hidden="false" customHeight="false" outlineLevel="0" collapsed="false">
      <c r="A2131" s="4" t="n">
        <v>99</v>
      </c>
      <c r="B2131" s="4" t="s">
        <v>2653</v>
      </c>
      <c r="C2131" s="4" t="s">
        <v>450</v>
      </c>
      <c r="D2131" s="4" t="s">
        <v>3501</v>
      </c>
      <c r="E2131" s="4"/>
      <c r="F2131" s="4" t="s">
        <v>2677</v>
      </c>
    </row>
    <row r="2132" customFormat="false" ht="82.05" hidden="false" customHeight="false" outlineLevel="0" collapsed="false">
      <c r="A2132" s="4" t="n">
        <v>100</v>
      </c>
      <c r="B2132" s="4" t="s">
        <v>2678</v>
      </c>
      <c r="C2132" s="4" t="s">
        <v>374</v>
      </c>
      <c r="D2132" s="4" t="s">
        <v>3616</v>
      </c>
      <c r="E2132" s="4" t="s">
        <v>3717</v>
      </c>
      <c r="F2132" s="4" t="s">
        <v>2685</v>
      </c>
    </row>
    <row r="2133" customFormat="false" ht="337.3" hidden="false" customHeight="false" outlineLevel="0" collapsed="false">
      <c r="A2133" s="4" t="n">
        <v>100</v>
      </c>
      <c r="B2133" s="4" t="s">
        <v>2678</v>
      </c>
      <c r="C2133" s="4" t="s">
        <v>380</v>
      </c>
      <c r="D2133" s="4" t="s">
        <v>3474</v>
      </c>
      <c r="E2133" s="4" t="s">
        <v>3718</v>
      </c>
      <c r="F2133" s="4" t="s">
        <v>2686</v>
      </c>
    </row>
    <row r="2134" customFormat="false" ht="28.35" hidden="false" customHeight="false" outlineLevel="0" collapsed="false">
      <c r="A2134" s="4" t="n">
        <v>100</v>
      </c>
      <c r="B2134" s="4" t="s">
        <v>2678</v>
      </c>
      <c r="C2134" s="4" t="s">
        <v>397</v>
      </c>
      <c r="D2134" s="4" t="s">
        <v>3553</v>
      </c>
      <c r="E2134" s="4"/>
      <c r="F2134" s="4" t="n">
        <v>0</v>
      </c>
    </row>
    <row r="2135" customFormat="false" ht="15" hidden="false" customHeight="false" outlineLevel="0" collapsed="false">
      <c r="A2135" s="4" t="n">
        <v>100</v>
      </c>
      <c r="B2135" s="4" t="s">
        <v>2678</v>
      </c>
      <c r="C2135" s="4" t="s">
        <v>398</v>
      </c>
      <c r="D2135" s="4" t="s">
        <v>3554</v>
      </c>
      <c r="E2135" s="4"/>
      <c r="F2135" s="4" t="n">
        <v>2026</v>
      </c>
    </row>
    <row r="2136" customFormat="false" ht="15" hidden="false" customHeight="false" outlineLevel="0" collapsed="false">
      <c r="A2136" s="4" t="n">
        <v>100</v>
      </c>
      <c r="B2136" s="4" t="s">
        <v>2678</v>
      </c>
      <c r="C2136" s="4" t="s">
        <v>399</v>
      </c>
      <c r="D2136" s="4" t="s">
        <v>3555</v>
      </c>
      <c r="E2136" s="4"/>
      <c r="F2136" s="4" t="s">
        <v>2030</v>
      </c>
    </row>
    <row r="2137" customFormat="false" ht="41.75" hidden="false" customHeight="false" outlineLevel="0" collapsed="false">
      <c r="A2137" s="4" t="n">
        <v>100</v>
      </c>
      <c r="B2137" s="4" t="s">
        <v>2678</v>
      </c>
      <c r="C2137" s="4" t="s">
        <v>400</v>
      </c>
      <c r="D2137" s="4" t="s">
        <v>3556</v>
      </c>
      <c r="E2137" s="4"/>
      <c r="F2137" s="4" t="s">
        <v>2689</v>
      </c>
    </row>
    <row r="2138" customFormat="false" ht="41.75" hidden="false" customHeight="false" outlineLevel="0" collapsed="false">
      <c r="A2138" s="4" t="n">
        <v>100</v>
      </c>
      <c r="B2138" s="4" t="s">
        <v>2678</v>
      </c>
      <c r="C2138" s="4" t="s">
        <v>401</v>
      </c>
      <c r="D2138" s="4" t="s">
        <v>3557</v>
      </c>
      <c r="E2138" s="4"/>
      <c r="F2138" s="4" t="s">
        <v>2690</v>
      </c>
    </row>
    <row r="2139" customFormat="false" ht="28.35" hidden="false" customHeight="false" outlineLevel="0" collapsed="false">
      <c r="A2139" s="4" t="n">
        <v>100</v>
      </c>
      <c r="B2139" s="4" t="s">
        <v>2678</v>
      </c>
      <c r="C2139" s="4" t="s">
        <v>402</v>
      </c>
      <c r="D2139" s="4" t="s">
        <v>3508</v>
      </c>
      <c r="E2139" s="4" t="s">
        <v>2574</v>
      </c>
      <c r="F2139" s="4" t="s">
        <v>2691</v>
      </c>
    </row>
    <row r="2140" customFormat="false" ht="41.75" hidden="false" customHeight="false" outlineLevel="0" collapsed="false">
      <c r="A2140" s="4" t="n">
        <v>100</v>
      </c>
      <c r="B2140" s="4" t="s">
        <v>2678</v>
      </c>
      <c r="C2140" s="4" t="s">
        <v>403</v>
      </c>
      <c r="D2140" s="4" t="s">
        <v>3481</v>
      </c>
      <c r="E2140" s="4" t="s">
        <v>3645</v>
      </c>
      <c r="F2140" s="4" t="s">
        <v>2692</v>
      </c>
    </row>
    <row r="2141" customFormat="false" ht="15" hidden="false" customHeight="false" outlineLevel="0" collapsed="false">
      <c r="A2141" s="4" t="n">
        <v>100</v>
      </c>
      <c r="B2141" s="4" t="s">
        <v>2678</v>
      </c>
      <c r="C2141" s="4" t="s">
        <v>16</v>
      </c>
      <c r="D2141" s="4" t="s">
        <v>3487</v>
      </c>
      <c r="E2141" s="4" t="n">
        <v>39</v>
      </c>
      <c r="F2141" s="4" t="n">
        <v>391</v>
      </c>
    </row>
    <row r="2142" customFormat="false" ht="68.65" hidden="false" customHeight="false" outlineLevel="0" collapsed="false">
      <c r="A2142" s="4" t="n">
        <v>100</v>
      </c>
      <c r="B2142" s="4" t="s">
        <v>2678</v>
      </c>
      <c r="C2142" s="4" t="s">
        <v>405</v>
      </c>
      <c r="D2142" s="4" t="s">
        <v>3489</v>
      </c>
      <c r="E2142" s="4" t="s">
        <v>3719</v>
      </c>
      <c r="F2142" s="4" t="s">
        <v>2693</v>
      </c>
    </row>
    <row r="2143" customFormat="false" ht="28.35" hidden="false" customHeight="false" outlineLevel="0" collapsed="false">
      <c r="A2143" s="4" t="n">
        <v>100</v>
      </c>
      <c r="B2143" s="4" t="s">
        <v>2678</v>
      </c>
      <c r="C2143" s="4" t="s">
        <v>406</v>
      </c>
      <c r="D2143" s="4" t="s">
        <v>3490</v>
      </c>
      <c r="E2143" s="4" t="s">
        <v>2688</v>
      </c>
      <c r="F2143" s="4" t="s">
        <v>2694</v>
      </c>
    </row>
    <row r="2144" customFormat="false" ht="55.2" hidden="false" customHeight="false" outlineLevel="0" collapsed="false">
      <c r="A2144" s="4" t="n">
        <v>100</v>
      </c>
      <c r="B2144" s="4" t="s">
        <v>2678</v>
      </c>
      <c r="C2144" s="4" t="s">
        <v>407</v>
      </c>
      <c r="D2144" s="4" t="s">
        <v>3485</v>
      </c>
      <c r="E2144" s="4" t="s">
        <v>3720</v>
      </c>
      <c r="F2144" s="4" t="s">
        <v>2695</v>
      </c>
    </row>
    <row r="2145" customFormat="false" ht="28.35" hidden="false" customHeight="false" outlineLevel="0" collapsed="false">
      <c r="A2145" s="4" t="n">
        <v>100</v>
      </c>
      <c r="B2145" s="4" t="s">
        <v>2678</v>
      </c>
      <c r="C2145" s="4" t="s">
        <v>417</v>
      </c>
      <c r="D2145" s="4" t="s">
        <v>3654</v>
      </c>
      <c r="E2145" s="4"/>
      <c r="F2145" s="4" t="n">
        <v>16.092232</v>
      </c>
    </row>
    <row r="2146" customFormat="false" ht="28.35" hidden="false" customHeight="false" outlineLevel="0" collapsed="false">
      <c r="A2146" s="4" t="n">
        <v>100</v>
      </c>
      <c r="B2146" s="4" t="s">
        <v>2678</v>
      </c>
      <c r="C2146" s="4" t="s">
        <v>418</v>
      </c>
      <c r="D2146" s="4" t="s">
        <v>3655</v>
      </c>
      <c r="E2146" s="4"/>
      <c r="F2146" s="4" t="s">
        <v>2700</v>
      </c>
    </row>
    <row r="2147" customFormat="false" ht="108.95" hidden="false" customHeight="false" outlineLevel="0" collapsed="false">
      <c r="A2147" s="4" t="n">
        <v>100</v>
      </c>
      <c r="B2147" s="4" t="s">
        <v>2678</v>
      </c>
      <c r="C2147" s="4" t="s">
        <v>419</v>
      </c>
      <c r="D2147" s="4" t="s">
        <v>3534</v>
      </c>
      <c r="E2147" s="4"/>
      <c r="F2147" s="4" t="s">
        <v>3721</v>
      </c>
    </row>
    <row r="2148" customFormat="false" ht="270.1" hidden="false" customHeight="false" outlineLevel="0" collapsed="false">
      <c r="A2148" s="4" t="n">
        <v>100</v>
      </c>
      <c r="B2148" s="4" t="s">
        <v>2678</v>
      </c>
      <c r="C2148" s="4" t="s">
        <v>419</v>
      </c>
      <c r="D2148" s="4" t="s">
        <v>3534</v>
      </c>
      <c r="E2148" s="4" t="s">
        <v>3721</v>
      </c>
      <c r="F2148" s="4" t="s">
        <v>2701</v>
      </c>
    </row>
    <row r="2149" customFormat="false" ht="28.35" hidden="false" customHeight="false" outlineLevel="0" collapsed="false">
      <c r="A2149" s="4" t="n">
        <v>100</v>
      </c>
      <c r="B2149" s="4" t="s">
        <v>2678</v>
      </c>
      <c r="C2149" s="4" t="s">
        <v>420</v>
      </c>
      <c r="D2149" s="4" t="s">
        <v>3647</v>
      </c>
      <c r="E2149" s="4"/>
      <c r="F2149" s="4" t="n">
        <v>9.033225</v>
      </c>
    </row>
    <row r="2150" customFormat="false" ht="28.35" hidden="false" customHeight="false" outlineLevel="0" collapsed="false">
      <c r="A2150" s="4" t="n">
        <v>100</v>
      </c>
      <c r="B2150" s="4" t="s">
        <v>2678</v>
      </c>
      <c r="C2150" s="4" t="s">
        <v>421</v>
      </c>
      <c r="D2150" s="4" t="s">
        <v>3558</v>
      </c>
      <c r="E2150" s="4"/>
      <c r="F2150" s="4" t="n">
        <v>0</v>
      </c>
    </row>
    <row r="2151" customFormat="false" ht="28.35" hidden="false" customHeight="false" outlineLevel="0" collapsed="false">
      <c r="A2151" s="4" t="n">
        <v>100</v>
      </c>
      <c r="B2151" s="4" t="s">
        <v>2678</v>
      </c>
      <c r="C2151" s="4" t="s">
        <v>422</v>
      </c>
      <c r="D2151" s="4" t="s">
        <v>3648</v>
      </c>
      <c r="E2151" s="4"/>
      <c r="F2151" s="4" t="n">
        <v>0</v>
      </c>
    </row>
    <row r="2152" customFormat="false" ht="41.75" hidden="false" customHeight="false" outlineLevel="0" collapsed="false">
      <c r="A2152" s="4" t="n">
        <v>100</v>
      </c>
      <c r="B2152" s="4" t="s">
        <v>2678</v>
      </c>
      <c r="C2152" s="4" t="s">
        <v>423</v>
      </c>
      <c r="D2152" s="4" t="s">
        <v>3559</v>
      </c>
      <c r="E2152" s="4"/>
      <c r="F2152" s="4" t="s">
        <v>2045</v>
      </c>
    </row>
    <row r="2153" customFormat="false" ht="41.75" hidden="false" customHeight="false" outlineLevel="0" collapsed="false">
      <c r="A2153" s="4" t="n">
        <v>100</v>
      </c>
      <c r="B2153" s="4" t="s">
        <v>2678</v>
      </c>
      <c r="C2153" s="4" t="s">
        <v>424</v>
      </c>
      <c r="D2153" s="4" t="s">
        <v>3560</v>
      </c>
      <c r="E2153" s="4"/>
      <c r="F2153" s="4" t="s">
        <v>2702</v>
      </c>
    </row>
    <row r="2154" customFormat="false" ht="41.75" hidden="false" customHeight="false" outlineLevel="0" collapsed="false">
      <c r="A2154" s="4" t="n">
        <v>100</v>
      </c>
      <c r="B2154" s="4" t="s">
        <v>2678</v>
      </c>
      <c r="C2154" s="4" t="s">
        <v>425</v>
      </c>
      <c r="D2154" s="4" t="s">
        <v>3561</v>
      </c>
      <c r="E2154" s="4"/>
      <c r="F2154" s="4" t="s">
        <v>2703</v>
      </c>
    </row>
    <row r="2155" customFormat="false" ht="108.95" hidden="false" customHeight="false" outlineLevel="0" collapsed="false">
      <c r="A2155" s="4" t="n">
        <v>100</v>
      </c>
      <c r="B2155" s="4" t="s">
        <v>2678</v>
      </c>
      <c r="C2155" s="4" t="s">
        <v>426</v>
      </c>
      <c r="D2155" s="4" t="s">
        <v>3562</v>
      </c>
      <c r="E2155" s="4"/>
      <c r="F2155" s="4" t="s">
        <v>2704</v>
      </c>
    </row>
    <row r="2156" customFormat="false" ht="15" hidden="false" customHeight="false" outlineLevel="0" collapsed="false">
      <c r="A2156" s="4" t="n">
        <v>100</v>
      </c>
      <c r="B2156" s="4" t="s">
        <v>2678</v>
      </c>
      <c r="C2156" s="4" t="s">
        <v>427</v>
      </c>
      <c r="D2156" s="4" t="s">
        <v>3464</v>
      </c>
      <c r="E2156" s="4"/>
      <c r="F2156" s="4" t="s">
        <v>24</v>
      </c>
    </row>
    <row r="2157" customFormat="false" ht="15" hidden="false" customHeight="false" outlineLevel="0" collapsed="false">
      <c r="A2157" s="4" t="n">
        <v>100</v>
      </c>
      <c r="B2157" s="4" t="s">
        <v>2678</v>
      </c>
      <c r="C2157" s="4" t="s">
        <v>428</v>
      </c>
      <c r="D2157" s="4" t="s">
        <v>3465</v>
      </c>
      <c r="E2157" s="4"/>
      <c r="F2157" s="4" t="s">
        <v>31</v>
      </c>
    </row>
    <row r="2158" customFormat="false" ht="15" hidden="false" customHeight="false" outlineLevel="0" collapsed="false">
      <c r="A2158" s="4" t="n">
        <v>100</v>
      </c>
      <c r="B2158" s="4" t="s">
        <v>2678</v>
      </c>
      <c r="C2158" s="4" t="s">
        <v>429</v>
      </c>
      <c r="D2158" s="4" t="s">
        <v>3466</v>
      </c>
      <c r="E2158" s="4"/>
      <c r="F2158" s="4" t="s">
        <v>34</v>
      </c>
    </row>
    <row r="2159" customFormat="false" ht="41.75" hidden="false" customHeight="false" outlineLevel="0" collapsed="false">
      <c r="A2159" s="4" t="n">
        <v>100</v>
      </c>
      <c r="B2159" s="4" t="s">
        <v>2678</v>
      </c>
      <c r="C2159" s="4" t="s">
        <v>430</v>
      </c>
      <c r="D2159" s="4" t="s">
        <v>3467</v>
      </c>
      <c r="E2159" s="4"/>
      <c r="F2159" s="4" t="s">
        <v>2705</v>
      </c>
    </row>
    <row r="2160" customFormat="false" ht="15" hidden="false" customHeight="false" outlineLevel="0" collapsed="false">
      <c r="A2160" s="4" t="n">
        <v>100</v>
      </c>
      <c r="B2160" s="4" t="s">
        <v>2678</v>
      </c>
      <c r="C2160" s="4" t="s">
        <v>431</v>
      </c>
      <c r="D2160" s="4" t="s">
        <v>3468</v>
      </c>
      <c r="E2160" s="4"/>
      <c r="F2160" s="4" t="s">
        <v>484</v>
      </c>
    </row>
    <row r="2161" customFormat="false" ht="15" hidden="false" customHeight="false" outlineLevel="0" collapsed="false">
      <c r="A2161" s="4" t="n">
        <v>100</v>
      </c>
      <c r="B2161" s="4" t="s">
        <v>2678</v>
      </c>
      <c r="C2161" s="4" t="s">
        <v>432</v>
      </c>
      <c r="D2161" s="4" t="s">
        <v>3469</v>
      </c>
      <c r="E2161" s="4"/>
      <c r="F2161" s="4" t="s">
        <v>713</v>
      </c>
    </row>
    <row r="2162" customFormat="false" ht="28.35" hidden="false" customHeight="false" outlineLevel="0" collapsed="false">
      <c r="A2162" s="4" t="n">
        <v>100</v>
      </c>
      <c r="B2162" s="4" t="s">
        <v>2678</v>
      </c>
      <c r="C2162" s="4" t="s">
        <v>433</v>
      </c>
      <c r="D2162" s="4" t="s">
        <v>3470</v>
      </c>
      <c r="E2162" s="4"/>
      <c r="F2162" s="4" t="s">
        <v>2706</v>
      </c>
    </row>
    <row r="2163" customFormat="false" ht="28.35" hidden="false" customHeight="false" outlineLevel="0" collapsed="false">
      <c r="A2163" s="4" t="n">
        <v>100</v>
      </c>
      <c r="B2163" s="4" t="s">
        <v>2678</v>
      </c>
      <c r="C2163" s="4" t="s">
        <v>434</v>
      </c>
      <c r="D2163" s="4" t="s">
        <v>3482</v>
      </c>
      <c r="E2163" s="4"/>
      <c r="F2163" s="4" t="s">
        <v>2293</v>
      </c>
    </row>
    <row r="2164" customFormat="false" ht="15" hidden="false" customHeight="false" outlineLevel="0" collapsed="false">
      <c r="A2164" s="4" t="n">
        <v>100</v>
      </c>
      <c r="B2164" s="4" t="s">
        <v>2678</v>
      </c>
      <c r="C2164" s="4" t="s">
        <v>435</v>
      </c>
      <c r="D2164" s="4" t="s">
        <v>3510</v>
      </c>
      <c r="E2164" s="4"/>
      <c r="F2164" s="4" t="s">
        <v>2707</v>
      </c>
    </row>
    <row r="2165" customFormat="false" ht="15" hidden="false" customHeight="false" outlineLevel="0" collapsed="false">
      <c r="A2165" s="4" t="n">
        <v>100</v>
      </c>
      <c r="B2165" s="4" t="s">
        <v>2678</v>
      </c>
      <c r="C2165" s="4" t="s">
        <v>436</v>
      </c>
      <c r="D2165" s="4" t="s">
        <v>3471</v>
      </c>
      <c r="E2165" s="4"/>
      <c r="F2165" s="4" t="s">
        <v>248</v>
      </c>
    </row>
    <row r="2166" customFormat="false" ht="28.35" hidden="false" customHeight="false" outlineLevel="0" collapsed="false">
      <c r="A2166" s="4" t="n">
        <v>100</v>
      </c>
      <c r="B2166" s="4" t="s">
        <v>2678</v>
      </c>
      <c r="C2166" s="4" t="s">
        <v>437</v>
      </c>
      <c r="D2166" s="4" t="s">
        <v>3472</v>
      </c>
      <c r="E2166" s="4"/>
      <c r="F2166" s="4" t="n">
        <v>5</v>
      </c>
    </row>
    <row r="2167" customFormat="false" ht="28.35" hidden="false" customHeight="false" outlineLevel="0" collapsed="false">
      <c r="A2167" s="4" t="n">
        <v>100</v>
      </c>
      <c r="B2167" s="4" t="s">
        <v>2678</v>
      </c>
      <c r="C2167" s="4" t="s">
        <v>440</v>
      </c>
      <c r="D2167" s="4" t="s">
        <v>3491</v>
      </c>
      <c r="E2167" s="4"/>
      <c r="F2167" s="4" t="n">
        <v>242</v>
      </c>
    </row>
    <row r="2168" customFormat="false" ht="28.35" hidden="false" customHeight="false" outlineLevel="0" collapsed="false">
      <c r="A2168" s="4" t="n">
        <v>100</v>
      </c>
      <c r="B2168" s="4" t="s">
        <v>2678</v>
      </c>
      <c r="C2168" s="4" t="s">
        <v>441</v>
      </c>
      <c r="D2168" s="4" t="s">
        <v>3492</v>
      </c>
      <c r="E2168" s="4"/>
      <c r="F2168" s="4" t="n">
        <v>147</v>
      </c>
    </row>
    <row r="2169" customFormat="false" ht="15" hidden="false" customHeight="false" outlineLevel="0" collapsed="false">
      <c r="A2169" s="4" t="n">
        <v>100</v>
      </c>
      <c r="B2169" s="4" t="s">
        <v>2678</v>
      </c>
      <c r="C2169" s="4" t="s">
        <v>442</v>
      </c>
      <c r="D2169" s="4" t="s">
        <v>3493</v>
      </c>
      <c r="E2169" s="4"/>
      <c r="F2169" s="4" t="n">
        <v>1</v>
      </c>
    </row>
    <row r="2170" customFormat="false" ht="15" hidden="false" customHeight="false" outlineLevel="0" collapsed="false">
      <c r="A2170" s="4" t="n">
        <v>100</v>
      </c>
      <c r="B2170" s="4" t="s">
        <v>2678</v>
      </c>
      <c r="C2170" s="4" t="s">
        <v>443</v>
      </c>
      <c r="D2170" s="4" t="s">
        <v>3494</v>
      </c>
      <c r="E2170" s="4"/>
      <c r="F2170" s="4" t="n">
        <v>390</v>
      </c>
    </row>
    <row r="2171" customFormat="false" ht="15" hidden="false" customHeight="false" outlineLevel="0" collapsed="false">
      <c r="A2171" s="4" t="n">
        <v>100</v>
      </c>
      <c r="B2171" s="4" t="s">
        <v>2678</v>
      </c>
      <c r="C2171" s="4" t="s">
        <v>445</v>
      </c>
      <c r="D2171" s="4" t="s">
        <v>3496</v>
      </c>
      <c r="E2171" s="4"/>
      <c r="F2171" s="4" t="n">
        <v>1</v>
      </c>
    </row>
    <row r="2172" customFormat="false" ht="28.35" hidden="false" customHeight="false" outlineLevel="0" collapsed="false">
      <c r="A2172" s="4" t="n">
        <v>100</v>
      </c>
      <c r="B2172" s="4" t="s">
        <v>2678</v>
      </c>
      <c r="C2172" s="4" t="s">
        <v>447</v>
      </c>
      <c r="D2172" s="4" t="s">
        <v>3498</v>
      </c>
      <c r="E2172" s="4"/>
      <c r="F2172" s="4" t="s">
        <v>2708</v>
      </c>
    </row>
    <row r="2173" customFormat="false" ht="135.8" hidden="false" customHeight="false" outlineLevel="0" collapsed="false">
      <c r="A2173" s="4" t="n">
        <v>100</v>
      </c>
      <c r="B2173" s="4" t="s">
        <v>2678</v>
      </c>
      <c r="C2173" s="4" t="s">
        <v>448</v>
      </c>
      <c r="D2173" s="4" t="s">
        <v>3499</v>
      </c>
      <c r="E2173" s="4"/>
      <c r="F2173" s="4" t="s">
        <v>2709</v>
      </c>
    </row>
    <row r="2174" customFormat="false" ht="28.35" hidden="false" customHeight="false" outlineLevel="0" collapsed="false">
      <c r="A2174" s="4" t="n">
        <v>100</v>
      </c>
      <c r="B2174" s="4" t="s">
        <v>2678</v>
      </c>
      <c r="C2174" s="4" t="s">
        <v>449</v>
      </c>
      <c r="D2174" s="4" t="s">
        <v>3500</v>
      </c>
      <c r="E2174" s="4"/>
      <c r="F2174" s="4" t="s">
        <v>2694</v>
      </c>
    </row>
    <row r="2175" customFormat="false" ht="229.85" hidden="false" customHeight="false" outlineLevel="0" collapsed="false">
      <c r="A2175" s="4" t="n">
        <v>100</v>
      </c>
      <c r="B2175" s="4" t="s">
        <v>2678</v>
      </c>
      <c r="C2175" s="4" t="s">
        <v>450</v>
      </c>
      <c r="D2175" s="4" t="s">
        <v>3501</v>
      </c>
      <c r="E2175" s="4"/>
      <c r="F2175" s="4" t="s">
        <v>2710</v>
      </c>
    </row>
    <row r="2176" customFormat="false" ht="350.7" hidden="false" customHeight="false" outlineLevel="0" collapsed="false">
      <c r="A2176" s="4" t="n">
        <v>101</v>
      </c>
      <c r="B2176" s="4" t="s">
        <v>2711</v>
      </c>
      <c r="C2176" s="4" t="s">
        <v>380</v>
      </c>
      <c r="D2176" s="4" t="s">
        <v>3474</v>
      </c>
      <c r="E2176" s="4" t="s">
        <v>3722</v>
      </c>
      <c r="F2176" s="4" t="s">
        <v>2719</v>
      </c>
    </row>
    <row r="2177" customFormat="false" ht="28.35" hidden="false" customHeight="false" outlineLevel="0" collapsed="false">
      <c r="A2177" s="4" t="n">
        <v>101</v>
      </c>
      <c r="B2177" s="4" t="s">
        <v>2711</v>
      </c>
      <c r="C2177" s="4" t="s">
        <v>392</v>
      </c>
      <c r="D2177" s="4" t="s">
        <v>3530</v>
      </c>
      <c r="E2177" s="4" t="n">
        <v>8.116847</v>
      </c>
      <c r="F2177" s="4" t="n">
        <v>162.613441</v>
      </c>
    </row>
    <row r="2178" customFormat="false" ht="41.75" hidden="false" customHeight="false" outlineLevel="0" collapsed="false">
      <c r="A2178" s="4" t="n">
        <v>101</v>
      </c>
      <c r="B2178" s="4" t="s">
        <v>2711</v>
      </c>
      <c r="C2178" s="4" t="s">
        <v>394</v>
      </c>
      <c r="D2178" s="4" t="s">
        <v>3532</v>
      </c>
      <c r="E2178" s="4" t="s">
        <v>3723</v>
      </c>
      <c r="F2178" s="4" t="s">
        <v>2720</v>
      </c>
    </row>
    <row r="2179" customFormat="false" ht="28.35" hidden="false" customHeight="false" outlineLevel="0" collapsed="false">
      <c r="A2179" s="4" t="n">
        <v>101</v>
      </c>
      <c r="B2179" s="4" t="s">
        <v>2711</v>
      </c>
      <c r="C2179" s="4" t="s">
        <v>395</v>
      </c>
      <c r="D2179" s="4" t="s">
        <v>3507</v>
      </c>
      <c r="E2179" s="4" t="s">
        <v>3724</v>
      </c>
      <c r="F2179" s="4" t="s">
        <v>506</v>
      </c>
    </row>
    <row r="2180" customFormat="false" ht="28.35" hidden="false" customHeight="false" outlineLevel="0" collapsed="false">
      <c r="A2180" s="4" t="n">
        <v>101</v>
      </c>
      <c r="B2180" s="4" t="s">
        <v>2711</v>
      </c>
      <c r="C2180" s="4" t="s">
        <v>397</v>
      </c>
      <c r="D2180" s="4" t="s">
        <v>3553</v>
      </c>
      <c r="E2180" s="4"/>
      <c r="F2180" s="4" t="n">
        <v>29.182011</v>
      </c>
    </row>
    <row r="2181" customFormat="false" ht="28.35" hidden="false" customHeight="false" outlineLevel="0" collapsed="false">
      <c r="A2181" s="4" t="n">
        <v>101</v>
      </c>
      <c r="B2181" s="4" t="s">
        <v>2711</v>
      </c>
      <c r="C2181" s="4" t="s">
        <v>398</v>
      </c>
      <c r="D2181" s="4" t="s">
        <v>3554</v>
      </c>
      <c r="E2181" s="4"/>
      <c r="F2181" s="4" t="n">
        <v>2026</v>
      </c>
    </row>
    <row r="2182" customFormat="false" ht="28.35" hidden="false" customHeight="false" outlineLevel="0" collapsed="false">
      <c r="A2182" s="4" t="n">
        <v>101</v>
      </c>
      <c r="B2182" s="4" t="s">
        <v>2711</v>
      </c>
      <c r="C2182" s="4" t="s">
        <v>399</v>
      </c>
      <c r="D2182" s="4" t="s">
        <v>3555</v>
      </c>
      <c r="E2182" s="4"/>
      <c r="F2182" s="4" t="s">
        <v>2030</v>
      </c>
    </row>
    <row r="2183" customFormat="false" ht="55.2" hidden="false" customHeight="false" outlineLevel="0" collapsed="false">
      <c r="A2183" s="4" t="n">
        <v>101</v>
      </c>
      <c r="B2183" s="4" t="s">
        <v>2711</v>
      </c>
      <c r="C2183" s="4" t="s">
        <v>400</v>
      </c>
      <c r="D2183" s="4" t="s">
        <v>3556</v>
      </c>
      <c r="E2183" s="4"/>
      <c r="F2183" s="4" t="s">
        <v>2722</v>
      </c>
    </row>
    <row r="2184" customFormat="false" ht="41.75" hidden="false" customHeight="false" outlineLevel="0" collapsed="false">
      <c r="A2184" s="4" t="n">
        <v>101</v>
      </c>
      <c r="B2184" s="4" t="s">
        <v>2711</v>
      </c>
      <c r="C2184" s="4" t="s">
        <v>401</v>
      </c>
      <c r="D2184" s="4" t="s">
        <v>3557</v>
      </c>
      <c r="E2184" s="4"/>
      <c r="F2184" s="4" t="s">
        <v>2723</v>
      </c>
    </row>
    <row r="2185" customFormat="false" ht="28.35" hidden="false" customHeight="false" outlineLevel="0" collapsed="false">
      <c r="A2185" s="4" t="n">
        <v>101</v>
      </c>
      <c r="B2185" s="4" t="s">
        <v>2711</v>
      </c>
      <c r="C2185" s="4" t="s">
        <v>402</v>
      </c>
      <c r="D2185" s="4" t="s">
        <v>3508</v>
      </c>
      <c r="E2185" s="4" t="s">
        <v>2574</v>
      </c>
      <c r="F2185" s="4" t="s">
        <v>2033</v>
      </c>
    </row>
    <row r="2186" customFormat="false" ht="55.2" hidden="false" customHeight="false" outlineLevel="0" collapsed="false">
      <c r="A2186" s="4" t="n">
        <v>101</v>
      </c>
      <c r="B2186" s="4" t="s">
        <v>2711</v>
      </c>
      <c r="C2186" s="4" t="s">
        <v>403</v>
      </c>
      <c r="D2186" s="4" t="s">
        <v>3481</v>
      </c>
      <c r="E2186" s="4" t="s">
        <v>3725</v>
      </c>
      <c r="F2186" s="4" t="s">
        <v>2724</v>
      </c>
    </row>
    <row r="2187" customFormat="false" ht="28.35" hidden="false" customHeight="false" outlineLevel="0" collapsed="false">
      <c r="A2187" s="4" t="n">
        <v>101</v>
      </c>
      <c r="B2187" s="4" t="s">
        <v>2711</v>
      </c>
      <c r="C2187" s="4" t="s">
        <v>16</v>
      </c>
      <c r="D2187" s="4" t="s">
        <v>3487</v>
      </c>
      <c r="E2187" s="4" t="n">
        <v>136</v>
      </c>
      <c r="F2187" s="4" t="n">
        <v>3984</v>
      </c>
    </row>
    <row r="2188" customFormat="false" ht="28.35" hidden="false" customHeight="false" outlineLevel="0" collapsed="false">
      <c r="A2188" s="4" t="n">
        <v>101</v>
      </c>
      <c r="B2188" s="4" t="s">
        <v>2711</v>
      </c>
      <c r="C2188" s="4" t="s">
        <v>404</v>
      </c>
      <c r="D2188" s="4" t="s">
        <v>3488</v>
      </c>
      <c r="E2188" s="4" t="s">
        <v>3726</v>
      </c>
      <c r="F2188" s="4" t="s">
        <v>964</v>
      </c>
    </row>
    <row r="2189" customFormat="false" ht="68.65" hidden="false" customHeight="false" outlineLevel="0" collapsed="false">
      <c r="A2189" s="4" t="n">
        <v>101</v>
      </c>
      <c r="B2189" s="4" t="s">
        <v>2711</v>
      </c>
      <c r="C2189" s="4" t="s">
        <v>405</v>
      </c>
      <c r="D2189" s="4" t="s">
        <v>3489</v>
      </c>
      <c r="E2189" s="4" t="s">
        <v>3727</v>
      </c>
      <c r="F2189" s="4" t="s">
        <v>2725</v>
      </c>
    </row>
    <row r="2190" customFormat="false" ht="28.35" hidden="false" customHeight="false" outlineLevel="0" collapsed="false">
      <c r="A2190" s="4" t="n">
        <v>101</v>
      </c>
      <c r="B2190" s="4" t="s">
        <v>2711</v>
      </c>
      <c r="C2190" s="4" t="s">
        <v>406</v>
      </c>
      <c r="D2190" s="4" t="s">
        <v>3490</v>
      </c>
      <c r="E2190" s="4" t="s">
        <v>2721</v>
      </c>
      <c r="F2190" s="4" t="s">
        <v>2726</v>
      </c>
    </row>
    <row r="2191" customFormat="false" ht="95.5" hidden="false" customHeight="false" outlineLevel="0" collapsed="false">
      <c r="A2191" s="4" t="n">
        <v>101</v>
      </c>
      <c r="B2191" s="4" t="s">
        <v>2711</v>
      </c>
      <c r="C2191" s="4" t="s">
        <v>407</v>
      </c>
      <c r="D2191" s="4" t="s">
        <v>3485</v>
      </c>
      <c r="E2191" s="4" t="s">
        <v>3728</v>
      </c>
      <c r="F2191" s="4" t="s">
        <v>2727</v>
      </c>
    </row>
    <row r="2192" customFormat="false" ht="28.35" hidden="false" customHeight="false" outlineLevel="0" collapsed="false">
      <c r="A2192" s="4" t="n">
        <v>101</v>
      </c>
      <c r="B2192" s="4" t="s">
        <v>2711</v>
      </c>
      <c r="C2192" s="4" t="s">
        <v>417</v>
      </c>
      <c r="D2192" s="4" t="s">
        <v>3654</v>
      </c>
      <c r="E2192" s="4"/>
      <c r="F2192" s="4" t="n">
        <v>162.925268</v>
      </c>
    </row>
    <row r="2193" customFormat="false" ht="28.35" hidden="false" customHeight="false" outlineLevel="0" collapsed="false">
      <c r="A2193" s="4" t="n">
        <v>101</v>
      </c>
      <c r="B2193" s="4" t="s">
        <v>2711</v>
      </c>
      <c r="C2193" s="4" t="s">
        <v>418</v>
      </c>
      <c r="D2193" s="4" t="s">
        <v>3655</v>
      </c>
      <c r="E2193" s="4"/>
      <c r="F2193" s="4" t="s">
        <v>2733</v>
      </c>
    </row>
    <row r="2194" customFormat="false" ht="176.1" hidden="false" customHeight="false" outlineLevel="0" collapsed="false">
      <c r="A2194" s="4" t="n">
        <v>101</v>
      </c>
      <c r="B2194" s="4" t="s">
        <v>2711</v>
      </c>
      <c r="C2194" s="4" t="s">
        <v>419</v>
      </c>
      <c r="D2194" s="4" t="s">
        <v>3534</v>
      </c>
      <c r="E2194" s="4" t="s">
        <v>3729</v>
      </c>
      <c r="F2194" s="4" t="s">
        <v>3730</v>
      </c>
    </row>
    <row r="2195" customFormat="false" ht="552.2" hidden="false" customHeight="false" outlineLevel="0" collapsed="false">
      <c r="A2195" s="4" t="n">
        <v>101</v>
      </c>
      <c r="B2195" s="4" t="s">
        <v>2711</v>
      </c>
      <c r="C2195" s="4" t="s">
        <v>419</v>
      </c>
      <c r="D2195" s="4" t="s">
        <v>3534</v>
      </c>
      <c r="E2195" s="4" t="s">
        <v>3730</v>
      </c>
      <c r="F2195" s="4" t="s">
        <v>2734</v>
      </c>
    </row>
    <row r="2196" customFormat="false" ht="28.35" hidden="false" customHeight="false" outlineLevel="0" collapsed="false">
      <c r="A2196" s="4" t="n">
        <v>101</v>
      </c>
      <c r="B2196" s="4" t="s">
        <v>2711</v>
      </c>
      <c r="C2196" s="4" t="s">
        <v>427</v>
      </c>
      <c r="D2196" s="4" t="s">
        <v>3464</v>
      </c>
      <c r="E2196" s="4"/>
      <c r="F2196" s="4" t="s">
        <v>23</v>
      </c>
    </row>
    <row r="2197" customFormat="false" ht="28.35" hidden="false" customHeight="false" outlineLevel="0" collapsed="false">
      <c r="A2197" s="4" t="n">
        <v>101</v>
      </c>
      <c r="B2197" s="4" t="s">
        <v>2711</v>
      </c>
      <c r="C2197" s="4" t="s">
        <v>428</v>
      </c>
      <c r="D2197" s="4" t="s">
        <v>3465</v>
      </c>
      <c r="E2197" s="4"/>
      <c r="F2197" s="4" t="s">
        <v>28</v>
      </c>
    </row>
    <row r="2198" customFormat="false" ht="28.35" hidden="false" customHeight="false" outlineLevel="0" collapsed="false">
      <c r="A2198" s="4" t="n">
        <v>101</v>
      </c>
      <c r="B2198" s="4" t="s">
        <v>2711</v>
      </c>
      <c r="C2198" s="4" t="s">
        <v>429</v>
      </c>
      <c r="D2198" s="4" t="s">
        <v>3466</v>
      </c>
      <c r="E2198" s="4"/>
      <c r="F2198" s="4" t="s">
        <v>34</v>
      </c>
    </row>
    <row r="2199" customFormat="false" ht="41.75" hidden="false" customHeight="false" outlineLevel="0" collapsed="false">
      <c r="A2199" s="4" t="n">
        <v>101</v>
      </c>
      <c r="B2199" s="4" t="s">
        <v>2711</v>
      </c>
      <c r="C2199" s="4" t="s">
        <v>430</v>
      </c>
      <c r="D2199" s="4" t="s">
        <v>3467</v>
      </c>
      <c r="E2199" s="4"/>
      <c r="F2199" s="4" t="s">
        <v>2207</v>
      </c>
    </row>
    <row r="2200" customFormat="false" ht="28.35" hidden="false" customHeight="false" outlineLevel="0" collapsed="false">
      <c r="A2200" s="4" t="n">
        <v>101</v>
      </c>
      <c r="B2200" s="4" t="s">
        <v>2711</v>
      </c>
      <c r="C2200" s="4" t="s">
        <v>431</v>
      </c>
      <c r="D2200" s="4" t="s">
        <v>3468</v>
      </c>
      <c r="E2200" s="4"/>
      <c r="F2200" s="4" t="s">
        <v>484</v>
      </c>
    </row>
    <row r="2201" customFormat="false" ht="28.35" hidden="false" customHeight="false" outlineLevel="0" collapsed="false">
      <c r="A2201" s="4" t="n">
        <v>101</v>
      </c>
      <c r="B2201" s="4" t="s">
        <v>2711</v>
      </c>
      <c r="C2201" s="4" t="s">
        <v>432</v>
      </c>
      <c r="D2201" s="4" t="s">
        <v>3469</v>
      </c>
      <c r="E2201" s="4"/>
      <c r="F2201" s="4" t="s">
        <v>524</v>
      </c>
    </row>
    <row r="2202" customFormat="false" ht="68.65" hidden="false" customHeight="false" outlineLevel="0" collapsed="false">
      <c r="A2202" s="4" t="n">
        <v>101</v>
      </c>
      <c r="B2202" s="4" t="s">
        <v>2711</v>
      </c>
      <c r="C2202" s="4" t="s">
        <v>433</v>
      </c>
      <c r="D2202" s="4" t="s">
        <v>3470</v>
      </c>
      <c r="E2202" s="4"/>
      <c r="F2202" s="4" t="s">
        <v>2208</v>
      </c>
    </row>
    <row r="2203" customFormat="false" ht="28.35" hidden="false" customHeight="false" outlineLevel="0" collapsed="false">
      <c r="A2203" s="4" t="n">
        <v>101</v>
      </c>
      <c r="B2203" s="4" t="s">
        <v>2711</v>
      </c>
      <c r="C2203" s="4" t="s">
        <v>434</v>
      </c>
      <c r="D2203" s="4" t="s">
        <v>3482</v>
      </c>
      <c r="E2203" s="4"/>
      <c r="F2203" s="4" t="s">
        <v>2209</v>
      </c>
    </row>
    <row r="2204" customFormat="false" ht="28.35" hidden="false" customHeight="false" outlineLevel="0" collapsed="false">
      <c r="A2204" s="4" t="n">
        <v>101</v>
      </c>
      <c r="B2204" s="4" t="s">
        <v>2711</v>
      </c>
      <c r="C2204" s="4" t="s">
        <v>436</v>
      </c>
      <c r="D2204" s="4" t="s">
        <v>3471</v>
      </c>
      <c r="E2204" s="4"/>
      <c r="F2204" s="4" t="s">
        <v>283</v>
      </c>
    </row>
    <row r="2205" customFormat="false" ht="28.35" hidden="false" customHeight="false" outlineLevel="0" collapsed="false">
      <c r="A2205" s="4" t="n">
        <v>101</v>
      </c>
      <c r="B2205" s="4" t="s">
        <v>2711</v>
      </c>
      <c r="C2205" s="4" t="s">
        <v>437</v>
      </c>
      <c r="D2205" s="4" t="s">
        <v>3472</v>
      </c>
      <c r="E2205" s="4"/>
      <c r="F2205" s="4" t="n">
        <v>9</v>
      </c>
    </row>
    <row r="2206" customFormat="false" ht="28.35" hidden="false" customHeight="false" outlineLevel="0" collapsed="false">
      <c r="A2206" s="4" t="n">
        <v>101</v>
      </c>
      <c r="B2206" s="4" t="s">
        <v>2711</v>
      </c>
      <c r="C2206" s="4" t="s">
        <v>440</v>
      </c>
      <c r="D2206" s="4" t="s">
        <v>3491</v>
      </c>
      <c r="E2206" s="4"/>
      <c r="F2206" s="4" t="n">
        <v>3734</v>
      </c>
    </row>
    <row r="2207" customFormat="false" ht="28.35" hidden="false" customHeight="false" outlineLevel="0" collapsed="false">
      <c r="A2207" s="4" t="n">
        <v>101</v>
      </c>
      <c r="B2207" s="4" t="s">
        <v>2711</v>
      </c>
      <c r="C2207" s="4" t="s">
        <v>441</v>
      </c>
      <c r="D2207" s="4" t="s">
        <v>3492</v>
      </c>
      <c r="E2207" s="4"/>
      <c r="F2207" s="4" t="n">
        <v>115</v>
      </c>
    </row>
    <row r="2208" customFormat="false" ht="28.35" hidden="false" customHeight="false" outlineLevel="0" collapsed="false">
      <c r="A2208" s="4" t="n">
        <v>101</v>
      </c>
      <c r="B2208" s="4" t="s">
        <v>2711</v>
      </c>
      <c r="C2208" s="4" t="s">
        <v>442</v>
      </c>
      <c r="D2208" s="4" t="s">
        <v>3493</v>
      </c>
      <c r="E2208" s="4"/>
      <c r="F2208" s="4" t="n">
        <v>134</v>
      </c>
    </row>
    <row r="2209" customFormat="false" ht="28.35" hidden="false" customHeight="false" outlineLevel="0" collapsed="false">
      <c r="A2209" s="4" t="n">
        <v>101</v>
      </c>
      <c r="B2209" s="4" t="s">
        <v>2711</v>
      </c>
      <c r="C2209" s="4" t="s">
        <v>443</v>
      </c>
      <c r="D2209" s="4" t="s">
        <v>3494</v>
      </c>
      <c r="E2209" s="4"/>
      <c r="F2209" s="4" t="n">
        <v>3983</v>
      </c>
    </row>
    <row r="2210" customFormat="false" ht="28.35" hidden="false" customHeight="false" outlineLevel="0" collapsed="false">
      <c r="A2210" s="4" t="n">
        <v>101</v>
      </c>
      <c r="B2210" s="4" t="s">
        <v>2711</v>
      </c>
      <c r="C2210" s="4" t="s">
        <v>445</v>
      </c>
      <c r="D2210" s="4" t="s">
        <v>3496</v>
      </c>
      <c r="E2210" s="4"/>
      <c r="F2210" s="4" t="n">
        <v>1</v>
      </c>
    </row>
    <row r="2211" customFormat="false" ht="28.35" hidden="false" customHeight="false" outlineLevel="0" collapsed="false">
      <c r="A2211" s="4" t="n">
        <v>101</v>
      </c>
      <c r="B2211" s="4" t="s">
        <v>2711</v>
      </c>
      <c r="C2211" s="4" t="s">
        <v>447</v>
      </c>
      <c r="D2211" s="4" t="s">
        <v>3498</v>
      </c>
      <c r="E2211" s="4"/>
      <c r="F2211" s="4" t="s">
        <v>2735</v>
      </c>
    </row>
    <row r="2212" customFormat="false" ht="202.95" hidden="false" customHeight="false" outlineLevel="0" collapsed="false">
      <c r="A2212" s="4" t="n">
        <v>101</v>
      </c>
      <c r="B2212" s="4" t="s">
        <v>2711</v>
      </c>
      <c r="C2212" s="4" t="s">
        <v>448</v>
      </c>
      <c r="D2212" s="4" t="s">
        <v>3499</v>
      </c>
      <c r="E2212" s="4"/>
      <c r="F2212" s="4" t="s">
        <v>2736</v>
      </c>
    </row>
    <row r="2213" customFormat="false" ht="28.35" hidden="false" customHeight="false" outlineLevel="0" collapsed="false">
      <c r="A2213" s="4" t="n">
        <v>101</v>
      </c>
      <c r="B2213" s="4" t="s">
        <v>2711</v>
      </c>
      <c r="C2213" s="4" t="s">
        <v>449</v>
      </c>
      <c r="D2213" s="4" t="s">
        <v>3500</v>
      </c>
      <c r="E2213" s="4"/>
      <c r="F2213" s="4" t="s">
        <v>2726</v>
      </c>
    </row>
    <row r="2214" customFormat="false" ht="229.85" hidden="false" customHeight="false" outlineLevel="0" collapsed="false">
      <c r="A2214" s="4" t="n">
        <v>101</v>
      </c>
      <c r="B2214" s="4" t="s">
        <v>2711</v>
      </c>
      <c r="C2214" s="4" t="s">
        <v>450</v>
      </c>
      <c r="D2214" s="4" t="s">
        <v>3501</v>
      </c>
      <c r="E2214" s="4"/>
      <c r="F2214" s="4" t="s">
        <v>2737</v>
      </c>
    </row>
    <row r="2215" customFormat="false" ht="28.35" hidden="false" customHeight="false" outlineLevel="0" collapsed="false">
      <c r="A2215" s="4" t="n">
        <v>102</v>
      </c>
      <c r="B2215" s="4" t="s">
        <v>2738</v>
      </c>
      <c r="C2215" s="4" t="s">
        <v>369</v>
      </c>
      <c r="D2215" s="4" t="s">
        <v>3503</v>
      </c>
      <c r="E2215" s="4" t="s">
        <v>780</v>
      </c>
      <c r="F2215" s="4" t="s">
        <v>2744</v>
      </c>
    </row>
    <row r="2216" customFormat="false" ht="95.5" hidden="false" customHeight="false" outlineLevel="0" collapsed="false">
      <c r="A2216" s="4" t="n">
        <v>102</v>
      </c>
      <c r="B2216" s="4" t="s">
        <v>2738</v>
      </c>
      <c r="C2216" s="4" t="s">
        <v>372</v>
      </c>
      <c r="D2216" s="4" t="s">
        <v>3504</v>
      </c>
      <c r="E2216" s="4" t="s">
        <v>3731</v>
      </c>
      <c r="F2216" s="4" t="s">
        <v>2745</v>
      </c>
    </row>
    <row r="2217" customFormat="false" ht="15" hidden="false" customHeight="false" outlineLevel="0" collapsed="false">
      <c r="A2217" s="4" t="n">
        <v>102</v>
      </c>
      <c r="B2217" s="4" t="s">
        <v>2738</v>
      </c>
      <c r="C2217" s="4" t="s">
        <v>373</v>
      </c>
      <c r="D2217" s="4" t="s">
        <v>3664</v>
      </c>
      <c r="E2217" s="4" t="s">
        <v>2595</v>
      </c>
      <c r="F2217" s="4" t="s">
        <v>2746</v>
      </c>
    </row>
    <row r="2218" customFormat="false" ht="95.5" hidden="false" customHeight="false" outlineLevel="0" collapsed="false">
      <c r="A2218" s="4" t="n">
        <v>102</v>
      </c>
      <c r="B2218" s="4" t="s">
        <v>2738</v>
      </c>
      <c r="C2218" s="4" t="s">
        <v>380</v>
      </c>
      <c r="D2218" s="4" t="s">
        <v>3474</v>
      </c>
      <c r="E2218" s="4" t="s">
        <v>3732</v>
      </c>
      <c r="F2218" s="4" t="s">
        <v>2748</v>
      </c>
    </row>
    <row r="2219" customFormat="false" ht="28.35" hidden="false" customHeight="false" outlineLevel="0" collapsed="false">
      <c r="A2219" s="4" t="n">
        <v>102</v>
      </c>
      <c r="B2219" s="4" t="s">
        <v>2738</v>
      </c>
      <c r="C2219" s="4" t="s">
        <v>403</v>
      </c>
      <c r="D2219" s="4" t="s">
        <v>3481</v>
      </c>
      <c r="E2219" s="4" t="s">
        <v>3004</v>
      </c>
      <c r="F2219" s="4" t="s">
        <v>2750</v>
      </c>
    </row>
    <row r="2220" customFormat="false" ht="15" hidden="false" customHeight="false" outlineLevel="0" collapsed="false">
      <c r="A2220" s="4" t="n">
        <v>102</v>
      </c>
      <c r="B2220" s="4" t="s">
        <v>2738</v>
      </c>
      <c r="C2220" s="4" t="s">
        <v>427</v>
      </c>
      <c r="D2220" s="4" t="s">
        <v>3464</v>
      </c>
      <c r="E2220" s="4"/>
      <c r="F2220" s="4" t="s">
        <v>26</v>
      </c>
    </row>
    <row r="2221" customFormat="false" ht="15" hidden="false" customHeight="false" outlineLevel="0" collapsed="false">
      <c r="A2221" s="4" t="n">
        <v>102</v>
      </c>
      <c r="B2221" s="4" t="s">
        <v>2738</v>
      </c>
      <c r="C2221" s="4" t="s">
        <v>428</v>
      </c>
      <c r="D2221" s="4" t="s">
        <v>3465</v>
      </c>
      <c r="E2221" s="4"/>
      <c r="F2221" s="4" t="s">
        <v>26</v>
      </c>
    </row>
    <row r="2222" customFormat="false" ht="15" hidden="false" customHeight="false" outlineLevel="0" collapsed="false">
      <c r="A2222" s="4" t="n">
        <v>102</v>
      </c>
      <c r="B2222" s="4" t="s">
        <v>2738</v>
      </c>
      <c r="C2222" s="4" t="s">
        <v>429</v>
      </c>
      <c r="D2222" s="4" t="s">
        <v>3466</v>
      </c>
      <c r="E2222" s="4"/>
      <c r="F2222" s="4" t="s">
        <v>39</v>
      </c>
    </row>
    <row r="2223" customFormat="false" ht="15" hidden="false" customHeight="false" outlineLevel="0" collapsed="false">
      <c r="A2223" s="4" t="n">
        <v>102</v>
      </c>
      <c r="B2223" s="4" t="s">
        <v>2738</v>
      </c>
      <c r="C2223" s="4" t="s">
        <v>431</v>
      </c>
      <c r="D2223" s="4" t="s">
        <v>3468</v>
      </c>
      <c r="E2223" s="4"/>
      <c r="F2223" s="4" t="s">
        <v>484</v>
      </c>
    </row>
    <row r="2224" customFormat="false" ht="15" hidden="false" customHeight="false" outlineLevel="0" collapsed="false">
      <c r="A2224" s="4" t="n">
        <v>102</v>
      </c>
      <c r="B2224" s="4" t="s">
        <v>2738</v>
      </c>
      <c r="C2224" s="4" t="s">
        <v>432</v>
      </c>
      <c r="D2224" s="4" t="s">
        <v>3469</v>
      </c>
      <c r="E2224" s="4"/>
      <c r="F2224" s="4" t="s">
        <v>485</v>
      </c>
    </row>
    <row r="2225" customFormat="false" ht="15" hidden="false" customHeight="false" outlineLevel="0" collapsed="false">
      <c r="A2225" s="4" t="n">
        <v>102</v>
      </c>
      <c r="B2225" s="4" t="s">
        <v>2738</v>
      </c>
      <c r="C2225" s="4" t="s">
        <v>433</v>
      </c>
      <c r="D2225" s="4" t="s">
        <v>3470</v>
      </c>
      <c r="E2225" s="4"/>
      <c r="F2225" s="4" t="s">
        <v>2756</v>
      </c>
    </row>
    <row r="2226" customFormat="false" ht="15" hidden="false" customHeight="false" outlineLevel="0" collapsed="false">
      <c r="A2226" s="4" t="n">
        <v>102</v>
      </c>
      <c r="B2226" s="4" t="s">
        <v>2738</v>
      </c>
      <c r="C2226" s="4" t="s">
        <v>436</v>
      </c>
      <c r="D2226" s="4" t="s">
        <v>3471</v>
      </c>
      <c r="E2226" s="4"/>
      <c r="F2226" s="4" t="s">
        <v>2757</v>
      </c>
    </row>
    <row r="2227" customFormat="false" ht="28.35" hidden="false" customHeight="false" outlineLevel="0" collapsed="false">
      <c r="A2227" s="4" t="n">
        <v>103</v>
      </c>
      <c r="B2227" s="4" t="s">
        <v>2758</v>
      </c>
      <c r="C2227" s="4" t="s">
        <v>365</v>
      </c>
      <c r="D2227" s="4" t="s">
        <v>3547</v>
      </c>
      <c r="E2227" s="4"/>
      <c r="F2227" s="4" t="n">
        <v>2.59089</v>
      </c>
    </row>
    <row r="2228" customFormat="false" ht="28.35" hidden="false" customHeight="false" outlineLevel="0" collapsed="false">
      <c r="A2228" s="4" t="n">
        <v>103</v>
      </c>
      <c r="B2228" s="4" t="s">
        <v>2758</v>
      </c>
      <c r="C2228" s="4" t="s">
        <v>366</v>
      </c>
      <c r="D2228" s="4" t="s">
        <v>3548</v>
      </c>
      <c r="E2228" s="4"/>
      <c r="F2228" s="4" t="n">
        <v>2026</v>
      </c>
    </row>
    <row r="2229" customFormat="false" ht="28.35" hidden="false" customHeight="false" outlineLevel="0" collapsed="false">
      <c r="A2229" s="4" t="n">
        <v>103</v>
      </c>
      <c r="B2229" s="4" t="s">
        <v>2758</v>
      </c>
      <c r="C2229" s="4" t="s">
        <v>367</v>
      </c>
      <c r="D2229" s="4" t="s">
        <v>3549</v>
      </c>
      <c r="E2229" s="4"/>
      <c r="F2229" s="4" t="s">
        <v>5</v>
      </c>
    </row>
    <row r="2230" customFormat="false" ht="28.35" hidden="false" customHeight="false" outlineLevel="0" collapsed="false">
      <c r="A2230" s="4" t="n">
        <v>103</v>
      </c>
      <c r="B2230" s="4" t="s">
        <v>2758</v>
      </c>
      <c r="C2230" s="4" t="s">
        <v>368</v>
      </c>
      <c r="D2230" s="4" t="s">
        <v>3550</v>
      </c>
      <c r="E2230" s="4"/>
      <c r="F2230" s="4" t="s">
        <v>2764</v>
      </c>
    </row>
    <row r="2231" customFormat="false" ht="28.35" hidden="false" customHeight="false" outlineLevel="0" collapsed="false">
      <c r="A2231" s="4" t="n">
        <v>103</v>
      </c>
      <c r="B2231" s="4" t="s">
        <v>2758</v>
      </c>
      <c r="C2231" s="4" t="s">
        <v>369</v>
      </c>
      <c r="D2231" s="4" t="s">
        <v>3503</v>
      </c>
      <c r="E2231" s="4" t="s">
        <v>780</v>
      </c>
      <c r="F2231" s="4" t="s">
        <v>494</v>
      </c>
    </row>
    <row r="2232" customFormat="false" ht="28.35" hidden="false" customHeight="false" outlineLevel="0" collapsed="false">
      <c r="A2232" s="4" t="n">
        <v>103</v>
      </c>
      <c r="B2232" s="4" t="s">
        <v>2758</v>
      </c>
      <c r="C2232" s="4" t="s">
        <v>370</v>
      </c>
      <c r="D2232" s="4" t="s">
        <v>3649</v>
      </c>
      <c r="E2232" s="4"/>
      <c r="F2232" s="4" t="n">
        <v>2.59089</v>
      </c>
    </row>
    <row r="2233" customFormat="false" ht="122.35" hidden="false" customHeight="false" outlineLevel="0" collapsed="false">
      <c r="A2233" s="4" t="n">
        <v>103</v>
      </c>
      <c r="B2233" s="4" t="s">
        <v>2758</v>
      </c>
      <c r="C2233" s="4" t="s">
        <v>372</v>
      </c>
      <c r="D2233" s="4" t="s">
        <v>3504</v>
      </c>
      <c r="E2233" s="4" t="s">
        <v>3708</v>
      </c>
      <c r="F2233" s="4" t="s">
        <v>2765</v>
      </c>
    </row>
    <row r="2234" customFormat="false" ht="28.35" hidden="false" customHeight="false" outlineLevel="0" collapsed="false">
      <c r="A2234" s="4" t="n">
        <v>103</v>
      </c>
      <c r="B2234" s="4" t="s">
        <v>2758</v>
      </c>
      <c r="C2234" s="4" t="s">
        <v>373</v>
      </c>
      <c r="D2234" s="4" t="s">
        <v>3664</v>
      </c>
      <c r="E2234" s="4" t="s">
        <v>2595</v>
      </c>
      <c r="F2234" s="4" t="s">
        <v>2766</v>
      </c>
    </row>
    <row r="2235" customFormat="false" ht="68.65" hidden="false" customHeight="false" outlineLevel="0" collapsed="false">
      <c r="A2235" s="4" t="n">
        <v>103</v>
      </c>
      <c r="B2235" s="4" t="s">
        <v>2758</v>
      </c>
      <c r="C2235" s="4" t="s">
        <v>374</v>
      </c>
      <c r="D2235" s="4" t="s">
        <v>3616</v>
      </c>
      <c r="E2235" s="4" t="s">
        <v>2934</v>
      </c>
      <c r="F2235" s="4" t="s">
        <v>2767</v>
      </c>
    </row>
    <row r="2236" customFormat="false" ht="55.2" hidden="false" customHeight="false" outlineLevel="0" collapsed="false">
      <c r="A2236" s="4" t="n">
        <v>103</v>
      </c>
      <c r="B2236" s="4" t="s">
        <v>2758</v>
      </c>
      <c r="C2236" s="4" t="s">
        <v>380</v>
      </c>
      <c r="D2236" s="4" t="s">
        <v>3474</v>
      </c>
      <c r="E2236" s="4" t="s">
        <v>3733</v>
      </c>
      <c r="F2236" s="4" t="s">
        <v>2768</v>
      </c>
    </row>
    <row r="2237" customFormat="false" ht="28.35" hidden="false" customHeight="false" outlineLevel="0" collapsed="false">
      <c r="A2237" s="4" t="n">
        <v>103</v>
      </c>
      <c r="B2237" s="4" t="s">
        <v>2758</v>
      </c>
      <c r="C2237" s="4" t="s">
        <v>403</v>
      </c>
      <c r="D2237" s="4" t="s">
        <v>3481</v>
      </c>
      <c r="E2237" s="4" t="s">
        <v>3004</v>
      </c>
      <c r="F2237" s="4" t="s">
        <v>2769</v>
      </c>
    </row>
    <row r="2238" customFormat="false" ht="28.35" hidden="false" customHeight="false" outlineLevel="0" collapsed="false">
      <c r="A2238" s="4" t="n">
        <v>103</v>
      </c>
      <c r="B2238" s="4" t="s">
        <v>2758</v>
      </c>
      <c r="C2238" s="4" t="s">
        <v>427</v>
      </c>
      <c r="D2238" s="4" t="s">
        <v>3464</v>
      </c>
      <c r="E2238" s="4"/>
      <c r="F2238" s="4" t="s">
        <v>23</v>
      </c>
    </row>
    <row r="2239" customFormat="false" ht="28.35" hidden="false" customHeight="false" outlineLevel="0" collapsed="false">
      <c r="A2239" s="4" t="n">
        <v>103</v>
      </c>
      <c r="B2239" s="4" t="s">
        <v>2758</v>
      </c>
      <c r="C2239" s="4" t="s">
        <v>428</v>
      </c>
      <c r="D2239" s="4" t="s">
        <v>3465</v>
      </c>
      <c r="E2239" s="4"/>
      <c r="F2239" s="4" t="s">
        <v>28</v>
      </c>
    </row>
    <row r="2240" customFormat="false" ht="28.35" hidden="false" customHeight="false" outlineLevel="0" collapsed="false">
      <c r="A2240" s="4" t="n">
        <v>103</v>
      </c>
      <c r="B2240" s="4" t="s">
        <v>2758</v>
      </c>
      <c r="C2240" s="4" t="s">
        <v>429</v>
      </c>
      <c r="D2240" s="4" t="s">
        <v>3466</v>
      </c>
      <c r="E2240" s="4"/>
      <c r="F2240" s="4" t="s">
        <v>35</v>
      </c>
    </row>
    <row r="2241" customFormat="false" ht="28.35" hidden="false" customHeight="false" outlineLevel="0" collapsed="false">
      <c r="A2241" s="4" t="n">
        <v>103</v>
      </c>
      <c r="B2241" s="4" t="s">
        <v>2758</v>
      </c>
      <c r="C2241" s="4" t="s">
        <v>431</v>
      </c>
      <c r="D2241" s="4" t="s">
        <v>3468</v>
      </c>
      <c r="E2241" s="4"/>
      <c r="F2241" s="4" t="s">
        <v>484</v>
      </c>
    </row>
    <row r="2242" customFormat="false" ht="28.35" hidden="false" customHeight="false" outlineLevel="0" collapsed="false">
      <c r="A2242" s="4" t="n">
        <v>103</v>
      </c>
      <c r="B2242" s="4" t="s">
        <v>2758</v>
      </c>
      <c r="C2242" s="4" t="s">
        <v>432</v>
      </c>
      <c r="D2242" s="4" t="s">
        <v>3469</v>
      </c>
      <c r="E2242" s="4"/>
      <c r="F2242" s="4" t="s">
        <v>664</v>
      </c>
    </row>
    <row r="2243" customFormat="false" ht="28.35" hidden="false" customHeight="false" outlineLevel="0" collapsed="false">
      <c r="A2243" s="4" t="n">
        <v>103</v>
      </c>
      <c r="B2243" s="4" t="s">
        <v>2758</v>
      </c>
      <c r="C2243" s="4" t="s">
        <v>433</v>
      </c>
      <c r="D2243" s="4" t="s">
        <v>3470</v>
      </c>
      <c r="E2243" s="4"/>
      <c r="F2243" s="4" t="s">
        <v>2775</v>
      </c>
    </row>
    <row r="2244" customFormat="false" ht="28.35" hidden="false" customHeight="false" outlineLevel="0" collapsed="false">
      <c r="A2244" s="4" t="n">
        <v>103</v>
      </c>
      <c r="B2244" s="4" t="s">
        <v>2758</v>
      </c>
      <c r="C2244" s="4" t="s">
        <v>434</v>
      </c>
      <c r="D2244" s="4" t="s">
        <v>3482</v>
      </c>
      <c r="E2244" s="4"/>
      <c r="F2244" s="4" t="s">
        <v>2776</v>
      </c>
    </row>
    <row r="2245" customFormat="false" ht="28.35" hidden="false" customHeight="false" outlineLevel="0" collapsed="false">
      <c r="A2245" s="4" t="n">
        <v>103</v>
      </c>
      <c r="B2245" s="4" t="s">
        <v>2758</v>
      </c>
      <c r="C2245" s="4" t="s">
        <v>436</v>
      </c>
      <c r="D2245" s="4" t="s">
        <v>3471</v>
      </c>
      <c r="E2245" s="4"/>
      <c r="F2245" s="4" t="s">
        <v>2777</v>
      </c>
    </row>
    <row r="2246" customFormat="false" ht="28.35" hidden="false" customHeight="false" outlineLevel="0" collapsed="false">
      <c r="A2246" s="4" t="n">
        <v>104</v>
      </c>
      <c r="B2246" s="4" t="s">
        <v>2778</v>
      </c>
      <c r="C2246" s="4" t="s">
        <v>365</v>
      </c>
      <c r="D2246" s="4" t="s">
        <v>3547</v>
      </c>
      <c r="E2246" s="4"/>
      <c r="F2246" s="4" t="n">
        <v>1.63811</v>
      </c>
    </row>
    <row r="2247" customFormat="false" ht="28.35" hidden="false" customHeight="false" outlineLevel="0" collapsed="false">
      <c r="A2247" s="4" t="n">
        <v>104</v>
      </c>
      <c r="B2247" s="4" t="s">
        <v>2778</v>
      </c>
      <c r="C2247" s="4" t="s">
        <v>366</v>
      </c>
      <c r="D2247" s="4" t="s">
        <v>3548</v>
      </c>
      <c r="E2247" s="4"/>
      <c r="F2247" s="4" t="n">
        <v>2026</v>
      </c>
    </row>
    <row r="2248" customFormat="false" ht="28.35" hidden="false" customHeight="false" outlineLevel="0" collapsed="false">
      <c r="A2248" s="4" t="n">
        <v>104</v>
      </c>
      <c r="B2248" s="4" t="s">
        <v>2778</v>
      </c>
      <c r="C2248" s="4" t="s">
        <v>367</v>
      </c>
      <c r="D2248" s="4" t="s">
        <v>3549</v>
      </c>
      <c r="E2248" s="4"/>
      <c r="F2248" s="4" t="s">
        <v>5</v>
      </c>
    </row>
    <row r="2249" customFormat="false" ht="28.35" hidden="false" customHeight="false" outlineLevel="0" collapsed="false">
      <c r="A2249" s="4" t="n">
        <v>104</v>
      </c>
      <c r="B2249" s="4" t="s">
        <v>2778</v>
      </c>
      <c r="C2249" s="4" t="s">
        <v>368</v>
      </c>
      <c r="D2249" s="4" t="s">
        <v>3550</v>
      </c>
      <c r="E2249" s="4"/>
      <c r="F2249" s="4" t="s">
        <v>2764</v>
      </c>
    </row>
    <row r="2250" customFormat="false" ht="28.35" hidden="false" customHeight="false" outlineLevel="0" collapsed="false">
      <c r="A2250" s="4" t="n">
        <v>104</v>
      </c>
      <c r="B2250" s="4" t="s">
        <v>2778</v>
      </c>
      <c r="C2250" s="4" t="s">
        <v>369</v>
      </c>
      <c r="D2250" s="4" t="s">
        <v>3503</v>
      </c>
      <c r="E2250" s="4" t="s">
        <v>780</v>
      </c>
      <c r="F2250" s="4" t="s">
        <v>494</v>
      </c>
    </row>
    <row r="2251" customFormat="false" ht="28.35" hidden="false" customHeight="false" outlineLevel="0" collapsed="false">
      <c r="A2251" s="4" t="n">
        <v>104</v>
      </c>
      <c r="B2251" s="4" t="s">
        <v>2778</v>
      </c>
      <c r="C2251" s="4" t="s">
        <v>370</v>
      </c>
      <c r="D2251" s="4" t="s">
        <v>3649</v>
      </c>
      <c r="E2251" s="4"/>
      <c r="F2251" s="4" t="n">
        <v>1.63811</v>
      </c>
    </row>
    <row r="2252" customFormat="false" ht="95.5" hidden="false" customHeight="false" outlineLevel="0" collapsed="false">
      <c r="A2252" s="4" t="n">
        <v>104</v>
      </c>
      <c r="B2252" s="4" t="s">
        <v>2778</v>
      </c>
      <c r="C2252" s="4" t="s">
        <v>372</v>
      </c>
      <c r="D2252" s="4" t="s">
        <v>3504</v>
      </c>
      <c r="E2252" s="4" t="s">
        <v>3708</v>
      </c>
      <c r="F2252" s="4" t="s">
        <v>2783</v>
      </c>
    </row>
    <row r="2253" customFormat="false" ht="28.35" hidden="false" customHeight="false" outlineLevel="0" collapsed="false">
      <c r="A2253" s="4" t="n">
        <v>104</v>
      </c>
      <c r="B2253" s="4" t="s">
        <v>2778</v>
      </c>
      <c r="C2253" s="4" t="s">
        <v>373</v>
      </c>
      <c r="D2253" s="4" t="s">
        <v>3664</v>
      </c>
      <c r="E2253" s="4" t="s">
        <v>2595</v>
      </c>
      <c r="F2253" s="4" t="s">
        <v>2766</v>
      </c>
    </row>
    <row r="2254" customFormat="false" ht="68.65" hidden="false" customHeight="false" outlineLevel="0" collapsed="false">
      <c r="A2254" s="4" t="n">
        <v>104</v>
      </c>
      <c r="B2254" s="4" t="s">
        <v>2778</v>
      </c>
      <c r="C2254" s="4" t="s">
        <v>374</v>
      </c>
      <c r="D2254" s="4" t="s">
        <v>3616</v>
      </c>
      <c r="E2254" s="4" t="s">
        <v>2934</v>
      </c>
      <c r="F2254" s="4" t="s">
        <v>2767</v>
      </c>
    </row>
    <row r="2255" customFormat="false" ht="28.35" hidden="false" customHeight="false" outlineLevel="0" collapsed="false">
      <c r="A2255" s="4" t="n">
        <v>104</v>
      </c>
      <c r="B2255" s="4" t="s">
        <v>2778</v>
      </c>
      <c r="C2255" s="4" t="s">
        <v>380</v>
      </c>
      <c r="D2255" s="4" t="s">
        <v>3474</v>
      </c>
      <c r="E2255" s="4" t="s">
        <v>2790</v>
      </c>
      <c r="F2255" s="4" t="s">
        <v>2784</v>
      </c>
    </row>
    <row r="2256" customFormat="false" ht="28.35" hidden="false" customHeight="false" outlineLevel="0" collapsed="false">
      <c r="A2256" s="4" t="n">
        <v>104</v>
      </c>
      <c r="B2256" s="4" t="s">
        <v>2778</v>
      </c>
      <c r="C2256" s="4" t="s">
        <v>403</v>
      </c>
      <c r="D2256" s="4" t="s">
        <v>3481</v>
      </c>
      <c r="E2256" s="4" t="s">
        <v>3004</v>
      </c>
      <c r="F2256" s="4" t="s">
        <v>2769</v>
      </c>
    </row>
    <row r="2257" customFormat="false" ht="28.35" hidden="false" customHeight="false" outlineLevel="0" collapsed="false">
      <c r="A2257" s="4" t="n">
        <v>104</v>
      </c>
      <c r="B2257" s="4" t="s">
        <v>2778</v>
      </c>
      <c r="C2257" s="4" t="s">
        <v>427</v>
      </c>
      <c r="D2257" s="4" t="s">
        <v>3464</v>
      </c>
      <c r="E2257" s="4"/>
      <c r="F2257" s="4" t="s">
        <v>24</v>
      </c>
    </row>
    <row r="2258" customFormat="false" ht="28.35" hidden="false" customHeight="false" outlineLevel="0" collapsed="false">
      <c r="A2258" s="4" t="n">
        <v>104</v>
      </c>
      <c r="B2258" s="4" t="s">
        <v>2778</v>
      </c>
      <c r="C2258" s="4" t="s">
        <v>428</v>
      </c>
      <c r="D2258" s="4" t="s">
        <v>3465</v>
      </c>
      <c r="E2258" s="4"/>
      <c r="F2258" s="4" t="s">
        <v>30</v>
      </c>
    </row>
    <row r="2259" customFormat="false" ht="28.35" hidden="false" customHeight="false" outlineLevel="0" collapsed="false">
      <c r="A2259" s="4" t="n">
        <v>104</v>
      </c>
      <c r="B2259" s="4" t="s">
        <v>2778</v>
      </c>
      <c r="C2259" s="4" t="s">
        <v>429</v>
      </c>
      <c r="D2259" s="4" t="s">
        <v>3466</v>
      </c>
      <c r="E2259" s="4"/>
      <c r="F2259" s="4" t="s">
        <v>35</v>
      </c>
    </row>
    <row r="2260" customFormat="false" ht="41.75" hidden="false" customHeight="false" outlineLevel="0" collapsed="false">
      <c r="A2260" s="4" t="n">
        <v>104</v>
      </c>
      <c r="B2260" s="4" t="s">
        <v>2778</v>
      </c>
      <c r="C2260" s="4" t="s">
        <v>430</v>
      </c>
      <c r="D2260" s="4" t="s">
        <v>3467</v>
      </c>
      <c r="E2260" s="4"/>
      <c r="F2260" s="4" t="s">
        <v>2791</v>
      </c>
    </row>
    <row r="2261" customFormat="false" ht="28.35" hidden="false" customHeight="false" outlineLevel="0" collapsed="false">
      <c r="A2261" s="4" t="n">
        <v>104</v>
      </c>
      <c r="B2261" s="4" t="s">
        <v>2778</v>
      </c>
      <c r="C2261" s="4" t="s">
        <v>431</v>
      </c>
      <c r="D2261" s="4" t="s">
        <v>3468</v>
      </c>
      <c r="E2261" s="4"/>
      <c r="F2261" s="4" t="s">
        <v>484</v>
      </c>
    </row>
    <row r="2262" customFormat="false" ht="28.35" hidden="false" customHeight="false" outlineLevel="0" collapsed="false">
      <c r="A2262" s="4" t="n">
        <v>104</v>
      </c>
      <c r="B2262" s="4" t="s">
        <v>2778</v>
      </c>
      <c r="C2262" s="4" t="s">
        <v>432</v>
      </c>
      <c r="D2262" s="4" t="s">
        <v>3469</v>
      </c>
      <c r="E2262" s="4"/>
      <c r="F2262" s="4" t="s">
        <v>664</v>
      </c>
    </row>
    <row r="2263" customFormat="false" ht="28.35" hidden="false" customHeight="false" outlineLevel="0" collapsed="false">
      <c r="A2263" s="4" t="n">
        <v>104</v>
      </c>
      <c r="B2263" s="4" t="s">
        <v>2778</v>
      </c>
      <c r="C2263" s="4" t="s">
        <v>433</v>
      </c>
      <c r="D2263" s="4" t="s">
        <v>3470</v>
      </c>
      <c r="E2263" s="4"/>
      <c r="F2263" s="4" t="s">
        <v>2792</v>
      </c>
    </row>
    <row r="2264" customFormat="false" ht="28.35" hidden="false" customHeight="false" outlineLevel="0" collapsed="false">
      <c r="A2264" s="4" t="n">
        <v>104</v>
      </c>
      <c r="B2264" s="4" t="s">
        <v>2778</v>
      </c>
      <c r="C2264" s="4" t="s">
        <v>434</v>
      </c>
      <c r="D2264" s="4" t="s">
        <v>3482</v>
      </c>
      <c r="E2264" s="4"/>
      <c r="F2264" s="4" t="s">
        <v>2793</v>
      </c>
    </row>
    <row r="2265" customFormat="false" ht="28.35" hidden="false" customHeight="false" outlineLevel="0" collapsed="false">
      <c r="A2265" s="4" t="n">
        <v>104</v>
      </c>
      <c r="B2265" s="4" t="s">
        <v>2778</v>
      </c>
      <c r="C2265" s="4" t="s">
        <v>435</v>
      </c>
      <c r="D2265" s="4" t="s">
        <v>3510</v>
      </c>
      <c r="E2265" s="4"/>
      <c r="F2265" s="4" t="s">
        <v>243</v>
      </c>
    </row>
    <row r="2266" customFormat="false" ht="28.35" hidden="false" customHeight="false" outlineLevel="0" collapsed="false">
      <c r="A2266" s="4" t="n">
        <v>104</v>
      </c>
      <c r="B2266" s="4" t="s">
        <v>2778</v>
      </c>
      <c r="C2266" s="4" t="s">
        <v>436</v>
      </c>
      <c r="D2266" s="4" t="s">
        <v>3471</v>
      </c>
      <c r="E2266" s="4"/>
      <c r="F2266" s="4" t="s">
        <v>242</v>
      </c>
    </row>
    <row r="2267" customFormat="false" ht="28.35" hidden="false" customHeight="false" outlineLevel="0" collapsed="false">
      <c r="A2267" s="4" t="n">
        <v>104</v>
      </c>
      <c r="B2267" s="4" t="s">
        <v>2778</v>
      </c>
      <c r="C2267" s="4" t="s">
        <v>437</v>
      </c>
      <c r="D2267" s="4" t="s">
        <v>3472</v>
      </c>
      <c r="E2267" s="4"/>
      <c r="F2267" s="4" t="n">
        <v>2</v>
      </c>
    </row>
    <row r="2268" customFormat="false" ht="108.95" hidden="false" customHeight="false" outlineLevel="0" collapsed="false">
      <c r="A2268" s="4" t="n">
        <v>105</v>
      </c>
      <c r="B2268" s="4" t="s">
        <v>2794</v>
      </c>
      <c r="C2268" s="4" t="s">
        <v>372</v>
      </c>
      <c r="D2268" s="4" t="s">
        <v>3504</v>
      </c>
      <c r="E2268" s="4" t="s">
        <v>3708</v>
      </c>
      <c r="F2268" s="4" t="s">
        <v>2799</v>
      </c>
    </row>
    <row r="2269" customFormat="false" ht="68.65" hidden="false" customHeight="false" outlineLevel="0" collapsed="false">
      <c r="A2269" s="4" t="n">
        <v>105</v>
      </c>
      <c r="B2269" s="4" t="s">
        <v>2794</v>
      </c>
      <c r="C2269" s="4" t="s">
        <v>374</v>
      </c>
      <c r="D2269" s="4" t="s">
        <v>3616</v>
      </c>
      <c r="E2269" s="4" t="s">
        <v>2934</v>
      </c>
      <c r="F2269" s="4" t="s">
        <v>2800</v>
      </c>
    </row>
    <row r="2270" customFormat="false" ht="68.65" hidden="false" customHeight="false" outlineLevel="0" collapsed="false">
      <c r="A2270" s="4" t="n">
        <v>105</v>
      </c>
      <c r="B2270" s="4" t="s">
        <v>2794</v>
      </c>
      <c r="C2270" s="4" t="s">
        <v>380</v>
      </c>
      <c r="D2270" s="4" t="s">
        <v>3474</v>
      </c>
      <c r="E2270" s="4" t="s">
        <v>2808</v>
      </c>
      <c r="F2270" s="4" t="s">
        <v>2801</v>
      </c>
    </row>
    <row r="2271" customFormat="false" ht="28.35" hidden="false" customHeight="false" outlineLevel="0" collapsed="false">
      <c r="A2271" s="4" t="n">
        <v>105</v>
      </c>
      <c r="B2271" s="4" t="s">
        <v>2794</v>
      </c>
      <c r="C2271" s="4" t="s">
        <v>403</v>
      </c>
      <c r="D2271" s="4" t="s">
        <v>3481</v>
      </c>
      <c r="E2271" s="4" t="s">
        <v>3004</v>
      </c>
      <c r="F2271" s="4" t="s">
        <v>2802</v>
      </c>
    </row>
    <row r="2272" customFormat="false" ht="28.35" hidden="false" customHeight="false" outlineLevel="0" collapsed="false">
      <c r="A2272" s="4" t="n">
        <v>105</v>
      </c>
      <c r="B2272" s="4" t="s">
        <v>2794</v>
      </c>
      <c r="C2272" s="4" t="s">
        <v>427</v>
      </c>
      <c r="D2272" s="4" t="s">
        <v>3464</v>
      </c>
      <c r="E2272" s="4"/>
      <c r="F2272" s="4" t="s">
        <v>26</v>
      </c>
    </row>
    <row r="2273" customFormat="false" ht="28.35" hidden="false" customHeight="false" outlineLevel="0" collapsed="false">
      <c r="A2273" s="4" t="n">
        <v>105</v>
      </c>
      <c r="B2273" s="4" t="s">
        <v>2794</v>
      </c>
      <c r="C2273" s="4" t="s">
        <v>428</v>
      </c>
      <c r="D2273" s="4" t="s">
        <v>3465</v>
      </c>
      <c r="E2273" s="4"/>
      <c r="F2273" s="4" t="s">
        <v>26</v>
      </c>
    </row>
    <row r="2274" customFormat="false" ht="28.35" hidden="false" customHeight="false" outlineLevel="0" collapsed="false">
      <c r="A2274" s="4" t="n">
        <v>105</v>
      </c>
      <c r="B2274" s="4" t="s">
        <v>2794</v>
      </c>
      <c r="C2274" s="4" t="s">
        <v>429</v>
      </c>
      <c r="D2274" s="4" t="s">
        <v>3466</v>
      </c>
      <c r="E2274" s="4"/>
      <c r="F2274" s="4" t="s">
        <v>39</v>
      </c>
    </row>
    <row r="2275" customFormat="false" ht="28.35" hidden="false" customHeight="false" outlineLevel="0" collapsed="false">
      <c r="A2275" s="4" t="n">
        <v>105</v>
      </c>
      <c r="B2275" s="4" t="s">
        <v>2794</v>
      </c>
      <c r="C2275" s="4" t="s">
        <v>431</v>
      </c>
      <c r="D2275" s="4" t="s">
        <v>3468</v>
      </c>
      <c r="E2275" s="4"/>
      <c r="F2275" s="4" t="s">
        <v>484</v>
      </c>
    </row>
    <row r="2276" customFormat="false" ht="28.35" hidden="false" customHeight="false" outlineLevel="0" collapsed="false">
      <c r="A2276" s="4" t="n">
        <v>105</v>
      </c>
      <c r="B2276" s="4" t="s">
        <v>2794</v>
      </c>
      <c r="C2276" s="4" t="s">
        <v>432</v>
      </c>
      <c r="D2276" s="4" t="s">
        <v>3469</v>
      </c>
      <c r="E2276" s="4"/>
      <c r="F2276" s="4" t="s">
        <v>485</v>
      </c>
    </row>
    <row r="2277" customFormat="false" ht="28.35" hidden="false" customHeight="false" outlineLevel="0" collapsed="false">
      <c r="A2277" s="4" t="n">
        <v>105</v>
      </c>
      <c r="B2277" s="4" t="s">
        <v>2794</v>
      </c>
      <c r="C2277" s="4" t="s">
        <v>433</v>
      </c>
      <c r="D2277" s="4" t="s">
        <v>3470</v>
      </c>
      <c r="E2277" s="4"/>
      <c r="F2277" s="4" t="s">
        <v>2809</v>
      </c>
    </row>
    <row r="2278" customFormat="false" ht="28.35" hidden="false" customHeight="false" outlineLevel="0" collapsed="false">
      <c r="A2278" s="4" t="n">
        <v>105</v>
      </c>
      <c r="B2278" s="4" t="s">
        <v>2794</v>
      </c>
      <c r="C2278" s="4" t="s">
        <v>436</v>
      </c>
      <c r="D2278" s="4" t="s">
        <v>3471</v>
      </c>
      <c r="E2278" s="4"/>
      <c r="F2278" s="4" t="s">
        <v>2810</v>
      </c>
    </row>
    <row r="2279" customFormat="false" ht="28.35" hidden="false" customHeight="false" outlineLevel="0" collapsed="false">
      <c r="A2279" s="4" t="n">
        <v>106</v>
      </c>
      <c r="B2279" s="4" t="s">
        <v>2811</v>
      </c>
      <c r="C2279" s="4" t="s">
        <v>365</v>
      </c>
      <c r="D2279" s="4" t="s">
        <v>3547</v>
      </c>
      <c r="E2279" s="4"/>
      <c r="F2279" s="4" t="n">
        <v>81.00922</v>
      </c>
    </row>
    <row r="2280" customFormat="false" ht="28.35" hidden="false" customHeight="false" outlineLevel="0" collapsed="false">
      <c r="A2280" s="4" t="n">
        <v>106</v>
      </c>
      <c r="B2280" s="4" t="s">
        <v>2811</v>
      </c>
      <c r="C2280" s="4" t="s">
        <v>366</v>
      </c>
      <c r="D2280" s="4" t="s">
        <v>3548</v>
      </c>
      <c r="E2280" s="4"/>
      <c r="F2280" s="4" t="n">
        <v>2026</v>
      </c>
    </row>
    <row r="2281" customFormat="false" ht="28.35" hidden="false" customHeight="false" outlineLevel="0" collapsed="false">
      <c r="A2281" s="4" t="n">
        <v>106</v>
      </c>
      <c r="B2281" s="4" t="s">
        <v>2811</v>
      </c>
      <c r="C2281" s="4" t="s">
        <v>367</v>
      </c>
      <c r="D2281" s="4" t="s">
        <v>3549</v>
      </c>
      <c r="E2281" s="4"/>
      <c r="F2281" s="4" t="s">
        <v>6</v>
      </c>
    </row>
    <row r="2282" customFormat="false" ht="28.35" hidden="false" customHeight="false" outlineLevel="0" collapsed="false">
      <c r="A2282" s="4" t="n">
        <v>106</v>
      </c>
      <c r="B2282" s="4" t="s">
        <v>2811</v>
      </c>
      <c r="C2282" s="4" t="s">
        <v>368</v>
      </c>
      <c r="D2282" s="4" t="s">
        <v>3550</v>
      </c>
      <c r="E2282" s="4"/>
      <c r="F2282" s="4" t="s">
        <v>2817</v>
      </c>
    </row>
    <row r="2283" customFormat="false" ht="28.35" hidden="false" customHeight="false" outlineLevel="0" collapsed="false">
      <c r="A2283" s="4" t="n">
        <v>106</v>
      </c>
      <c r="B2283" s="4" t="s">
        <v>2811</v>
      </c>
      <c r="C2283" s="4" t="s">
        <v>369</v>
      </c>
      <c r="D2283" s="4" t="s">
        <v>3503</v>
      </c>
      <c r="E2283" s="4" t="s">
        <v>780</v>
      </c>
      <c r="F2283" s="4" t="s">
        <v>494</v>
      </c>
    </row>
    <row r="2284" customFormat="false" ht="122.35" hidden="false" customHeight="false" outlineLevel="0" collapsed="false">
      <c r="A2284" s="4" t="n">
        <v>106</v>
      </c>
      <c r="B2284" s="4" t="s">
        <v>2811</v>
      </c>
      <c r="C2284" s="4" t="s">
        <v>372</v>
      </c>
      <c r="D2284" s="4" t="s">
        <v>3504</v>
      </c>
      <c r="E2284" s="4" t="s">
        <v>3708</v>
      </c>
      <c r="F2284" s="4" t="s">
        <v>2818</v>
      </c>
    </row>
    <row r="2285" customFormat="false" ht="28.35" hidden="false" customHeight="false" outlineLevel="0" collapsed="false">
      <c r="A2285" s="4" t="n">
        <v>106</v>
      </c>
      <c r="B2285" s="4" t="s">
        <v>2811</v>
      </c>
      <c r="C2285" s="4" t="s">
        <v>373</v>
      </c>
      <c r="D2285" s="4" t="s">
        <v>3664</v>
      </c>
      <c r="E2285" s="4" t="s">
        <v>2595</v>
      </c>
      <c r="F2285" s="4" t="s">
        <v>2819</v>
      </c>
    </row>
    <row r="2286" customFormat="false" ht="68.65" hidden="false" customHeight="false" outlineLevel="0" collapsed="false">
      <c r="A2286" s="4" t="n">
        <v>106</v>
      </c>
      <c r="B2286" s="4" t="s">
        <v>2811</v>
      </c>
      <c r="C2286" s="4" t="s">
        <v>374</v>
      </c>
      <c r="D2286" s="4" t="s">
        <v>3616</v>
      </c>
      <c r="E2286" s="4" t="s">
        <v>2934</v>
      </c>
      <c r="F2286" s="4" t="s">
        <v>2820</v>
      </c>
    </row>
    <row r="2287" customFormat="false" ht="28.35" hidden="false" customHeight="false" outlineLevel="0" collapsed="false">
      <c r="A2287" s="4" t="n">
        <v>106</v>
      </c>
      <c r="B2287" s="4" t="s">
        <v>2811</v>
      </c>
      <c r="C2287" s="4" t="s">
        <v>380</v>
      </c>
      <c r="D2287" s="4" t="s">
        <v>3474</v>
      </c>
      <c r="E2287" s="4" t="s">
        <v>2826</v>
      </c>
      <c r="F2287" s="4" t="s">
        <v>2821</v>
      </c>
    </row>
    <row r="2288" customFormat="false" ht="28.35" hidden="false" customHeight="false" outlineLevel="0" collapsed="false">
      <c r="A2288" s="4" t="n">
        <v>106</v>
      </c>
      <c r="B2288" s="4" t="s">
        <v>2811</v>
      </c>
      <c r="C2288" s="4" t="s">
        <v>403</v>
      </c>
      <c r="D2288" s="4" t="s">
        <v>3481</v>
      </c>
      <c r="E2288" s="4" t="s">
        <v>3004</v>
      </c>
      <c r="F2288" s="4" t="s">
        <v>2822</v>
      </c>
    </row>
    <row r="2289" customFormat="false" ht="28.35" hidden="false" customHeight="false" outlineLevel="0" collapsed="false">
      <c r="A2289" s="4" t="n">
        <v>106</v>
      </c>
      <c r="B2289" s="4" t="s">
        <v>2811</v>
      </c>
      <c r="C2289" s="4" t="s">
        <v>427</v>
      </c>
      <c r="D2289" s="4" t="s">
        <v>3464</v>
      </c>
      <c r="E2289" s="4"/>
      <c r="F2289" s="4" t="s">
        <v>25</v>
      </c>
    </row>
    <row r="2290" customFormat="false" ht="28.35" hidden="false" customHeight="false" outlineLevel="0" collapsed="false">
      <c r="A2290" s="4" t="n">
        <v>106</v>
      </c>
      <c r="B2290" s="4" t="s">
        <v>2811</v>
      </c>
      <c r="C2290" s="4" t="s">
        <v>428</v>
      </c>
      <c r="D2290" s="4" t="s">
        <v>3465</v>
      </c>
      <c r="E2290" s="4"/>
      <c r="F2290" s="4" t="s">
        <v>32</v>
      </c>
    </row>
    <row r="2291" customFormat="false" ht="28.35" hidden="false" customHeight="false" outlineLevel="0" collapsed="false">
      <c r="A2291" s="4" t="n">
        <v>106</v>
      </c>
      <c r="B2291" s="4" t="s">
        <v>2811</v>
      </c>
      <c r="C2291" s="4" t="s">
        <v>429</v>
      </c>
      <c r="D2291" s="4" t="s">
        <v>3466</v>
      </c>
      <c r="E2291" s="4"/>
      <c r="F2291" s="4" t="s">
        <v>34</v>
      </c>
    </row>
    <row r="2292" customFormat="false" ht="28.35" hidden="false" customHeight="false" outlineLevel="0" collapsed="false">
      <c r="A2292" s="4" t="n">
        <v>106</v>
      </c>
      <c r="B2292" s="4" t="s">
        <v>2811</v>
      </c>
      <c r="C2292" s="4" t="s">
        <v>431</v>
      </c>
      <c r="D2292" s="4" t="s">
        <v>3468</v>
      </c>
      <c r="E2292" s="4"/>
      <c r="F2292" s="4" t="s">
        <v>484</v>
      </c>
    </row>
    <row r="2293" customFormat="false" ht="28.35" hidden="false" customHeight="false" outlineLevel="0" collapsed="false">
      <c r="A2293" s="4" t="n">
        <v>106</v>
      </c>
      <c r="B2293" s="4" t="s">
        <v>2811</v>
      </c>
      <c r="C2293" s="4" t="s">
        <v>432</v>
      </c>
      <c r="D2293" s="4" t="s">
        <v>3469</v>
      </c>
      <c r="E2293" s="4"/>
      <c r="F2293" s="4" t="s">
        <v>664</v>
      </c>
    </row>
    <row r="2294" customFormat="false" ht="28.35" hidden="false" customHeight="false" outlineLevel="0" collapsed="false">
      <c r="A2294" s="4" t="n">
        <v>106</v>
      </c>
      <c r="B2294" s="4" t="s">
        <v>2811</v>
      </c>
      <c r="C2294" s="4" t="s">
        <v>433</v>
      </c>
      <c r="D2294" s="4" t="s">
        <v>3470</v>
      </c>
      <c r="E2294" s="4"/>
      <c r="F2294" s="4" t="s">
        <v>2827</v>
      </c>
    </row>
    <row r="2295" customFormat="false" ht="28.35" hidden="false" customHeight="false" outlineLevel="0" collapsed="false">
      <c r="A2295" s="4" t="n">
        <v>106</v>
      </c>
      <c r="B2295" s="4" t="s">
        <v>2811</v>
      </c>
      <c r="C2295" s="4" t="s">
        <v>434</v>
      </c>
      <c r="D2295" s="4" t="s">
        <v>3482</v>
      </c>
      <c r="E2295" s="4"/>
      <c r="F2295" s="4" t="s">
        <v>2828</v>
      </c>
    </row>
    <row r="2296" customFormat="false" ht="28.35" hidden="false" customHeight="false" outlineLevel="0" collapsed="false">
      <c r="A2296" s="4" t="n">
        <v>106</v>
      </c>
      <c r="B2296" s="4" t="s">
        <v>2811</v>
      </c>
      <c r="C2296" s="4" t="s">
        <v>436</v>
      </c>
      <c r="D2296" s="4" t="s">
        <v>3471</v>
      </c>
      <c r="E2296" s="4"/>
      <c r="F2296" s="4" t="s">
        <v>2829</v>
      </c>
    </row>
    <row r="2297" customFormat="false" ht="15" hidden="false" customHeight="false" outlineLevel="0" collapsed="false">
      <c r="A2297" s="4" t="n">
        <v>107</v>
      </c>
      <c r="B2297" s="4" t="s">
        <v>2830</v>
      </c>
      <c r="C2297" s="4" t="s">
        <v>365</v>
      </c>
      <c r="D2297" s="4" t="s">
        <v>3547</v>
      </c>
      <c r="E2297" s="4"/>
      <c r="F2297" s="4" t="n">
        <v>15.98</v>
      </c>
    </row>
    <row r="2298" customFormat="false" ht="15" hidden="false" customHeight="false" outlineLevel="0" collapsed="false">
      <c r="A2298" s="4" t="n">
        <v>107</v>
      </c>
      <c r="B2298" s="4" t="s">
        <v>2830</v>
      </c>
      <c r="C2298" s="4" t="s">
        <v>366</v>
      </c>
      <c r="D2298" s="4" t="s">
        <v>3548</v>
      </c>
      <c r="E2298" s="4"/>
      <c r="F2298" s="4" t="n">
        <v>2026</v>
      </c>
    </row>
    <row r="2299" customFormat="false" ht="15" hidden="false" customHeight="false" outlineLevel="0" collapsed="false">
      <c r="A2299" s="4" t="n">
        <v>107</v>
      </c>
      <c r="B2299" s="4" t="s">
        <v>2830</v>
      </c>
      <c r="C2299" s="4" t="s">
        <v>367</v>
      </c>
      <c r="D2299" s="4" t="s">
        <v>3549</v>
      </c>
      <c r="E2299" s="4"/>
      <c r="F2299" s="4" t="s">
        <v>6</v>
      </c>
    </row>
    <row r="2300" customFormat="false" ht="15" hidden="false" customHeight="false" outlineLevel="0" collapsed="false">
      <c r="A2300" s="4" t="n">
        <v>107</v>
      </c>
      <c r="B2300" s="4" t="s">
        <v>2830</v>
      </c>
      <c r="C2300" s="4" t="s">
        <v>368</v>
      </c>
      <c r="D2300" s="4" t="s">
        <v>3550</v>
      </c>
      <c r="E2300" s="4"/>
      <c r="F2300" s="4" t="s">
        <v>2835</v>
      </c>
    </row>
    <row r="2301" customFormat="false" ht="15" hidden="false" customHeight="false" outlineLevel="0" collapsed="false">
      <c r="A2301" s="4" t="n">
        <v>107</v>
      </c>
      <c r="B2301" s="4" t="s">
        <v>2830</v>
      </c>
      <c r="C2301" s="4" t="s">
        <v>369</v>
      </c>
      <c r="D2301" s="4" t="s">
        <v>3503</v>
      </c>
      <c r="E2301" s="4" t="s">
        <v>780</v>
      </c>
      <c r="F2301" s="4" t="s">
        <v>494</v>
      </c>
    </row>
    <row r="2302" customFormat="false" ht="122.35" hidden="false" customHeight="false" outlineLevel="0" collapsed="false">
      <c r="A2302" s="4" t="n">
        <v>107</v>
      </c>
      <c r="B2302" s="4" t="s">
        <v>2830</v>
      </c>
      <c r="C2302" s="4" t="s">
        <v>372</v>
      </c>
      <c r="D2302" s="4" t="s">
        <v>3504</v>
      </c>
      <c r="E2302" s="4" t="s">
        <v>3734</v>
      </c>
      <c r="F2302" s="4" t="s">
        <v>2836</v>
      </c>
    </row>
    <row r="2303" customFormat="false" ht="15" hidden="false" customHeight="false" outlineLevel="0" collapsed="false">
      <c r="A2303" s="4" t="n">
        <v>107</v>
      </c>
      <c r="B2303" s="4" t="s">
        <v>2830</v>
      </c>
      <c r="C2303" s="4" t="s">
        <v>373</v>
      </c>
      <c r="D2303" s="4" t="s">
        <v>3664</v>
      </c>
      <c r="E2303" s="4" t="s">
        <v>2595</v>
      </c>
      <c r="F2303" s="4" t="s">
        <v>2837</v>
      </c>
    </row>
    <row r="2304" customFormat="false" ht="68.65" hidden="false" customHeight="false" outlineLevel="0" collapsed="false">
      <c r="A2304" s="4" t="n">
        <v>107</v>
      </c>
      <c r="B2304" s="4" t="s">
        <v>2830</v>
      </c>
      <c r="C2304" s="4" t="s">
        <v>374</v>
      </c>
      <c r="D2304" s="4" t="s">
        <v>3616</v>
      </c>
      <c r="E2304" s="4" t="s">
        <v>2934</v>
      </c>
      <c r="F2304" s="4" t="s">
        <v>2838</v>
      </c>
    </row>
    <row r="2305" customFormat="false" ht="135.8" hidden="false" customHeight="false" outlineLevel="0" collapsed="false">
      <c r="A2305" s="4" t="n">
        <v>107</v>
      </c>
      <c r="B2305" s="4" t="s">
        <v>2830</v>
      </c>
      <c r="C2305" s="4" t="s">
        <v>380</v>
      </c>
      <c r="D2305" s="4" t="s">
        <v>3474</v>
      </c>
      <c r="E2305" s="4" t="s">
        <v>3735</v>
      </c>
      <c r="F2305" s="4" t="s">
        <v>2839</v>
      </c>
    </row>
    <row r="2306" customFormat="false" ht="28.35" hidden="false" customHeight="false" outlineLevel="0" collapsed="false">
      <c r="A2306" s="4" t="n">
        <v>107</v>
      </c>
      <c r="B2306" s="4" t="s">
        <v>2830</v>
      </c>
      <c r="C2306" s="4" t="s">
        <v>403</v>
      </c>
      <c r="D2306" s="4" t="s">
        <v>3481</v>
      </c>
      <c r="E2306" s="4" t="s">
        <v>3004</v>
      </c>
      <c r="F2306" s="4" t="s">
        <v>2868</v>
      </c>
    </row>
    <row r="2307" customFormat="false" ht="41.75" hidden="false" customHeight="false" outlineLevel="0" collapsed="false">
      <c r="A2307" s="4" t="n">
        <v>107</v>
      </c>
      <c r="B2307" s="4" t="s">
        <v>2830</v>
      </c>
      <c r="C2307" s="4" t="s">
        <v>403</v>
      </c>
      <c r="D2307" s="4" t="s">
        <v>3481</v>
      </c>
      <c r="E2307" s="4" t="s">
        <v>2868</v>
      </c>
      <c r="F2307" s="4" t="s">
        <v>2840</v>
      </c>
    </row>
    <row r="2308" customFormat="false" ht="15" hidden="false" customHeight="false" outlineLevel="0" collapsed="false">
      <c r="A2308" s="4" t="n">
        <v>107</v>
      </c>
      <c r="B2308" s="4" t="s">
        <v>2830</v>
      </c>
      <c r="C2308" s="4" t="s">
        <v>16</v>
      </c>
      <c r="D2308" s="4" t="s">
        <v>3487</v>
      </c>
      <c r="E2308" s="4"/>
      <c r="F2308" s="4" t="n">
        <v>74</v>
      </c>
    </row>
    <row r="2309" customFormat="false" ht="15" hidden="false" customHeight="false" outlineLevel="0" collapsed="false">
      <c r="A2309" s="4" t="n">
        <v>107</v>
      </c>
      <c r="B2309" s="4" t="s">
        <v>2830</v>
      </c>
      <c r="C2309" s="4" t="s">
        <v>404</v>
      </c>
      <c r="D2309" s="4" t="s">
        <v>3488</v>
      </c>
      <c r="E2309" s="4"/>
      <c r="F2309" s="4" t="s">
        <v>964</v>
      </c>
    </row>
    <row r="2310" customFormat="false" ht="41.75" hidden="false" customHeight="false" outlineLevel="0" collapsed="false">
      <c r="A2310" s="4" t="n">
        <v>107</v>
      </c>
      <c r="B2310" s="4" t="s">
        <v>2830</v>
      </c>
      <c r="C2310" s="4" t="s">
        <v>405</v>
      </c>
      <c r="D2310" s="4" t="s">
        <v>3489</v>
      </c>
      <c r="E2310" s="4"/>
      <c r="F2310" s="4" t="s">
        <v>2841</v>
      </c>
    </row>
    <row r="2311" customFormat="false" ht="41.75" hidden="false" customHeight="false" outlineLevel="0" collapsed="false">
      <c r="A2311" s="4" t="n">
        <v>107</v>
      </c>
      <c r="B2311" s="4" t="s">
        <v>2830</v>
      </c>
      <c r="C2311" s="4" t="s">
        <v>406</v>
      </c>
      <c r="D2311" s="4" t="s">
        <v>3490</v>
      </c>
      <c r="E2311" s="4"/>
      <c r="F2311" s="4" t="s">
        <v>2509</v>
      </c>
    </row>
    <row r="2312" customFormat="false" ht="68.65" hidden="false" customHeight="false" outlineLevel="0" collapsed="false">
      <c r="A2312" s="4" t="n">
        <v>107</v>
      </c>
      <c r="B2312" s="4" t="s">
        <v>2830</v>
      </c>
      <c r="C2312" s="4" t="s">
        <v>407</v>
      </c>
      <c r="D2312" s="4" t="s">
        <v>3485</v>
      </c>
      <c r="E2312" s="4"/>
      <c r="F2312" s="4" t="s">
        <v>2842</v>
      </c>
    </row>
    <row r="2313" customFormat="false" ht="135.8" hidden="false" customHeight="false" outlineLevel="0" collapsed="false">
      <c r="A2313" s="4" t="n">
        <v>107</v>
      </c>
      <c r="B2313" s="4" t="s">
        <v>2830</v>
      </c>
      <c r="C2313" s="4" t="s">
        <v>419</v>
      </c>
      <c r="D2313" s="4" t="s">
        <v>3534</v>
      </c>
      <c r="E2313" s="4"/>
      <c r="F2313" s="4" t="s">
        <v>2847</v>
      </c>
    </row>
    <row r="2314" customFormat="false" ht="15" hidden="false" customHeight="false" outlineLevel="0" collapsed="false">
      <c r="A2314" s="4" t="n">
        <v>107</v>
      </c>
      <c r="B2314" s="4" t="s">
        <v>2830</v>
      </c>
      <c r="C2314" s="4" t="s">
        <v>427</v>
      </c>
      <c r="D2314" s="4" t="s">
        <v>3464</v>
      </c>
      <c r="E2314" s="4"/>
      <c r="F2314" s="4" t="s">
        <v>24</v>
      </c>
    </row>
    <row r="2315" customFormat="false" ht="15" hidden="false" customHeight="false" outlineLevel="0" collapsed="false">
      <c r="A2315" s="4" t="n">
        <v>107</v>
      </c>
      <c r="B2315" s="4" t="s">
        <v>2830</v>
      </c>
      <c r="C2315" s="4" t="s">
        <v>428</v>
      </c>
      <c r="D2315" s="4" t="s">
        <v>3465</v>
      </c>
      <c r="E2315" s="4"/>
      <c r="F2315" s="4" t="s">
        <v>30</v>
      </c>
    </row>
    <row r="2316" customFormat="false" ht="15" hidden="false" customHeight="false" outlineLevel="0" collapsed="false">
      <c r="A2316" s="4" t="n">
        <v>107</v>
      </c>
      <c r="B2316" s="4" t="s">
        <v>2830</v>
      </c>
      <c r="C2316" s="4" t="s">
        <v>429</v>
      </c>
      <c r="D2316" s="4" t="s">
        <v>3466</v>
      </c>
      <c r="E2316" s="4"/>
      <c r="F2316" s="4" t="s">
        <v>34</v>
      </c>
    </row>
    <row r="2317" customFormat="false" ht="15" hidden="false" customHeight="false" outlineLevel="0" collapsed="false">
      <c r="A2317" s="4" t="n">
        <v>107</v>
      </c>
      <c r="B2317" s="4" t="s">
        <v>2830</v>
      </c>
      <c r="C2317" s="4" t="s">
        <v>431</v>
      </c>
      <c r="D2317" s="4" t="s">
        <v>3468</v>
      </c>
      <c r="E2317" s="4"/>
      <c r="F2317" s="4" t="s">
        <v>484</v>
      </c>
    </row>
    <row r="2318" customFormat="false" ht="15" hidden="false" customHeight="false" outlineLevel="0" collapsed="false">
      <c r="A2318" s="4" t="n">
        <v>107</v>
      </c>
      <c r="B2318" s="4" t="s">
        <v>2830</v>
      </c>
      <c r="C2318" s="4" t="s">
        <v>432</v>
      </c>
      <c r="D2318" s="4" t="s">
        <v>3469</v>
      </c>
      <c r="E2318" s="4"/>
      <c r="F2318" s="4" t="s">
        <v>664</v>
      </c>
    </row>
    <row r="2319" customFormat="false" ht="28.35" hidden="false" customHeight="false" outlineLevel="0" collapsed="false">
      <c r="A2319" s="4" t="n">
        <v>107</v>
      </c>
      <c r="B2319" s="4" t="s">
        <v>2830</v>
      </c>
      <c r="C2319" s="4" t="s">
        <v>433</v>
      </c>
      <c r="D2319" s="4" t="s">
        <v>3470</v>
      </c>
      <c r="E2319" s="4"/>
      <c r="F2319" s="4" t="s">
        <v>2848</v>
      </c>
    </row>
    <row r="2320" customFormat="false" ht="15" hidden="false" customHeight="false" outlineLevel="0" collapsed="false">
      <c r="A2320" s="4" t="n">
        <v>107</v>
      </c>
      <c r="B2320" s="4" t="s">
        <v>2830</v>
      </c>
      <c r="C2320" s="4" t="s">
        <v>434</v>
      </c>
      <c r="D2320" s="4" t="s">
        <v>3482</v>
      </c>
      <c r="E2320" s="4"/>
      <c r="F2320" s="4" t="s">
        <v>2849</v>
      </c>
    </row>
    <row r="2321" customFormat="false" ht="15" hidden="false" customHeight="false" outlineLevel="0" collapsed="false">
      <c r="A2321" s="4" t="n">
        <v>107</v>
      </c>
      <c r="B2321" s="4" t="s">
        <v>2830</v>
      </c>
      <c r="C2321" s="4" t="s">
        <v>435</v>
      </c>
      <c r="D2321" s="4" t="s">
        <v>3510</v>
      </c>
      <c r="E2321" s="4"/>
      <c r="F2321" s="4" t="s">
        <v>2850</v>
      </c>
    </row>
    <row r="2322" customFormat="false" ht="15" hidden="false" customHeight="false" outlineLevel="0" collapsed="false">
      <c r="A2322" s="4" t="n">
        <v>107</v>
      </c>
      <c r="B2322" s="4" t="s">
        <v>2830</v>
      </c>
      <c r="C2322" s="4" t="s">
        <v>436</v>
      </c>
      <c r="D2322" s="4" t="s">
        <v>3471</v>
      </c>
      <c r="E2322" s="4"/>
      <c r="F2322" s="4" t="s">
        <v>2851</v>
      </c>
    </row>
    <row r="2323" customFormat="false" ht="28.35" hidden="false" customHeight="false" outlineLevel="0" collapsed="false">
      <c r="A2323" s="4" t="n">
        <v>107</v>
      </c>
      <c r="B2323" s="4" t="s">
        <v>2830</v>
      </c>
      <c r="C2323" s="4" t="s">
        <v>440</v>
      </c>
      <c r="D2323" s="4" t="s">
        <v>3491</v>
      </c>
      <c r="E2323" s="4"/>
      <c r="F2323" s="4" t="n">
        <v>26</v>
      </c>
    </row>
    <row r="2324" customFormat="false" ht="28.35" hidden="false" customHeight="false" outlineLevel="0" collapsed="false">
      <c r="A2324" s="4" t="n">
        <v>107</v>
      </c>
      <c r="B2324" s="4" t="s">
        <v>2830</v>
      </c>
      <c r="C2324" s="4" t="s">
        <v>441</v>
      </c>
      <c r="D2324" s="4" t="s">
        <v>3492</v>
      </c>
      <c r="E2324" s="4"/>
      <c r="F2324" s="4" t="n">
        <v>25</v>
      </c>
    </row>
    <row r="2325" customFormat="false" ht="15" hidden="false" customHeight="false" outlineLevel="0" collapsed="false">
      <c r="A2325" s="4" t="n">
        <v>107</v>
      </c>
      <c r="B2325" s="4" t="s">
        <v>2830</v>
      </c>
      <c r="C2325" s="4" t="s">
        <v>442</v>
      </c>
      <c r="D2325" s="4" t="s">
        <v>3493</v>
      </c>
      <c r="E2325" s="4"/>
      <c r="F2325" s="4" t="n">
        <v>18</v>
      </c>
    </row>
    <row r="2326" customFormat="false" ht="15" hidden="false" customHeight="false" outlineLevel="0" collapsed="false">
      <c r="A2326" s="4" t="n">
        <v>107</v>
      </c>
      <c r="B2326" s="4" t="s">
        <v>2830</v>
      </c>
      <c r="C2326" s="4" t="s">
        <v>443</v>
      </c>
      <c r="D2326" s="4" t="s">
        <v>3494</v>
      </c>
      <c r="E2326" s="4"/>
      <c r="F2326" s="4" t="n">
        <v>69</v>
      </c>
    </row>
    <row r="2327" customFormat="false" ht="15" hidden="false" customHeight="false" outlineLevel="0" collapsed="false">
      <c r="A2327" s="4" t="n">
        <v>107</v>
      </c>
      <c r="B2327" s="4" t="s">
        <v>2830</v>
      </c>
      <c r="C2327" s="4" t="s">
        <v>444</v>
      </c>
      <c r="D2327" s="4" t="s">
        <v>3495</v>
      </c>
      <c r="E2327" s="4"/>
      <c r="F2327" s="4" t="n">
        <v>5</v>
      </c>
    </row>
    <row r="2328" customFormat="false" ht="15" hidden="false" customHeight="false" outlineLevel="0" collapsed="false">
      <c r="A2328" s="4" t="n">
        <v>107</v>
      </c>
      <c r="B2328" s="4" t="s">
        <v>2830</v>
      </c>
      <c r="C2328" s="4" t="s">
        <v>445</v>
      </c>
      <c r="D2328" s="4" t="s">
        <v>3496</v>
      </c>
      <c r="E2328" s="4"/>
      <c r="F2328" s="4" t="n">
        <v>1</v>
      </c>
    </row>
    <row r="2329" customFormat="false" ht="15" hidden="false" customHeight="false" outlineLevel="0" collapsed="false">
      <c r="A2329" s="4" t="n">
        <v>107</v>
      </c>
      <c r="B2329" s="4" t="s">
        <v>2830</v>
      </c>
      <c r="C2329" s="4" t="s">
        <v>446</v>
      </c>
      <c r="D2329" s="4" t="s">
        <v>3497</v>
      </c>
      <c r="E2329" s="4"/>
      <c r="F2329" s="4" t="n">
        <v>0</v>
      </c>
    </row>
    <row r="2330" customFormat="false" ht="108.95" hidden="false" customHeight="false" outlineLevel="0" collapsed="false">
      <c r="A2330" s="4" t="n">
        <v>107</v>
      </c>
      <c r="B2330" s="4" t="s">
        <v>2830</v>
      </c>
      <c r="C2330" s="4" t="s">
        <v>447</v>
      </c>
      <c r="D2330" s="4" t="s">
        <v>3498</v>
      </c>
      <c r="E2330" s="4"/>
      <c r="F2330" s="4" t="s">
        <v>2852</v>
      </c>
    </row>
    <row r="2331" customFormat="false" ht="176.1" hidden="false" customHeight="false" outlineLevel="0" collapsed="false">
      <c r="A2331" s="4" t="n">
        <v>107</v>
      </c>
      <c r="B2331" s="4" t="s">
        <v>2830</v>
      </c>
      <c r="C2331" s="4" t="s">
        <v>448</v>
      </c>
      <c r="D2331" s="4" t="s">
        <v>3499</v>
      </c>
      <c r="E2331" s="4"/>
      <c r="F2331" s="4" t="s">
        <v>2853</v>
      </c>
    </row>
    <row r="2332" customFormat="false" ht="41.75" hidden="false" customHeight="false" outlineLevel="0" collapsed="false">
      <c r="A2332" s="4" t="n">
        <v>107</v>
      </c>
      <c r="B2332" s="4" t="s">
        <v>2830</v>
      </c>
      <c r="C2332" s="4" t="s">
        <v>449</v>
      </c>
      <c r="D2332" s="4" t="s">
        <v>3500</v>
      </c>
      <c r="E2332" s="4"/>
      <c r="F2332" s="4" t="s">
        <v>2854</v>
      </c>
    </row>
    <row r="2333" customFormat="false" ht="431.3" hidden="false" customHeight="false" outlineLevel="0" collapsed="false">
      <c r="A2333" s="4" t="n">
        <v>107</v>
      </c>
      <c r="B2333" s="4" t="s">
        <v>2830</v>
      </c>
      <c r="C2333" s="4" t="s">
        <v>450</v>
      </c>
      <c r="D2333" s="4" t="s">
        <v>3501</v>
      </c>
      <c r="E2333" s="4"/>
      <c r="F2333" s="4" t="s">
        <v>2855</v>
      </c>
    </row>
    <row r="2334" customFormat="false" ht="15" hidden="false" customHeight="false" outlineLevel="0" collapsed="false">
      <c r="A2334" s="4" t="n">
        <v>108</v>
      </c>
      <c r="B2334" s="4" t="s">
        <v>2856</v>
      </c>
      <c r="C2334" s="4" t="s">
        <v>365</v>
      </c>
      <c r="D2334" s="4" t="s">
        <v>3547</v>
      </c>
      <c r="E2334" s="4"/>
      <c r="F2334" s="4" t="n">
        <v>6.415</v>
      </c>
    </row>
    <row r="2335" customFormat="false" ht="15" hidden="false" customHeight="false" outlineLevel="0" collapsed="false">
      <c r="A2335" s="4" t="n">
        <v>108</v>
      </c>
      <c r="B2335" s="4" t="s">
        <v>2856</v>
      </c>
      <c r="C2335" s="4" t="s">
        <v>366</v>
      </c>
      <c r="D2335" s="4" t="s">
        <v>3548</v>
      </c>
      <c r="E2335" s="4"/>
      <c r="F2335" s="4" t="n">
        <v>2026</v>
      </c>
    </row>
    <row r="2336" customFormat="false" ht="15" hidden="false" customHeight="false" outlineLevel="0" collapsed="false">
      <c r="A2336" s="4" t="n">
        <v>108</v>
      </c>
      <c r="B2336" s="4" t="s">
        <v>2856</v>
      </c>
      <c r="C2336" s="4" t="s">
        <v>367</v>
      </c>
      <c r="D2336" s="4" t="s">
        <v>3549</v>
      </c>
      <c r="E2336" s="4"/>
      <c r="F2336" s="4" t="s">
        <v>6</v>
      </c>
    </row>
    <row r="2337" customFormat="false" ht="15" hidden="false" customHeight="false" outlineLevel="0" collapsed="false">
      <c r="A2337" s="4" t="n">
        <v>108</v>
      </c>
      <c r="B2337" s="4" t="s">
        <v>2856</v>
      </c>
      <c r="C2337" s="4" t="s">
        <v>368</v>
      </c>
      <c r="D2337" s="4" t="s">
        <v>3550</v>
      </c>
      <c r="E2337" s="4"/>
      <c r="F2337" s="4" t="s">
        <v>2835</v>
      </c>
    </row>
    <row r="2338" customFormat="false" ht="15" hidden="false" customHeight="false" outlineLevel="0" collapsed="false">
      <c r="A2338" s="4" t="n">
        <v>108</v>
      </c>
      <c r="B2338" s="4" t="s">
        <v>2856</v>
      </c>
      <c r="C2338" s="4" t="s">
        <v>369</v>
      </c>
      <c r="D2338" s="4" t="s">
        <v>3503</v>
      </c>
      <c r="E2338" s="4" t="s">
        <v>780</v>
      </c>
      <c r="F2338" s="4" t="s">
        <v>494</v>
      </c>
    </row>
    <row r="2339" customFormat="false" ht="82.05" hidden="false" customHeight="false" outlineLevel="0" collapsed="false">
      <c r="A2339" s="4" t="n">
        <v>108</v>
      </c>
      <c r="B2339" s="4" t="s">
        <v>2856</v>
      </c>
      <c r="C2339" s="4" t="s">
        <v>372</v>
      </c>
      <c r="D2339" s="4" t="s">
        <v>3504</v>
      </c>
      <c r="E2339" s="4" t="s">
        <v>3708</v>
      </c>
      <c r="F2339" s="4" t="s">
        <v>2861</v>
      </c>
    </row>
    <row r="2340" customFormat="false" ht="15" hidden="false" customHeight="false" outlineLevel="0" collapsed="false">
      <c r="A2340" s="4" t="n">
        <v>108</v>
      </c>
      <c r="B2340" s="4" t="s">
        <v>2856</v>
      </c>
      <c r="C2340" s="4" t="s">
        <v>373</v>
      </c>
      <c r="D2340" s="4" t="s">
        <v>3664</v>
      </c>
      <c r="E2340" s="4" t="s">
        <v>2595</v>
      </c>
      <c r="F2340" s="4" t="s">
        <v>2837</v>
      </c>
    </row>
    <row r="2341" customFormat="false" ht="68.65" hidden="false" customHeight="false" outlineLevel="0" collapsed="false">
      <c r="A2341" s="4" t="n">
        <v>108</v>
      </c>
      <c r="B2341" s="4" t="s">
        <v>2856</v>
      </c>
      <c r="C2341" s="4" t="s">
        <v>374</v>
      </c>
      <c r="D2341" s="4" t="s">
        <v>3616</v>
      </c>
      <c r="E2341" s="4" t="s">
        <v>2934</v>
      </c>
      <c r="F2341" s="4" t="s">
        <v>2862</v>
      </c>
    </row>
    <row r="2342" customFormat="false" ht="95.5" hidden="false" customHeight="false" outlineLevel="0" collapsed="false">
      <c r="A2342" s="4" t="n">
        <v>108</v>
      </c>
      <c r="B2342" s="4" t="s">
        <v>2856</v>
      </c>
      <c r="C2342" s="4" t="s">
        <v>380</v>
      </c>
      <c r="D2342" s="4" t="s">
        <v>3474</v>
      </c>
      <c r="E2342" s="4" t="s">
        <v>2874</v>
      </c>
      <c r="F2342" s="4" t="s">
        <v>2867</v>
      </c>
    </row>
    <row r="2343" customFormat="false" ht="28.35" hidden="false" customHeight="false" outlineLevel="0" collapsed="false">
      <c r="A2343" s="4" t="n">
        <v>108</v>
      </c>
      <c r="B2343" s="4" t="s">
        <v>2856</v>
      </c>
      <c r="C2343" s="4" t="s">
        <v>403</v>
      </c>
      <c r="D2343" s="4" t="s">
        <v>3481</v>
      </c>
      <c r="E2343" s="4" t="s">
        <v>3004</v>
      </c>
      <c r="F2343" s="4" t="s">
        <v>2868</v>
      </c>
    </row>
    <row r="2344" customFormat="false" ht="15" hidden="false" customHeight="false" outlineLevel="0" collapsed="false">
      <c r="A2344" s="4" t="n">
        <v>108</v>
      </c>
      <c r="B2344" s="4" t="s">
        <v>2856</v>
      </c>
      <c r="C2344" s="4" t="s">
        <v>16</v>
      </c>
      <c r="D2344" s="4" t="s">
        <v>3487</v>
      </c>
      <c r="E2344" s="4"/>
      <c r="F2344" s="4" t="n">
        <v>12</v>
      </c>
    </row>
    <row r="2345" customFormat="false" ht="15" hidden="false" customHeight="false" outlineLevel="0" collapsed="false">
      <c r="A2345" s="4" t="n">
        <v>108</v>
      </c>
      <c r="B2345" s="4" t="s">
        <v>2856</v>
      </c>
      <c r="C2345" s="4" t="s">
        <v>404</v>
      </c>
      <c r="D2345" s="4" t="s">
        <v>3488</v>
      </c>
      <c r="E2345" s="4"/>
      <c r="F2345" s="4" t="s">
        <v>964</v>
      </c>
    </row>
    <row r="2346" customFormat="false" ht="41.75" hidden="false" customHeight="false" outlineLevel="0" collapsed="false">
      <c r="A2346" s="4" t="n">
        <v>108</v>
      </c>
      <c r="B2346" s="4" t="s">
        <v>2856</v>
      </c>
      <c r="C2346" s="4" t="s">
        <v>405</v>
      </c>
      <c r="D2346" s="4" t="s">
        <v>3489</v>
      </c>
      <c r="E2346" s="4"/>
      <c r="F2346" s="4" t="s">
        <v>2869</v>
      </c>
    </row>
    <row r="2347" customFormat="false" ht="41.75" hidden="false" customHeight="false" outlineLevel="0" collapsed="false">
      <c r="A2347" s="4" t="n">
        <v>108</v>
      </c>
      <c r="B2347" s="4" t="s">
        <v>2856</v>
      </c>
      <c r="C2347" s="4" t="s">
        <v>406</v>
      </c>
      <c r="D2347" s="4" t="s">
        <v>3490</v>
      </c>
      <c r="E2347" s="4"/>
      <c r="F2347" s="4" t="s">
        <v>2509</v>
      </c>
    </row>
    <row r="2348" customFormat="false" ht="68.65" hidden="false" customHeight="false" outlineLevel="0" collapsed="false">
      <c r="A2348" s="4" t="n">
        <v>108</v>
      </c>
      <c r="B2348" s="4" t="s">
        <v>2856</v>
      </c>
      <c r="C2348" s="4" t="s">
        <v>407</v>
      </c>
      <c r="D2348" s="4" t="s">
        <v>3485</v>
      </c>
      <c r="E2348" s="4"/>
      <c r="F2348" s="4" t="s">
        <v>2870</v>
      </c>
    </row>
    <row r="2349" customFormat="false" ht="68.65" hidden="false" customHeight="false" outlineLevel="0" collapsed="false">
      <c r="A2349" s="4" t="n">
        <v>108</v>
      </c>
      <c r="B2349" s="4" t="s">
        <v>2856</v>
      </c>
      <c r="C2349" s="4" t="s">
        <v>419</v>
      </c>
      <c r="D2349" s="4" t="s">
        <v>3534</v>
      </c>
      <c r="E2349" s="4"/>
      <c r="F2349" s="4" t="s">
        <v>2875</v>
      </c>
    </row>
    <row r="2350" customFormat="false" ht="15" hidden="false" customHeight="false" outlineLevel="0" collapsed="false">
      <c r="A2350" s="4" t="n">
        <v>108</v>
      </c>
      <c r="B2350" s="4" t="s">
        <v>2856</v>
      </c>
      <c r="C2350" s="4" t="s">
        <v>427</v>
      </c>
      <c r="D2350" s="4" t="s">
        <v>3464</v>
      </c>
      <c r="E2350" s="4"/>
      <c r="F2350" s="4" t="s">
        <v>24</v>
      </c>
    </row>
    <row r="2351" customFormat="false" ht="15" hidden="false" customHeight="false" outlineLevel="0" collapsed="false">
      <c r="A2351" s="4" t="n">
        <v>108</v>
      </c>
      <c r="B2351" s="4" t="s">
        <v>2856</v>
      </c>
      <c r="C2351" s="4" t="s">
        <v>428</v>
      </c>
      <c r="D2351" s="4" t="s">
        <v>3465</v>
      </c>
      <c r="E2351" s="4"/>
      <c r="F2351" s="4" t="s">
        <v>30</v>
      </c>
    </row>
    <row r="2352" customFormat="false" ht="15" hidden="false" customHeight="false" outlineLevel="0" collapsed="false">
      <c r="A2352" s="4" t="n">
        <v>108</v>
      </c>
      <c r="B2352" s="4" t="s">
        <v>2856</v>
      </c>
      <c r="C2352" s="4" t="s">
        <v>429</v>
      </c>
      <c r="D2352" s="4" t="s">
        <v>3466</v>
      </c>
      <c r="E2352" s="4"/>
      <c r="F2352" s="4" t="s">
        <v>34</v>
      </c>
    </row>
    <row r="2353" customFormat="false" ht="41.75" hidden="false" customHeight="false" outlineLevel="0" collapsed="false">
      <c r="A2353" s="4" t="n">
        <v>108</v>
      </c>
      <c r="B2353" s="4" t="s">
        <v>2856</v>
      </c>
      <c r="C2353" s="4" t="s">
        <v>430</v>
      </c>
      <c r="D2353" s="4" t="s">
        <v>3467</v>
      </c>
      <c r="E2353" s="4"/>
      <c r="F2353" s="4" t="s">
        <v>2876</v>
      </c>
    </row>
    <row r="2354" customFormat="false" ht="15" hidden="false" customHeight="false" outlineLevel="0" collapsed="false">
      <c r="A2354" s="4" t="n">
        <v>108</v>
      </c>
      <c r="B2354" s="4" t="s">
        <v>2856</v>
      </c>
      <c r="C2354" s="4" t="s">
        <v>431</v>
      </c>
      <c r="D2354" s="4" t="s">
        <v>3468</v>
      </c>
      <c r="E2354" s="4"/>
      <c r="F2354" s="4" t="s">
        <v>484</v>
      </c>
    </row>
    <row r="2355" customFormat="false" ht="15" hidden="false" customHeight="false" outlineLevel="0" collapsed="false">
      <c r="A2355" s="4" t="n">
        <v>108</v>
      </c>
      <c r="B2355" s="4" t="s">
        <v>2856</v>
      </c>
      <c r="C2355" s="4" t="s">
        <v>432</v>
      </c>
      <c r="D2355" s="4" t="s">
        <v>3469</v>
      </c>
      <c r="E2355" s="4"/>
      <c r="F2355" s="4" t="s">
        <v>664</v>
      </c>
    </row>
    <row r="2356" customFormat="false" ht="28.35" hidden="false" customHeight="false" outlineLevel="0" collapsed="false">
      <c r="A2356" s="4" t="n">
        <v>108</v>
      </c>
      <c r="B2356" s="4" t="s">
        <v>2856</v>
      </c>
      <c r="C2356" s="4" t="s">
        <v>433</v>
      </c>
      <c r="D2356" s="4" t="s">
        <v>3470</v>
      </c>
      <c r="E2356" s="4"/>
      <c r="F2356" s="4" t="s">
        <v>2877</v>
      </c>
    </row>
    <row r="2357" customFormat="false" ht="15" hidden="false" customHeight="false" outlineLevel="0" collapsed="false">
      <c r="A2357" s="4" t="n">
        <v>108</v>
      </c>
      <c r="B2357" s="4" t="s">
        <v>2856</v>
      </c>
      <c r="C2357" s="4" t="s">
        <v>434</v>
      </c>
      <c r="D2357" s="4" t="s">
        <v>3482</v>
      </c>
      <c r="E2357" s="4"/>
      <c r="F2357" s="4" t="s">
        <v>2187</v>
      </c>
    </row>
    <row r="2358" customFormat="false" ht="28.35" hidden="false" customHeight="false" outlineLevel="0" collapsed="false">
      <c r="A2358" s="4" t="n">
        <v>108</v>
      </c>
      <c r="B2358" s="4" t="s">
        <v>2856</v>
      </c>
      <c r="C2358" s="4" t="s">
        <v>435</v>
      </c>
      <c r="D2358" s="4" t="s">
        <v>3510</v>
      </c>
      <c r="E2358" s="4"/>
      <c r="F2358" s="4" t="s">
        <v>2878</v>
      </c>
    </row>
    <row r="2359" customFormat="false" ht="15" hidden="false" customHeight="false" outlineLevel="0" collapsed="false">
      <c r="A2359" s="4" t="n">
        <v>108</v>
      </c>
      <c r="B2359" s="4" t="s">
        <v>2856</v>
      </c>
      <c r="C2359" s="4" t="s">
        <v>436</v>
      </c>
      <c r="D2359" s="4" t="s">
        <v>3471</v>
      </c>
      <c r="E2359" s="4"/>
      <c r="F2359" s="4" t="s">
        <v>189</v>
      </c>
    </row>
    <row r="2360" customFormat="false" ht="28.35" hidden="false" customHeight="false" outlineLevel="0" collapsed="false">
      <c r="A2360" s="4" t="n">
        <v>108</v>
      </c>
      <c r="B2360" s="4" t="s">
        <v>2856</v>
      </c>
      <c r="C2360" s="4" t="s">
        <v>437</v>
      </c>
      <c r="D2360" s="4" t="s">
        <v>3472</v>
      </c>
      <c r="E2360" s="4"/>
      <c r="F2360" s="4" t="n">
        <v>9</v>
      </c>
    </row>
    <row r="2361" customFormat="false" ht="15" hidden="false" customHeight="false" outlineLevel="0" collapsed="false">
      <c r="A2361" s="4" t="n">
        <v>108</v>
      </c>
      <c r="B2361" s="4" t="s">
        <v>2856</v>
      </c>
      <c r="C2361" s="4" t="s">
        <v>445</v>
      </c>
      <c r="D2361" s="4" t="s">
        <v>3496</v>
      </c>
      <c r="E2361" s="4"/>
      <c r="F2361" s="4" t="n">
        <v>1</v>
      </c>
    </row>
    <row r="2362" customFormat="false" ht="15" hidden="false" customHeight="false" outlineLevel="0" collapsed="false">
      <c r="A2362" s="4" t="n">
        <v>108</v>
      </c>
      <c r="B2362" s="4" t="s">
        <v>2856</v>
      </c>
      <c r="C2362" s="4" t="s">
        <v>446</v>
      </c>
      <c r="D2362" s="4" t="s">
        <v>3497</v>
      </c>
      <c r="E2362" s="4"/>
      <c r="F2362" s="4" t="n">
        <v>0</v>
      </c>
    </row>
    <row r="2363" customFormat="false" ht="41.75" hidden="false" customHeight="false" outlineLevel="0" collapsed="false">
      <c r="A2363" s="4" t="n">
        <v>108</v>
      </c>
      <c r="B2363" s="4" t="s">
        <v>2856</v>
      </c>
      <c r="C2363" s="4" t="s">
        <v>447</v>
      </c>
      <c r="D2363" s="4" t="s">
        <v>3498</v>
      </c>
      <c r="E2363" s="4"/>
      <c r="F2363" s="4" t="s">
        <v>2879</v>
      </c>
    </row>
    <row r="2364" customFormat="false" ht="41.75" hidden="false" customHeight="false" outlineLevel="0" collapsed="false">
      <c r="A2364" s="4" t="n">
        <v>108</v>
      </c>
      <c r="B2364" s="4" t="s">
        <v>2856</v>
      </c>
      <c r="C2364" s="4" t="s">
        <v>449</v>
      </c>
      <c r="D2364" s="4" t="s">
        <v>3500</v>
      </c>
      <c r="E2364" s="4"/>
      <c r="F2364" s="4" t="s">
        <v>2509</v>
      </c>
    </row>
    <row r="2365" customFormat="false" ht="162.65" hidden="false" customHeight="false" outlineLevel="0" collapsed="false">
      <c r="A2365" s="4" t="n">
        <v>108</v>
      </c>
      <c r="B2365" s="4" t="s">
        <v>2856</v>
      </c>
      <c r="C2365" s="4" t="s">
        <v>450</v>
      </c>
      <c r="D2365" s="4" t="s">
        <v>3501</v>
      </c>
      <c r="E2365" s="4"/>
      <c r="F2365" s="4" t="s">
        <v>2880</v>
      </c>
    </row>
    <row r="2366" customFormat="false" ht="28.35" hidden="false" customHeight="false" outlineLevel="0" collapsed="false">
      <c r="A2366" s="4" t="n">
        <v>109</v>
      </c>
      <c r="B2366" s="4" t="s">
        <v>2881</v>
      </c>
      <c r="C2366" s="4" t="s">
        <v>365</v>
      </c>
      <c r="D2366" s="4" t="s">
        <v>3547</v>
      </c>
      <c r="E2366" s="4"/>
      <c r="F2366" s="4" t="n">
        <v>9.975</v>
      </c>
    </row>
    <row r="2367" customFormat="false" ht="28.35" hidden="false" customHeight="false" outlineLevel="0" collapsed="false">
      <c r="A2367" s="4" t="n">
        <v>109</v>
      </c>
      <c r="B2367" s="4" t="s">
        <v>2881</v>
      </c>
      <c r="C2367" s="4" t="s">
        <v>366</v>
      </c>
      <c r="D2367" s="4" t="s">
        <v>3548</v>
      </c>
      <c r="E2367" s="4"/>
      <c r="F2367" s="4" t="n">
        <v>2026</v>
      </c>
    </row>
    <row r="2368" customFormat="false" ht="28.35" hidden="false" customHeight="false" outlineLevel="0" collapsed="false">
      <c r="A2368" s="4" t="n">
        <v>109</v>
      </c>
      <c r="B2368" s="4" t="s">
        <v>2881</v>
      </c>
      <c r="C2368" s="4" t="s">
        <v>367</v>
      </c>
      <c r="D2368" s="4" t="s">
        <v>3549</v>
      </c>
      <c r="E2368" s="4"/>
      <c r="F2368" s="4" t="s">
        <v>6</v>
      </c>
    </row>
    <row r="2369" customFormat="false" ht="28.35" hidden="false" customHeight="false" outlineLevel="0" collapsed="false">
      <c r="A2369" s="4" t="n">
        <v>109</v>
      </c>
      <c r="B2369" s="4" t="s">
        <v>2881</v>
      </c>
      <c r="C2369" s="4" t="s">
        <v>368</v>
      </c>
      <c r="D2369" s="4" t="s">
        <v>3550</v>
      </c>
      <c r="E2369" s="4"/>
      <c r="F2369" s="4" t="s">
        <v>2835</v>
      </c>
    </row>
    <row r="2370" customFormat="false" ht="28.35" hidden="false" customHeight="false" outlineLevel="0" collapsed="false">
      <c r="A2370" s="4" t="n">
        <v>109</v>
      </c>
      <c r="B2370" s="4" t="s">
        <v>2881</v>
      </c>
      <c r="C2370" s="4" t="s">
        <v>369</v>
      </c>
      <c r="D2370" s="4" t="s">
        <v>3503</v>
      </c>
      <c r="E2370" s="4" t="s">
        <v>780</v>
      </c>
      <c r="F2370" s="4" t="s">
        <v>494</v>
      </c>
    </row>
    <row r="2371" customFormat="false" ht="95.5" hidden="false" customHeight="false" outlineLevel="0" collapsed="false">
      <c r="A2371" s="4" t="n">
        <v>109</v>
      </c>
      <c r="B2371" s="4" t="s">
        <v>2881</v>
      </c>
      <c r="C2371" s="4" t="s">
        <v>372</v>
      </c>
      <c r="D2371" s="4" t="s">
        <v>3504</v>
      </c>
      <c r="E2371" s="4" t="s">
        <v>3708</v>
      </c>
      <c r="F2371" s="4" t="s">
        <v>2887</v>
      </c>
    </row>
    <row r="2372" customFormat="false" ht="28.35" hidden="false" customHeight="false" outlineLevel="0" collapsed="false">
      <c r="A2372" s="4" t="n">
        <v>109</v>
      </c>
      <c r="B2372" s="4" t="s">
        <v>2881</v>
      </c>
      <c r="C2372" s="4" t="s">
        <v>373</v>
      </c>
      <c r="D2372" s="4" t="s">
        <v>3664</v>
      </c>
      <c r="E2372" s="4" t="s">
        <v>2595</v>
      </c>
      <c r="F2372" s="4" t="s">
        <v>2837</v>
      </c>
    </row>
    <row r="2373" customFormat="false" ht="68.65" hidden="false" customHeight="false" outlineLevel="0" collapsed="false">
      <c r="A2373" s="4" t="n">
        <v>109</v>
      </c>
      <c r="B2373" s="4" t="s">
        <v>2881</v>
      </c>
      <c r="C2373" s="4" t="s">
        <v>374</v>
      </c>
      <c r="D2373" s="4" t="s">
        <v>3616</v>
      </c>
      <c r="E2373" s="4" t="s">
        <v>2934</v>
      </c>
      <c r="F2373" s="4" t="s">
        <v>2888</v>
      </c>
    </row>
    <row r="2374" customFormat="false" ht="122.35" hidden="false" customHeight="false" outlineLevel="0" collapsed="false">
      <c r="A2374" s="4" t="n">
        <v>109</v>
      </c>
      <c r="B2374" s="4" t="s">
        <v>2881</v>
      </c>
      <c r="C2374" s="4" t="s">
        <v>380</v>
      </c>
      <c r="D2374" s="4" t="s">
        <v>3474</v>
      </c>
      <c r="E2374" s="4" t="s">
        <v>2895</v>
      </c>
      <c r="F2374" s="4" t="s">
        <v>2889</v>
      </c>
    </row>
    <row r="2375" customFormat="false" ht="28.35" hidden="false" customHeight="false" outlineLevel="0" collapsed="false">
      <c r="A2375" s="4" t="n">
        <v>109</v>
      </c>
      <c r="B2375" s="4" t="s">
        <v>2881</v>
      </c>
      <c r="C2375" s="4" t="s">
        <v>403</v>
      </c>
      <c r="D2375" s="4" t="s">
        <v>3481</v>
      </c>
      <c r="E2375" s="4" t="s">
        <v>3004</v>
      </c>
      <c r="F2375" s="4" t="s">
        <v>3736</v>
      </c>
    </row>
    <row r="2376" customFormat="false" ht="41.75" hidden="false" customHeight="false" outlineLevel="0" collapsed="false">
      <c r="A2376" s="4" t="n">
        <v>109</v>
      </c>
      <c r="B2376" s="4" t="s">
        <v>2881</v>
      </c>
      <c r="C2376" s="4" t="s">
        <v>403</v>
      </c>
      <c r="D2376" s="4" t="s">
        <v>3481</v>
      </c>
      <c r="E2376" s="4" t="s">
        <v>3736</v>
      </c>
      <c r="F2376" s="4" t="s">
        <v>2840</v>
      </c>
    </row>
    <row r="2377" customFormat="false" ht="28.35" hidden="false" customHeight="false" outlineLevel="0" collapsed="false">
      <c r="A2377" s="4" t="n">
        <v>109</v>
      </c>
      <c r="B2377" s="4" t="s">
        <v>2881</v>
      </c>
      <c r="C2377" s="4" t="s">
        <v>16</v>
      </c>
      <c r="D2377" s="4" t="s">
        <v>3487</v>
      </c>
      <c r="E2377" s="4"/>
      <c r="F2377" s="4" t="n">
        <v>19</v>
      </c>
    </row>
    <row r="2378" customFormat="false" ht="28.35" hidden="false" customHeight="false" outlineLevel="0" collapsed="false">
      <c r="A2378" s="4" t="n">
        <v>109</v>
      </c>
      <c r="B2378" s="4" t="s">
        <v>2881</v>
      </c>
      <c r="C2378" s="4" t="s">
        <v>404</v>
      </c>
      <c r="D2378" s="4" t="s">
        <v>3488</v>
      </c>
      <c r="E2378" s="4"/>
      <c r="F2378" s="4" t="s">
        <v>964</v>
      </c>
    </row>
    <row r="2379" customFormat="false" ht="41.75" hidden="false" customHeight="false" outlineLevel="0" collapsed="false">
      <c r="A2379" s="4" t="n">
        <v>109</v>
      </c>
      <c r="B2379" s="4" t="s">
        <v>2881</v>
      </c>
      <c r="C2379" s="4" t="s">
        <v>405</v>
      </c>
      <c r="D2379" s="4" t="s">
        <v>3489</v>
      </c>
      <c r="E2379" s="4"/>
      <c r="F2379" s="4" t="s">
        <v>2890</v>
      </c>
    </row>
    <row r="2380" customFormat="false" ht="41.75" hidden="false" customHeight="false" outlineLevel="0" collapsed="false">
      <c r="A2380" s="4" t="n">
        <v>109</v>
      </c>
      <c r="B2380" s="4" t="s">
        <v>2881</v>
      </c>
      <c r="C2380" s="4" t="s">
        <v>406</v>
      </c>
      <c r="D2380" s="4" t="s">
        <v>3490</v>
      </c>
      <c r="E2380" s="4"/>
      <c r="F2380" s="4" t="s">
        <v>2509</v>
      </c>
    </row>
    <row r="2381" customFormat="false" ht="68.65" hidden="false" customHeight="false" outlineLevel="0" collapsed="false">
      <c r="A2381" s="4" t="n">
        <v>109</v>
      </c>
      <c r="B2381" s="4" t="s">
        <v>2881</v>
      </c>
      <c r="C2381" s="4" t="s">
        <v>407</v>
      </c>
      <c r="D2381" s="4" t="s">
        <v>3485</v>
      </c>
      <c r="E2381" s="4"/>
      <c r="F2381" s="4" t="s">
        <v>2891</v>
      </c>
    </row>
    <row r="2382" customFormat="false" ht="122.35" hidden="false" customHeight="false" outlineLevel="0" collapsed="false">
      <c r="A2382" s="4" t="n">
        <v>109</v>
      </c>
      <c r="B2382" s="4" t="s">
        <v>2881</v>
      </c>
      <c r="C2382" s="4" t="s">
        <v>419</v>
      </c>
      <c r="D2382" s="4" t="s">
        <v>3534</v>
      </c>
      <c r="E2382" s="4"/>
      <c r="F2382" s="4" t="s">
        <v>2896</v>
      </c>
    </row>
    <row r="2383" customFormat="false" ht="28.35" hidden="false" customHeight="false" outlineLevel="0" collapsed="false">
      <c r="A2383" s="4" t="n">
        <v>109</v>
      </c>
      <c r="B2383" s="4" t="s">
        <v>2881</v>
      </c>
      <c r="C2383" s="4" t="s">
        <v>427</v>
      </c>
      <c r="D2383" s="4" t="s">
        <v>3464</v>
      </c>
      <c r="E2383" s="4"/>
      <c r="F2383" s="4" t="s">
        <v>23</v>
      </c>
    </row>
    <row r="2384" customFormat="false" ht="28.35" hidden="false" customHeight="false" outlineLevel="0" collapsed="false">
      <c r="A2384" s="4" t="n">
        <v>109</v>
      </c>
      <c r="B2384" s="4" t="s">
        <v>2881</v>
      </c>
      <c r="C2384" s="4" t="s">
        <v>428</v>
      </c>
      <c r="D2384" s="4" t="s">
        <v>3465</v>
      </c>
      <c r="E2384" s="4"/>
      <c r="F2384" s="4" t="s">
        <v>28</v>
      </c>
    </row>
    <row r="2385" customFormat="false" ht="28.35" hidden="false" customHeight="false" outlineLevel="0" collapsed="false">
      <c r="A2385" s="4" t="n">
        <v>109</v>
      </c>
      <c r="B2385" s="4" t="s">
        <v>2881</v>
      </c>
      <c r="C2385" s="4" t="s">
        <v>429</v>
      </c>
      <c r="D2385" s="4" t="s">
        <v>3466</v>
      </c>
      <c r="E2385" s="4"/>
      <c r="F2385" s="4" t="s">
        <v>34</v>
      </c>
    </row>
    <row r="2386" customFormat="false" ht="28.35" hidden="false" customHeight="false" outlineLevel="0" collapsed="false">
      <c r="A2386" s="4" t="n">
        <v>109</v>
      </c>
      <c r="B2386" s="4" t="s">
        <v>2881</v>
      </c>
      <c r="C2386" s="4" t="s">
        <v>431</v>
      </c>
      <c r="D2386" s="4" t="s">
        <v>3468</v>
      </c>
      <c r="E2386" s="4"/>
      <c r="F2386" s="4" t="s">
        <v>484</v>
      </c>
    </row>
    <row r="2387" customFormat="false" ht="28.35" hidden="false" customHeight="false" outlineLevel="0" collapsed="false">
      <c r="A2387" s="4" t="n">
        <v>109</v>
      </c>
      <c r="B2387" s="4" t="s">
        <v>2881</v>
      </c>
      <c r="C2387" s="4" t="s">
        <v>432</v>
      </c>
      <c r="D2387" s="4" t="s">
        <v>3469</v>
      </c>
      <c r="E2387" s="4"/>
      <c r="F2387" s="4" t="s">
        <v>664</v>
      </c>
    </row>
    <row r="2388" customFormat="false" ht="28.35" hidden="false" customHeight="false" outlineLevel="0" collapsed="false">
      <c r="A2388" s="4" t="n">
        <v>109</v>
      </c>
      <c r="B2388" s="4" t="s">
        <v>2881</v>
      </c>
      <c r="C2388" s="4" t="s">
        <v>433</v>
      </c>
      <c r="D2388" s="4" t="s">
        <v>3470</v>
      </c>
      <c r="E2388" s="4"/>
      <c r="F2388" s="4" t="s">
        <v>2897</v>
      </c>
    </row>
    <row r="2389" customFormat="false" ht="28.35" hidden="false" customHeight="false" outlineLevel="0" collapsed="false">
      <c r="A2389" s="4" t="n">
        <v>109</v>
      </c>
      <c r="B2389" s="4" t="s">
        <v>2881</v>
      </c>
      <c r="C2389" s="4" t="s">
        <v>434</v>
      </c>
      <c r="D2389" s="4" t="s">
        <v>3482</v>
      </c>
      <c r="E2389" s="4"/>
      <c r="F2389" s="4" t="s">
        <v>1208</v>
      </c>
    </row>
    <row r="2390" customFormat="false" ht="28.35" hidden="false" customHeight="false" outlineLevel="0" collapsed="false">
      <c r="A2390" s="4" t="n">
        <v>109</v>
      </c>
      <c r="B2390" s="4" t="s">
        <v>2881</v>
      </c>
      <c r="C2390" s="4" t="s">
        <v>436</v>
      </c>
      <c r="D2390" s="4" t="s">
        <v>3471</v>
      </c>
      <c r="E2390" s="4"/>
      <c r="F2390" s="4" t="s">
        <v>2898</v>
      </c>
    </row>
    <row r="2391" customFormat="false" ht="28.35" hidden="false" customHeight="false" outlineLevel="0" collapsed="false">
      <c r="A2391" s="4" t="n">
        <v>109</v>
      </c>
      <c r="B2391" s="4" t="s">
        <v>2881</v>
      </c>
      <c r="C2391" s="4" t="s">
        <v>444</v>
      </c>
      <c r="D2391" s="4" t="s">
        <v>3495</v>
      </c>
      <c r="E2391" s="4"/>
      <c r="F2391" s="4" t="n">
        <v>0</v>
      </c>
    </row>
    <row r="2392" customFormat="false" ht="28.35" hidden="false" customHeight="false" outlineLevel="0" collapsed="false">
      <c r="A2392" s="4" t="n">
        <v>109</v>
      </c>
      <c r="B2392" s="4" t="s">
        <v>2881</v>
      </c>
      <c r="C2392" s="4" t="s">
        <v>445</v>
      </c>
      <c r="D2392" s="4" t="s">
        <v>3496</v>
      </c>
      <c r="E2392" s="4"/>
      <c r="F2392" s="4" t="n">
        <v>1</v>
      </c>
    </row>
    <row r="2393" customFormat="false" ht="28.35" hidden="false" customHeight="false" outlineLevel="0" collapsed="false">
      <c r="A2393" s="4" t="n">
        <v>109</v>
      </c>
      <c r="B2393" s="4" t="s">
        <v>2881</v>
      </c>
      <c r="C2393" s="4" t="s">
        <v>446</v>
      </c>
      <c r="D2393" s="4" t="s">
        <v>3497</v>
      </c>
      <c r="E2393" s="4"/>
      <c r="F2393" s="4" t="n">
        <v>0</v>
      </c>
    </row>
    <row r="2394" customFormat="false" ht="68.65" hidden="false" customHeight="false" outlineLevel="0" collapsed="false">
      <c r="A2394" s="4" t="n">
        <v>109</v>
      </c>
      <c r="B2394" s="4" t="s">
        <v>2881</v>
      </c>
      <c r="C2394" s="4" t="s">
        <v>447</v>
      </c>
      <c r="D2394" s="4" t="s">
        <v>3498</v>
      </c>
      <c r="E2394" s="4"/>
      <c r="F2394" s="4" t="s">
        <v>2899</v>
      </c>
    </row>
    <row r="2395" customFormat="false" ht="41.75" hidden="false" customHeight="false" outlineLevel="0" collapsed="false">
      <c r="A2395" s="4" t="n">
        <v>109</v>
      </c>
      <c r="B2395" s="4" t="s">
        <v>2881</v>
      </c>
      <c r="C2395" s="4" t="s">
        <v>449</v>
      </c>
      <c r="D2395" s="4" t="s">
        <v>3500</v>
      </c>
      <c r="E2395" s="4"/>
      <c r="F2395" s="4" t="s">
        <v>2900</v>
      </c>
    </row>
    <row r="2396" customFormat="false" ht="202.95" hidden="false" customHeight="false" outlineLevel="0" collapsed="false">
      <c r="A2396" s="4" t="n">
        <v>109</v>
      </c>
      <c r="B2396" s="4" t="s">
        <v>2881</v>
      </c>
      <c r="C2396" s="4" t="s">
        <v>450</v>
      </c>
      <c r="D2396" s="4" t="s">
        <v>3501</v>
      </c>
      <c r="E2396" s="4"/>
      <c r="F2396" s="4" t="s">
        <v>2901</v>
      </c>
    </row>
    <row r="2397" customFormat="false" ht="15" hidden="false" customHeight="false" outlineLevel="0" collapsed="false">
      <c r="A2397" s="4" t="n">
        <v>110</v>
      </c>
      <c r="B2397" s="4" t="s">
        <v>2902</v>
      </c>
      <c r="C2397" s="4" t="s">
        <v>365</v>
      </c>
      <c r="D2397" s="4" t="s">
        <v>3547</v>
      </c>
      <c r="E2397" s="4"/>
      <c r="F2397" s="4" t="n">
        <v>33.15313</v>
      </c>
    </row>
    <row r="2398" customFormat="false" ht="15" hidden="false" customHeight="false" outlineLevel="0" collapsed="false">
      <c r="A2398" s="4" t="n">
        <v>110</v>
      </c>
      <c r="B2398" s="4" t="s">
        <v>2902</v>
      </c>
      <c r="C2398" s="4" t="s">
        <v>366</v>
      </c>
      <c r="D2398" s="4" t="s">
        <v>3548</v>
      </c>
      <c r="E2398" s="4"/>
      <c r="F2398" s="4" t="n">
        <v>2026</v>
      </c>
    </row>
    <row r="2399" customFormat="false" ht="15" hidden="false" customHeight="false" outlineLevel="0" collapsed="false">
      <c r="A2399" s="4" t="n">
        <v>110</v>
      </c>
      <c r="B2399" s="4" t="s">
        <v>2902</v>
      </c>
      <c r="C2399" s="4" t="s">
        <v>367</v>
      </c>
      <c r="D2399" s="4" t="s">
        <v>3549</v>
      </c>
      <c r="E2399" s="4"/>
      <c r="F2399" s="4" t="s">
        <v>6</v>
      </c>
    </row>
    <row r="2400" customFormat="false" ht="15" hidden="false" customHeight="false" outlineLevel="0" collapsed="false">
      <c r="A2400" s="4" t="n">
        <v>110</v>
      </c>
      <c r="B2400" s="4" t="s">
        <v>2902</v>
      </c>
      <c r="C2400" s="4" t="s">
        <v>368</v>
      </c>
      <c r="D2400" s="4" t="s">
        <v>3550</v>
      </c>
      <c r="E2400" s="4"/>
      <c r="F2400" s="4" t="s">
        <v>2018</v>
      </c>
    </row>
    <row r="2401" customFormat="false" ht="15" hidden="false" customHeight="false" outlineLevel="0" collapsed="false">
      <c r="A2401" s="4" t="n">
        <v>110</v>
      </c>
      <c r="B2401" s="4" t="s">
        <v>2902</v>
      </c>
      <c r="C2401" s="4" t="s">
        <v>369</v>
      </c>
      <c r="D2401" s="4" t="s">
        <v>3503</v>
      </c>
      <c r="E2401" s="4" t="s">
        <v>780</v>
      </c>
      <c r="F2401" s="4" t="s">
        <v>494</v>
      </c>
    </row>
    <row r="2402" customFormat="false" ht="15" hidden="false" customHeight="false" outlineLevel="0" collapsed="false">
      <c r="A2402" s="4" t="n">
        <v>110</v>
      </c>
      <c r="B2402" s="4" t="s">
        <v>2902</v>
      </c>
      <c r="C2402" s="4" t="s">
        <v>370</v>
      </c>
      <c r="D2402" s="4" t="s">
        <v>3649</v>
      </c>
      <c r="E2402" s="4"/>
      <c r="F2402" s="4" t="n">
        <v>33.15313</v>
      </c>
    </row>
    <row r="2403" customFormat="false" ht="95.5" hidden="false" customHeight="false" outlineLevel="0" collapsed="false">
      <c r="A2403" s="4" t="n">
        <v>110</v>
      </c>
      <c r="B2403" s="4" t="s">
        <v>2902</v>
      </c>
      <c r="C2403" s="4" t="s">
        <v>372</v>
      </c>
      <c r="D2403" s="4" t="s">
        <v>3504</v>
      </c>
      <c r="E2403" s="4" t="s">
        <v>3708</v>
      </c>
      <c r="F2403" s="4" t="s">
        <v>2908</v>
      </c>
    </row>
    <row r="2404" customFormat="false" ht="15" hidden="false" customHeight="false" outlineLevel="0" collapsed="false">
      <c r="A2404" s="4" t="n">
        <v>110</v>
      </c>
      <c r="B2404" s="4" t="s">
        <v>2902</v>
      </c>
      <c r="C2404" s="4" t="s">
        <v>373</v>
      </c>
      <c r="D2404" s="4" t="s">
        <v>3664</v>
      </c>
      <c r="E2404" s="4" t="s">
        <v>2595</v>
      </c>
      <c r="F2404" s="4" t="s">
        <v>2370</v>
      </c>
    </row>
    <row r="2405" customFormat="false" ht="68.65" hidden="false" customHeight="false" outlineLevel="0" collapsed="false">
      <c r="A2405" s="4" t="n">
        <v>110</v>
      </c>
      <c r="B2405" s="4" t="s">
        <v>2902</v>
      </c>
      <c r="C2405" s="4" t="s">
        <v>374</v>
      </c>
      <c r="D2405" s="4" t="s">
        <v>3616</v>
      </c>
      <c r="E2405" s="4" t="s">
        <v>2934</v>
      </c>
      <c r="F2405" s="4" t="s">
        <v>2909</v>
      </c>
    </row>
    <row r="2406" customFormat="false" ht="122.35" hidden="false" customHeight="false" outlineLevel="0" collapsed="false">
      <c r="A2406" s="4" t="n">
        <v>110</v>
      </c>
      <c r="B2406" s="4" t="s">
        <v>2902</v>
      </c>
      <c r="C2406" s="4" t="s">
        <v>380</v>
      </c>
      <c r="D2406" s="4" t="s">
        <v>3474</v>
      </c>
      <c r="E2406" s="4" t="s">
        <v>3737</v>
      </c>
      <c r="F2406" s="4" t="s">
        <v>2911</v>
      </c>
    </row>
    <row r="2407" customFormat="false" ht="15" hidden="false" customHeight="false" outlineLevel="0" collapsed="false">
      <c r="A2407" s="4" t="n">
        <v>110</v>
      </c>
      <c r="B2407" s="4" t="s">
        <v>2902</v>
      </c>
      <c r="C2407" s="4" t="s">
        <v>392</v>
      </c>
      <c r="D2407" s="4" t="s">
        <v>3530</v>
      </c>
      <c r="E2407" s="4"/>
      <c r="F2407" s="4" t="n">
        <v>7.38839</v>
      </c>
    </row>
    <row r="2408" customFormat="false" ht="15" hidden="false" customHeight="false" outlineLevel="0" collapsed="false">
      <c r="A2408" s="4" t="n">
        <v>110</v>
      </c>
      <c r="B2408" s="4" t="s">
        <v>2902</v>
      </c>
      <c r="C2408" s="4" t="s">
        <v>393</v>
      </c>
      <c r="D2408" s="4" t="s">
        <v>3531</v>
      </c>
      <c r="E2408" s="4"/>
      <c r="F2408" s="4" t="n">
        <v>2026</v>
      </c>
    </row>
    <row r="2409" customFormat="false" ht="28.35" hidden="false" customHeight="false" outlineLevel="0" collapsed="false">
      <c r="A2409" s="4" t="n">
        <v>110</v>
      </c>
      <c r="B2409" s="4" t="s">
        <v>2902</v>
      </c>
      <c r="C2409" s="4" t="s">
        <v>394</v>
      </c>
      <c r="D2409" s="4" t="s">
        <v>3532</v>
      </c>
      <c r="E2409" s="4"/>
      <c r="F2409" s="4" t="s">
        <v>2912</v>
      </c>
    </row>
    <row r="2410" customFormat="false" ht="15" hidden="false" customHeight="false" outlineLevel="0" collapsed="false">
      <c r="A2410" s="4" t="n">
        <v>110</v>
      </c>
      <c r="B2410" s="4" t="s">
        <v>2902</v>
      </c>
      <c r="C2410" s="4" t="s">
        <v>395</v>
      </c>
      <c r="D2410" s="4" t="s">
        <v>3507</v>
      </c>
      <c r="E2410" s="4" t="s">
        <v>2749</v>
      </c>
      <c r="F2410" s="4" t="s">
        <v>506</v>
      </c>
    </row>
    <row r="2411" customFormat="false" ht="28.35" hidden="false" customHeight="false" outlineLevel="0" collapsed="false">
      <c r="A2411" s="4" t="n">
        <v>110</v>
      </c>
      <c r="B2411" s="4" t="s">
        <v>2902</v>
      </c>
      <c r="C2411" s="4" t="s">
        <v>396</v>
      </c>
      <c r="D2411" s="4" t="s">
        <v>3533</v>
      </c>
      <c r="E2411" s="4"/>
      <c r="F2411" s="4" t="s">
        <v>2913</v>
      </c>
    </row>
    <row r="2412" customFormat="false" ht="28.35" hidden="false" customHeight="false" outlineLevel="0" collapsed="false">
      <c r="A2412" s="4" t="n">
        <v>110</v>
      </c>
      <c r="B2412" s="4" t="s">
        <v>2902</v>
      </c>
      <c r="C2412" s="4" t="s">
        <v>403</v>
      </c>
      <c r="D2412" s="4" t="s">
        <v>3481</v>
      </c>
      <c r="E2412" s="4" t="s">
        <v>3004</v>
      </c>
      <c r="F2412" s="4" t="s">
        <v>2350</v>
      </c>
    </row>
    <row r="2413" customFormat="false" ht="15" hidden="false" customHeight="false" outlineLevel="0" collapsed="false">
      <c r="A2413" s="4" t="n">
        <v>110</v>
      </c>
      <c r="B2413" s="4" t="s">
        <v>2902</v>
      </c>
      <c r="C2413" s="4" t="s">
        <v>16</v>
      </c>
      <c r="D2413" s="4" t="s">
        <v>3487</v>
      </c>
      <c r="E2413" s="4"/>
      <c r="F2413" s="4" t="n">
        <v>89</v>
      </c>
    </row>
    <row r="2414" customFormat="false" ht="15" hidden="false" customHeight="false" outlineLevel="0" collapsed="false">
      <c r="A2414" s="4" t="n">
        <v>110</v>
      </c>
      <c r="B2414" s="4" t="s">
        <v>2902</v>
      </c>
      <c r="C2414" s="4" t="s">
        <v>404</v>
      </c>
      <c r="D2414" s="4" t="s">
        <v>3488</v>
      </c>
      <c r="E2414" s="4"/>
      <c r="F2414" s="4" t="s">
        <v>964</v>
      </c>
    </row>
    <row r="2415" customFormat="false" ht="28.35" hidden="false" customHeight="false" outlineLevel="0" collapsed="false">
      <c r="A2415" s="4" t="n">
        <v>110</v>
      </c>
      <c r="B2415" s="4" t="s">
        <v>2902</v>
      </c>
      <c r="C2415" s="4" t="s">
        <v>405</v>
      </c>
      <c r="D2415" s="4" t="s">
        <v>3489</v>
      </c>
      <c r="E2415" s="4"/>
      <c r="F2415" s="4" t="s">
        <v>2914</v>
      </c>
    </row>
    <row r="2416" customFormat="false" ht="28.35" hidden="false" customHeight="false" outlineLevel="0" collapsed="false">
      <c r="A2416" s="4" t="n">
        <v>110</v>
      </c>
      <c r="B2416" s="4" t="s">
        <v>2902</v>
      </c>
      <c r="C2416" s="4" t="s">
        <v>406</v>
      </c>
      <c r="D2416" s="4" t="s">
        <v>3490</v>
      </c>
      <c r="E2416" s="4"/>
      <c r="F2416" s="4" t="s">
        <v>2915</v>
      </c>
    </row>
    <row r="2417" customFormat="false" ht="55.2" hidden="false" customHeight="false" outlineLevel="0" collapsed="false">
      <c r="A2417" s="4" t="n">
        <v>110</v>
      </c>
      <c r="B2417" s="4" t="s">
        <v>2902</v>
      </c>
      <c r="C2417" s="4" t="s">
        <v>407</v>
      </c>
      <c r="D2417" s="4" t="s">
        <v>3485</v>
      </c>
      <c r="E2417" s="4"/>
      <c r="F2417" s="4" t="s">
        <v>2916</v>
      </c>
    </row>
    <row r="2418" customFormat="false" ht="41.75" hidden="false" customHeight="false" outlineLevel="0" collapsed="false">
      <c r="A2418" s="4" t="n">
        <v>110</v>
      </c>
      <c r="B2418" s="4" t="s">
        <v>2902</v>
      </c>
      <c r="C2418" s="4" t="s">
        <v>419</v>
      </c>
      <c r="D2418" s="4" t="s">
        <v>3534</v>
      </c>
      <c r="E2418" s="4"/>
      <c r="F2418" s="4" t="s">
        <v>2922</v>
      </c>
    </row>
    <row r="2419" customFormat="false" ht="15" hidden="false" customHeight="false" outlineLevel="0" collapsed="false">
      <c r="A2419" s="4" t="n">
        <v>110</v>
      </c>
      <c r="B2419" s="4" t="s">
        <v>2902</v>
      </c>
      <c r="C2419" s="4" t="s">
        <v>427</v>
      </c>
      <c r="D2419" s="4" t="s">
        <v>3464</v>
      </c>
      <c r="E2419" s="4"/>
      <c r="F2419" s="4" t="s">
        <v>24</v>
      </c>
    </row>
    <row r="2420" customFormat="false" ht="15" hidden="false" customHeight="false" outlineLevel="0" collapsed="false">
      <c r="A2420" s="4" t="n">
        <v>110</v>
      </c>
      <c r="B2420" s="4" t="s">
        <v>2902</v>
      </c>
      <c r="C2420" s="4" t="s">
        <v>428</v>
      </c>
      <c r="D2420" s="4" t="s">
        <v>3465</v>
      </c>
      <c r="E2420" s="4"/>
      <c r="F2420" s="4" t="s">
        <v>30</v>
      </c>
    </row>
    <row r="2421" customFormat="false" ht="15" hidden="false" customHeight="false" outlineLevel="0" collapsed="false">
      <c r="A2421" s="4" t="n">
        <v>110</v>
      </c>
      <c r="B2421" s="4" t="s">
        <v>2902</v>
      </c>
      <c r="C2421" s="4" t="s">
        <v>429</v>
      </c>
      <c r="D2421" s="4" t="s">
        <v>3466</v>
      </c>
      <c r="E2421" s="4"/>
      <c r="F2421" s="4" t="s">
        <v>34</v>
      </c>
    </row>
    <row r="2422" customFormat="false" ht="41.75" hidden="false" customHeight="false" outlineLevel="0" collapsed="false">
      <c r="A2422" s="4" t="n">
        <v>110</v>
      </c>
      <c r="B2422" s="4" t="s">
        <v>2902</v>
      </c>
      <c r="C2422" s="4" t="s">
        <v>430</v>
      </c>
      <c r="D2422" s="4" t="s">
        <v>3467</v>
      </c>
      <c r="E2422" s="4"/>
      <c r="F2422" s="4" t="s">
        <v>2876</v>
      </c>
    </row>
    <row r="2423" customFormat="false" ht="15" hidden="false" customHeight="false" outlineLevel="0" collapsed="false">
      <c r="A2423" s="4" t="n">
        <v>110</v>
      </c>
      <c r="B2423" s="4" t="s">
        <v>2902</v>
      </c>
      <c r="C2423" s="4" t="s">
        <v>431</v>
      </c>
      <c r="D2423" s="4" t="s">
        <v>3468</v>
      </c>
      <c r="E2423" s="4"/>
      <c r="F2423" s="4" t="s">
        <v>484</v>
      </c>
    </row>
    <row r="2424" customFormat="false" ht="15" hidden="false" customHeight="false" outlineLevel="0" collapsed="false">
      <c r="A2424" s="4" t="n">
        <v>110</v>
      </c>
      <c r="B2424" s="4" t="s">
        <v>2902</v>
      </c>
      <c r="C2424" s="4" t="s">
        <v>432</v>
      </c>
      <c r="D2424" s="4" t="s">
        <v>3469</v>
      </c>
      <c r="E2424" s="4"/>
      <c r="F2424" s="4" t="s">
        <v>664</v>
      </c>
    </row>
    <row r="2425" customFormat="false" ht="28.35" hidden="false" customHeight="false" outlineLevel="0" collapsed="false">
      <c r="A2425" s="4" t="n">
        <v>110</v>
      </c>
      <c r="B2425" s="4" t="s">
        <v>2902</v>
      </c>
      <c r="C2425" s="4" t="s">
        <v>433</v>
      </c>
      <c r="D2425" s="4" t="s">
        <v>3470</v>
      </c>
      <c r="E2425" s="4"/>
      <c r="F2425" s="4" t="s">
        <v>2877</v>
      </c>
    </row>
    <row r="2426" customFormat="false" ht="15" hidden="false" customHeight="false" outlineLevel="0" collapsed="false">
      <c r="A2426" s="4" t="n">
        <v>110</v>
      </c>
      <c r="B2426" s="4" t="s">
        <v>2902</v>
      </c>
      <c r="C2426" s="4" t="s">
        <v>434</v>
      </c>
      <c r="D2426" s="4" t="s">
        <v>3482</v>
      </c>
      <c r="E2426" s="4"/>
      <c r="F2426" s="4" t="s">
        <v>2187</v>
      </c>
    </row>
    <row r="2427" customFormat="false" ht="28.35" hidden="false" customHeight="false" outlineLevel="0" collapsed="false">
      <c r="A2427" s="4" t="n">
        <v>110</v>
      </c>
      <c r="B2427" s="4" t="s">
        <v>2902</v>
      </c>
      <c r="C2427" s="4" t="s">
        <v>435</v>
      </c>
      <c r="D2427" s="4" t="s">
        <v>3510</v>
      </c>
      <c r="E2427" s="4"/>
      <c r="F2427" s="4" t="s">
        <v>2878</v>
      </c>
    </row>
    <row r="2428" customFormat="false" ht="15" hidden="false" customHeight="false" outlineLevel="0" collapsed="false">
      <c r="A2428" s="4" t="n">
        <v>110</v>
      </c>
      <c r="B2428" s="4" t="s">
        <v>2902</v>
      </c>
      <c r="C2428" s="4" t="s">
        <v>436</v>
      </c>
      <c r="D2428" s="4" t="s">
        <v>3471</v>
      </c>
      <c r="E2428" s="4"/>
      <c r="F2428" s="4" t="s">
        <v>189</v>
      </c>
    </row>
    <row r="2429" customFormat="false" ht="28.35" hidden="false" customHeight="false" outlineLevel="0" collapsed="false">
      <c r="A2429" s="4" t="n">
        <v>110</v>
      </c>
      <c r="B2429" s="4" t="s">
        <v>2902</v>
      </c>
      <c r="C2429" s="4" t="s">
        <v>437</v>
      </c>
      <c r="D2429" s="4" t="s">
        <v>3472</v>
      </c>
      <c r="E2429" s="4"/>
      <c r="F2429" s="4" t="n">
        <v>9</v>
      </c>
    </row>
    <row r="2430" customFormat="false" ht="28.35" hidden="false" customHeight="false" outlineLevel="0" collapsed="false">
      <c r="A2430" s="4" t="n">
        <v>110</v>
      </c>
      <c r="B2430" s="4" t="s">
        <v>2902</v>
      </c>
      <c r="C2430" s="4" t="s">
        <v>440</v>
      </c>
      <c r="D2430" s="4" t="s">
        <v>3491</v>
      </c>
      <c r="E2430" s="4"/>
      <c r="F2430" s="4" t="n">
        <v>87</v>
      </c>
    </row>
    <row r="2431" customFormat="false" ht="28.35" hidden="false" customHeight="false" outlineLevel="0" collapsed="false">
      <c r="A2431" s="4" t="n">
        <v>110</v>
      </c>
      <c r="B2431" s="4" t="s">
        <v>2902</v>
      </c>
      <c r="C2431" s="4" t="s">
        <v>441</v>
      </c>
      <c r="D2431" s="4" t="s">
        <v>3492</v>
      </c>
      <c r="E2431" s="4"/>
      <c r="F2431" s="4" t="n">
        <v>1</v>
      </c>
    </row>
    <row r="2432" customFormat="false" ht="15" hidden="false" customHeight="false" outlineLevel="0" collapsed="false">
      <c r="A2432" s="4" t="n">
        <v>110</v>
      </c>
      <c r="B2432" s="4" t="s">
        <v>2902</v>
      </c>
      <c r="C2432" s="4" t="s">
        <v>442</v>
      </c>
      <c r="D2432" s="4" t="s">
        <v>3493</v>
      </c>
      <c r="E2432" s="4"/>
      <c r="F2432" s="4" t="n">
        <v>1</v>
      </c>
    </row>
    <row r="2433" customFormat="false" ht="15" hidden="false" customHeight="false" outlineLevel="0" collapsed="false">
      <c r="A2433" s="4" t="n">
        <v>110</v>
      </c>
      <c r="B2433" s="4" t="s">
        <v>2902</v>
      </c>
      <c r="C2433" s="4" t="s">
        <v>443</v>
      </c>
      <c r="D2433" s="4" t="s">
        <v>3494</v>
      </c>
      <c r="E2433" s="4"/>
      <c r="F2433" s="4" t="n">
        <v>89</v>
      </c>
    </row>
    <row r="2434" customFormat="false" ht="28.35" hidden="false" customHeight="false" outlineLevel="0" collapsed="false">
      <c r="A2434" s="4" t="n">
        <v>110</v>
      </c>
      <c r="B2434" s="4" t="s">
        <v>2902</v>
      </c>
      <c r="C2434" s="4" t="s">
        <v>447</v>
      </c>
      <c r="D2434" s="4" t="s">
        <v>3498</v>
      </c>
      <c r="E2434" s="4"/>
      <c r="F2434" s="4" t="s">
        <v>2923</v>
      </c>
    </row>
    <row r="2435" customFormat="false" ht="55.2" hidden="false" customHeight="false" outlineLevel="0" collapsed="false">
      <c r="A2435" s="4" t="n">
        <v>110</v>
      </c>
      <c r="B2435" s="4" t="s">
        <v>2902</v>
      </c>
      <c r="C2435" s="4" t="s">
        <v>448</v>
      </c>
      <c r="D2435" s="4" t="s">
        <v>3499</v>
      </c>
      <c r="E2435" s="4"/>
      <c r="F2435" s="4" t="s">
        <v>2924</v>
      </c>
    </row>
    <row r="2436" customFormat="false" ht="28.35" hidden="false" customHeight="false" outlineLevel="0" collapsed="false">
      <c r="A2436" s="4" t="n">
        <v>110</v>
      </c>
      <c r="B2436" s="4" t="s">
        <v>2902</v>
      </c>
      <c r="C2436" s="4" t="s">
        <v>449</v>
      </c>
      <c r="D2436" s="4" t="s">
        <v>3500</v>
      </c>
      <c r="E2436" s="4"/>
      <c r="F2436" s="4" t="s">
        <v>2915</v>
      </c>
    </row>
    <row r="2437" customFormat="false" ht="68.65" hidden="false" customHeight="false" outlineLevel="0" collapsed="false">
      <c r="A2437" s="4" t="n">
        <v>110</v>
      </c>
      <c r="B2437" s="4" t="s">
        <v>2902</v>
      </c>
      <c r="C2437" s="4" t="s">
        <v>450</v>
      </c>
      <c r="D2437" s="4" t="s">
        <v>3501</v>
      </c>
      <c r="E2437" s="4"/>
      <c r="F2437" s="4" t="s">
        <v>2925</v>
      </c>
    </row>
    <row r="2438" customFormat="false" ht="28.35" hidden="false" customHeight="false" outlineLevel="0" collapsed="false">
      <c r="A2438" s="4" t="n">
        <v>111</v>
      </c>
      <c r="B2438" s="4" t="s">
        <v>2926</v>
      </c>
      <c r="C2438" s="4" t="s">
        <v>368</v>
      </c>
      <c r="D2438" s="4" t="s">
        <v>3550</v>
      </c>
      <c r="E2438" s="4" t="s">
        <v>3738</v>
      </c>
      <c r="F2438" s="4" t="s">
        <v>2216</v>
      </c>
    </row>
    <row r="2439" customFormat="false" ht="149.25" hidden="false" customHeight="false" outlineLevel="0" collapsed="false">
      <c r="A2439" s="4" t="n">
        <v>111</v>
      </c>
      <c r="B2439" s="4" t="s">
        <v>2926</v>
      </c>
      <c r="C2439" s="4" t="s">
        <v>372</v>
      </c>
      <c r="D2439" s="4" t="s">
        <v>3504</v>
      </c>
      <c r="E2439" s="4" t="s">
        <v>3739</v>
      </c>
      <c r="F2439" s="4" t="s">
        <v>2932</v>
      </c>
    </row>
    <row r="2440" customFormat="false" ht="28.35" hidden="false" customHeight="false" outlineLevel="0" collapsed="false">
      <c r="A2440" s="4" t="n">
        <v>111</v>
      </c>
      <c r="B2440" s="4" t="s">
        <v>2926</v>
      </c>
      <c r="C2440" s="4" t="s">
        <v>373</v>
      </c>
      <c r="D2440" s="4" t="s">
        <v>3664</v>
      </c>
      <c r="E2440" s="4" t="s">
        <v>3740</v>
      </c>
      <c r="F2440" s="4" t="s">
        <v>2933</v>
      </c>
    </row>
    <row r="2441" customFormat="false" ht="108.95" hidden="false" customHeight="false" outlineLevel="0" collapsed="false">
      <c r="A2441" s="4" t="n">
        <v>111</v>
      </c>
      <c r="B2441" s="4" t="s">
        <v>2926</v>
      </c>
      <c r="C2441" s="4" t="s">
        <v>380</v>
      </c>
      <c r="D2441" s="4" t="s">
        <v>3474</v>
      </c>
      <c r="E2441" s="4" t="s">
        <v>3741</v>
      </c>
      <c r="F2441" s="4" t="s">
        <v>2935</v>
      </c>
    </row>
    <row r="2442" customFormat="false" ht="28.35" hidden="false" customHeight="false" outlineLevel="0" collapsed="false">
      <c r="A2442" s="4" t="n">
        <v>111</v>
      </c>
      <c r="B2442" s="4" t="s">
        <v>2926</v>
      </c>
      <c r="C2442" s="4" t="s">
        <v>403</v>
      </c>
      <c r="D2442" s="4" t="s">
        <v>3481</v>
      </c>
      <c r="E2442" s="4" t="s">
        <v>3742</v>
      </c>
      <c r="F2442" s="4" t="s">
        <v>2937</v>
      </c>
    </row>
    <row r="2443" customFormat="false" ht="55.2" hidden="false" customHeight="false" outlineLevel="0" collapsed="false">
      <c r="A2443" s="4" t="n">
        <v>111</v>
      </c>
      <c r="B2443" s="4" t="s">
        <v>2926</v>
      </c>
      <c r="C2443" s="4" t="s">
        <v>407</v>
      </c>
      <c r="D2443" s="4" t="s">
        <v>3485</v>
      </c>
      <c r="E2443" s="4"/>
      <c r="F2443" s="4" t="s">
        <v>2938</v>
      </c>
    </row>
    <row r="2444" customFormat="false" ht="28.35" hidden="false" customHeight="false" outlineLevel="0" collapsed="false">
      <c r="A2444" s="4" t="n">
        <v>111</v>
      </c>
      <c r="B2444" s="4" t="s">
        <v>2926</v>
      </c>
      <c r="C2444" s="4" t="s">
        <v>427</v>
      </c>
      <c r="D2444" s="4" t="s">
        <v>3464</v>
      </c>
      <c r="E2444" s="4"/>
      <c r="F2444" s="4" t="s">
        <v>24</v>
      </c>
    </row>
    <row r="2445" customFormat="false" ht="28.35" hidden="false" customHeight="false" outlineLevel="0" collapsed="false">
      <c r="A2445" s="4" t="n">
        <v>111</v>
      </c>
      <c r="B2445" s="4" t="s">
        <v>2926</v>
      </c>
      <c r="C2445" s="4" t="s">
        <v>428</v>
      </c>
      <c r="D2445" s="4" t="s">
        <v>3465</v>
      </c>
      <c r="E2445" s="4"/>
      <c r="F2445" s="4" t="s">
        <v>30</v>
      </c>
    </row>
    <row r="2446" customFormat="false" ht="28.35" hidden="false" customHeight="false" outlineLevel="0" collapsed="false">
      <c r="A2446" s="4" t="n">
        <v>111</v>
      </c>
      <c r="B2446" s="4" t="s">
        <v>2926</v>
      </c>
      <c r="C2446" s="4" t="s">
        <v>429</v>
      </c>
      <c r="D2446" s="4" t="s">
        <v>3466</v>
      </c>
      <c r="E2446" s="4"/>
      <c r="F2446" s="4" t="s">
        <v>34</v>
      </c>
    </row>
    <row r="2447" customFormat="false" ht="41.75" hidden="false" customHeight="false" outlineLevel="0" collapsed="false">
      <c r="A2447" s="4" t="n">
        <v>111</v>
      </c>
      <c r="B2447" s="4" t="s">
        <v>2926</v>
      </c>
      <c r="C2447" s="4" t="s">
        <v>430</v>
      </c>
      <c r="D2447" s="4" t="s">
        <v>3467</v>
      </c>
      <c r="E2447" s="4"/>
      <c r="F2447" s="4" t="s">
        <v>2705</v>
      </c>
    </row>
    <row r="2448" customFormat="false" ht="28.35" hidden="false" customHeight="false" outlineLevel="0" collapsed="false">
      <c r="A2448" s="4" t="n">
        <v>111</v>
      </c>
      <c r="B2448" s="4" t="s">
        <v>2926</v>
      </c>
      <c r="C2448" s="4" t="s">
        <v>431</v>
      </c>
      <c r="D2448" s="4" t="s">
        <v>3468</v>
      </c>
      <c r="E2448" s="4"/>
      <c r="F2448" s="4" t="s">
        <v>484</v>
      </c>
    </row>
    <row r="2449" customFormat="false" ht="28.35" hidden="false" customHeight="false" outlineLevel="0" collapsed="false">
      <c r="A2449" s="4" t="n">
        <v>111</v>
      </c>
      <c r="B2449" s="4" t="s">
        <v>2926</v>
      </c>
      <c r="C2449" s="4" t="s">
        <v>432</v>
      </c>
      <c r="D2449" s="4" t="s">
        <v>3469</v>
      </c>
      <c r="E2449" s="4"/>
      <c r="F2449" s="4" t="s">
        <v>713</v>
      </c>
    </row>
    <row r="2450" customFormat="false" ht="28.35" hidden="false" customHeight="false" outlineLevel="0" collapsed="false">
      <c r="A2450" s="4" t="n">
        <v>111</v>
      </c>
      <c r="B2450" s="4" t="s">
        <v>2926</v>
      </c>
      <c r="C2450" s="4" t="s">
        <v>433</v>
      </c>
      <c r="D2450" s="4" t="s">
        <v>3470</v>
      </c>
      <c r="E2450" s="4"/>
      <c r="F2450" s="4" t="s">
        <v>2943</v>
      </c>
    </row>
    <row r="2451" customFormat="false" ht="28.35" hidden="false" customHeight="false" outlineLevel="0" collapsed="false">
      <c r="A2451" s="4" t="n">
        <v>111</v>
      </c>
      <c r="B2451" s="4" t="s">
        <v>2926</v>
      </c>
      <c r="C2451" s="4" t="s">
        <v>434</v>
      </c>
      <c r="D2451" s="4" t="s">
        <v>3482</v>
      </c>
      <c r="E2451" s="4"/>
      <c r="F2451" s="4" t="s">
        <v>2293</v>
      </c>
    </row>
    <row r="2452" customFormat="false" ht="28.35" hidden="false" customHeight="false" outlineLevel="0" collapsed="false">
      <c r="A2452" s="4" t="n">
        <v>111</v>
      </c>
      <c r="B2452" s="4" t="s">
        <v>2926</v>
      </c>
      <c r="C2452" s="4" t="s">
        <v>435</v>
      </c>
      <c r="D2452" s="4" t="s">
        <v>3510</v>
      </c>
      <c r="E2452" s="4"/>
      <c r="F2452" s="4" t="s">
        <v>2707</v>
      </c>
    </row>
    <row r="2453" customFormat="false" ht="28.35" hidden="false" customHeight="false" outlineLevel="0" collapsed="false">
      <c r="A2453" s="4" t="n">
        <v>111</v>
      </c>
      <c r="B2453" s="4" t="s">
        <v>2926</v>
      </c>
      <c r="C2453" s="4" t="s">
        <v>436</v>
      </c>
      <c r="D2453" s="4" t="s">
        <v>3471</v>
      </c>
      <c r="E2453" s="4"/>
      <c r="F2453" s="4" t="s">
        <v>248</v>
      </c>
    </row>
    <row r="2454" customFormat="false" ht="28.35" hidden="false" customHeight="false" outlineLevel="0" collapsed="false">
      <c r="A2454" s="4" t="n">
        <v>111</v>
      </c>
      <c r="B2454" s="4" t="s">
        <v>2926</v>
      </c>
      <c r="C2454" s="4" t="s">
        <v>437</v>
      </c>
      <c r="D2454" s="4" t="s">
        <v>3472</v>
      </c>
      <c r="E2454" s="4"/>
      <c r="F2454" s="4" t="n">
        <v>5</v>
      </c>
    </row>
    <row r="2455" customFormat="false" ht="41.75" hidden="false" customHeight="false" outlineLevel="0" collapsed="false">
      <c r="A2455" s="4" t="n">
        <v>112</v>
      </c>
      <c r="B2455" s="4" t="s">
        <v>2944</v>
      </c>
      <c r="C2455" s="4" t="s">
        <v>365</v>
      </c>
      <c r="D2455" s="4" t="s">
        <v>3547</v>
      </c>
      <c r="E2455" s="4"/>
      <c r="F2455" s="4" t="n">
        <v>66.273676</v>
      </c>
    </row>
    <row r="2456" customFormat="false" ht="41.75" hidden="false" customHeight="false" outlineLevel="0" collapsed="false">
      <c r="A2456" s="4" t="n">
        <v>112</v>
      </c>
      <c r="B2456" s="4" t="s">
        <v>2944</v>
      </c>
      <c r="C2456" s="4" t="s">
        <v>366</v>
      </c>
      <c r="D2456" s="4" t="s">
        <v>3548</v>
      </c>
      <c r="E2456" s="4"/>
      <c r="F2456" s="4" t="n">
        <v>2026</v>
      </c>
    </row>
    <row r="2457" customFormat="false" ht="41.75" hidden="false" customHeight="false" outlineLevel="0" collapsed="false">
      <c r="A2457" s="4" t="n">
        <v>112</v>
      </c>
      <c r="B2457" s="4" t="s">
        <v>2944</v>
      </c>
      <c r="C2457" s="4" t="s">
        <v>367</v>
      </c>
      <c r="D2457" s="4" t="s">
        <v>3549</v>
      </c>
      <c r="E2457" s="4"/>
      <c r="F2457" s="4" t="s">
        <v>6</v>
      </c>
    </row>
    <row r="2458" customFormat="false" ht="41.75" hidden="false" customHeight="false" outlineLevel="0" collapsed="false">
      <c r="A2458" s="4" t="n">
        <v>112</v>
      </c>
      <c r="B2458" s="4" t="s">
        <v>2944</v>
      </c>
      <c r="C2458" s="4" t="s">
        <v>368</v>
      </c>
      <c r="D2458" s="4" t="s">
        <v>3550</v>
      </c>
      <c r="E2458" s="4"/>
      <c r="F2458" s="4" t="s">
        <v>2950</v>
      </c>
    </row>
    <row r="2459" customFormat="false" ht="41.75" hidden="false" customHeight="false" outlineLevel="0" collapsed="false">
      <c r="A2459" s="4" t="n">
        <v>112</v>
      </c>
      <c r="B2459" s="4" t="s">
        <v>2944</v>
      </c>
      <c r="C2459" s="4" t="s">
        <v>369</v>
      </c>
      <c r="D2459" s="4" t="s">
        <v>3503</v>
      </c>
      <c r="E2459" s="4" t="s">
        <v>780</v>
      </c>
      <c r="F2459" s="4" t="s">
        <v>494</v>
      </c>
    </row>
    <row r="2460" customFormat="false" ht="41.75" hidden="false" customHeight="false" outlineLevel="0" collapsed="false">
      <c r="A2460" s="4" t="n">
        <v>112</v>
      </c>
      <c r="B2460" s="4" t="s">
        <v>2944</v>
      </c>
      <c r="C2460" s="4" t="s">
        <v>370</v>
      </c>
      <c r="D2460" s="4" t="s">
        <v>3649</v>
      </c>
      <c r="E2460" s="4"/>
      <c r="F2460" s="4" t="n">
        <v>66.273676</v>
      </c>
    </row>
    <row r="2461" customFormat="false" ht="162.65" hidden="false" customHeight="false" outlineLevel="0" collapsed="false">
      <c r="A2461" s="4" t="n">
        <v>112</v>
      </c>
      <c r="B2461" s="4" t="s">
        <v>2944</v>
      </c>
      <c r="C2461" s="4" t="s">
        <v>372</v>
      </c>
      <c r="D2461" s="4" t="s">
        <v>3504</v>
      </c>
      <c r="E2461" s="4" t="s">
        <v>3708</v>
      </c>
      <c r="F2461" s="4" t="s">
        <v>2951</v>
      </c>
    </row>
    <row r="2462" customFormat="false" ht="41.75" hidden="false" customHeight="false" outlineLevel="0" collapsed="false">
      <c r="A2462" s="4" t="n">
        <v>112</v>
      </c>
      <c r="B2462" s="4" t="s">
        <v>2944</v>
      </c>
      <c r="C2462" s="4" t="s">
        <v>373</v>
      </c>
      <c r="D2462" s="4" t="s">
        <v>3664</v>
      </c>
      <c r="E2462" s="4" t="s">
        <v>2595</v>
      </c>
      <c r="F2462" s="4" t="s">
        <v>2952</v>
      </c>
    </row>
    <row r="2463" customFormat="false" ht="68.65" hidden="false" customHeight="false" outlineLevel="0" collapsed="false">
      <c r="A2463" s="4" t="n">
        <v>112</v>
      </c>
      <c r="B2463" s="4" t="s">
        <v>2944</v>
      </c>
      <c r="C2463" s="4" t="s">
        <v>374</v>
      </c>
      <c r="D2463" s="4" t="s">
        <v>3616</v>
      </c>
      <c r="E2463" s="4" t="s">
        <v>2934</v>
      </c>
      <c r="F2463" s="4" t="s">
        <v>2953</v>
      </c>
    </row>
    <row r="2464" customFormat="false" ht="55.2" hidden="false" customHeight="false" outlineLevel="0" collapsed="false">
      <c r="A2464" s="4" t="n">
        <v>112</v>
      </c>
      <c r="B2464" s="4" t="s">
        <v>2944</v>
      </c>
      <c r="C2464" s="4" t="s">
        <v>380</v>
      </c>
      <c r="D2464" s="4" t="s">
        <v>3474</v>
      </c>
      <c r="E2464" s="4" t="s">
        <v>2963</v>
      </c>
      <c r="F2464" s="4" t="s">
        <v>2957</v>
      </c>
    </row>
    <row r="2465" customFormat="false" ht="41.75" hidden="false" customHeight="false" outlineLevel="0" collapsed="false">
      <c r="A2465" s="4" t="n">
        <v>112</v>
      </c>
      <c r="B2465" s="4" t="s">
        <v>2944</v>
      </c>
      <c r="C2465" s="4" t="s">
        <v>403</v>
      </c>
      <c r="D2465" s="4" t="s">
        <v>3481</v>
      </c>
      <c r="E2465" s="4" t="s">
        <v>3004</v>
      </c>
      <c r="F2465" s="4" t="s">
        <v>2958</v>
      </c>
    </row>
    <row r="2466" customFormat="false" ht="68.65" hidden="false" customHeight="false" outlineLevel="0" collapsed="false">
      <c r="A2466" s="4" t="n">
        <v>112</v>
      </c>
      <c r="B2466" s="4" t="s">
        <v>2944</v>
      </c>
      <c r="C2466" s="4" t="s">
        <v>407</v>
      </c>
      <c r="D2466" s="4" t="s">
        <v>3485</v>
      </c>
      <c r="E2466" s="4"/>
      <c r="F2466" s="4" t="s">
        <v>2959</v>
      </c>
    </row>
    <row r="2467" customFormat="false" ht="41.75" hidden="false" customHeight="false" outlineLevel="0" collapsed="false">
      <c r="A2467" s="4" t="n">
        <v>112</v>
      </c>
      <c r="B2467" s="4" t="s">
        <v>2944</v>
      </c>
      <c r="C2467" s="4" t="s">
        <v>427</v>
      </c>
      <c r="D2467" s="4" t="s">
        <v>3464</v>
      </c>
      <c r="E2467" s="4"/>
      <c r="F2467" s="4" t="s">
        <v>24</v>
      </c>
    </row>
    <row r="2468" customFormat="false" ht="41.75" hidden="false" customHeight="false" outlineLevel="0" collapsed="false">
      <c r="A2468" s="4" t="n">
        <v>112</v>
      </c>
      <c r="B2468" s="4" t="s">
        <v>2944</v>
      </c>
      <c r="C2468" s="4" t="s">
        <v>428</v>
      </c>
      <c r="D2468" s="4" t="s">
        <v>3465</v>
      </c>
      <c r="E2468" s="4"/>
      <c r="F2468" s="4" t="s">
        <v>30</v>
      </c>
    </row>
    <row r="2469" customFormat="false" ht="41.75" hidden="false" customHeight="false" outlineLevel="0" collapsed="false">
      <c r="A2469" s="4" t="n">
        <v>112</v>
      </c>
      <c r="B2469" s="4" t="s">
        <v>2944</v>
      </c>
      <c r="C2469" s="4" t="s">
        <v>429</v>
      </c>
      <c r="D2469" s="4" t="s">
        <v>3466</v>
      </c>
      <c r="E2469" s="4"/>
      <c r="F2469" s="4" t="s">
        <v>36</v>
      </c>
    </row>
    <row r="2470" customFormat="false" ht="41.75" hidden="false" customHeight="false" outlineLevel="0" collapsed="false">
      <c r="A2470" s="4" t="n">
        <v>112</v>
      </c>
      <c r="B2470" s="4" t="s">
        <v>2944</v>
      </c>
      <c r="C2470" s="4" t="s">
        <v>430</v>
      </c>
      <c r="D2470" s="4" t="s">
        <v>3467</v>
      </c>
      <c r="E2470" s="4"/>
      <c r="F2470" s="4" t="s">
        <v>2415</v>
      </c>
    </row>
    <row r="2471" customFormat="false" ht="41.75" hidden="false" customHeight="false" outlineLevel="0" collapsed="false">
      <c r="A2471" s="4" t="n">
        <v>112</v>
      </c>
      <c r="B2471" s="4" t="s">
        <v>2944</v>
      </c>
      <c r="C2471" s="4" t="s">
        <v>431</v>
      </c>
      <c r="D2471" s="4" t="s">
        <v>3468</v>
      </c>
      <c r="E2471" s="4"/>
      <c r="F2471" s="4" t="s">
        <v>484</v>
      </c>
    </row>
    <row r="2472" customFormat="false" ht="41.75" hidden="false" customHeight="false" outlineLevel="0" collapsed="false">
      <c r="A2472" s="4" t="n">
        <v>112</v>
      </c>
      <c r="B2472" s="4" t="s">
        <v>2944</v>
      </c>
      <c r="C2472" s="4" t="s">
        <v>432</v>
      </c>
      <c r="D2472" s="4" t="s">
        <v>3469</v>
      </c>
      <c r="E2472" s="4"/>
      <c r="F2472" s="4" t="s">
        <v>664</v>
      </c>
    </row>
    <row r="2473" customFormat="false" ht="41.75" hidden="false" customHeight="false" outlineLevel="0" collapsed="false">
      <c r="A2473" s="4" t="n">
        <v>112</v>
      </c>
      <c r="B2473" s="4" t="s">
        <v>2944</v>
      </c>
      <c r="C2473" s="4" t="s">
        <v>433</v>
      </c>
      <c r="D2473" s="4" t="s">
        <v>3470</v>
      </c>
      <c r="E2473" s="4"/>
      <c r="F2473" s="4" t="s">
        <v>2416</v>
      </c>
    </row>
    <row r="2474" customFormat="false" ht="41.75" hidden="false" customHeight="false" outlineLevel="0" collapsed="false">
      <c r="A2474" s="4" t="n">
        <v>112</v>
      </c>
      <c r="B2474" s="4" t="s">
        <v>2944</v>
      </c>
      <c r="C2474" s="4" t="s">
        <v>434</v>
      </c>
      <c r="D2474" s="4" t="s">
        <v>3482</v>
      </c>
      <c r="E2474" s="4"/>
      <c r="F2474" s="4" t="s">
        <v>2187</v>
      </c>
    </row>
    <row r="2475" customFormat="false" ht="41.75" hidden="false" customHeight="false" outlineLevel="0" collapsed="false">
      <c r="A2475" s="4" t="n">
        <v>112</v>
      </c>
      <c r="B2475" s="4" t="s">
        <v>2944</v>
      </c>
      <c r="C2475" s="4" t="s">
        <v>435</v>
      </c>
      <c r="D2475" s="4" t="s">
        <v>3510</v>
      </c>
      <c r="E2475" s="4"/>
      <c r="F2475" s="4" t="s">
        <v>2417</v>
      </c>
    </row>
    <row r="2476" customFormat="false" ht="41.75" hidden="false" customHeight="false" outlineLevel="0" collapsed="false">
      <c r="A2476" s="4" t="n">
        <v>112</v>
      </c>
      <c r="B2476" s="4" t="s">
        <v>2944</v>
      </c>
      <c r="C2476" s="4" t="s">
        <v>436</v>
      </c>
      <c r="D2476" s="4" t="s">
        <v>3471</v>
      </c>
      <c r="E2476" s="4"/>
      <c r="F2476" s="4" t="s">
        <v>214</v>
      </c>
    </row>
    <row r="2477" customFormat="false" ht="41.75" hidden="false" customHeight="false" outlineLevel="0" collapsed="false">
      <c r="A2477" s="4" t="n">
        <v>112</v>
      </c>
      <c r="B2477" s="4" t="s">
        <v>2944</v>
      </c>
      <c r="C2477" s="4" t="s">
        <v>437</v>
      </c>
      <c r="D2477" s="4" t="s">
        <v>3472</v>
      </c>
      <c r="E2477" s="4"/>
      <c r="F2477" s="4" t="n">
        <v>10</v>
      </c>
    </row>
    <row r="2478" customFormat="false" ht="28.35" hidden="false" customHeight="false" outlineLevel="0" collapsed="false">
      <c r="A2478" s="4" t="n">
        <v>113</v>
      </c>
      <c r="B2478" s="4" t="s">
        <v>2964</v>
      </c>
      <c r="C2478" s="4" t="s">
        <v>365</v>
      </c>
      <c r="D2478" s="4" t="s">
        <v>3547</v>
      </c>
      <c r="E2478" s="4"/>
      <c r="F2478" s="4" t="n">
        <v>0.18</v>
      </c>
    </row>
    <row r="2479" customFormat="false" ht="28.35" hidden="false" customHeight="false" outlineLevel="0" collapsed="false">
      <c r="A2479" s="4" t="n">
        <v>113</v>
      </c>
      <c r="B2479" s="4" t="s">
        <v>2964</v>
      </c>
      <c r="C2479" s="4" t="s">
        <v>366</v>
      </c>
      <c r="D2479" s="4" t="s">
        <v>3548</v>
      </c>
      <c r="E2479" s="4"/>
      <c r="F2479" s="4" t="n">
        <v>2026</v>
      </c>
    </row>
    <row r="2480" customFormat="false" ht="28.35" hidden="false" customHeight="false" outlineLevel="0" collapsed="false">
      <c r="A2480" s="4" t="n">
        <v>113</v>
      </c>
      <c r="B2480" s="4" t="s">
        <v>2964</v>
      </c>
      <c r="C2480" s="4" t="s">
        <v>367</v>
      </c>
      <c r="D2480" s="4" t="s">
        <v>3549</v>
      </c>
      <c r="E2480" s="4"/>
      <c r="F2480" s="4" t="s">
        <v>5</v>
      </c>
    </row>
    <row r="2481" customFormat="false" ht="28.35" hidden="false" customHeight="false" outlineLevel="0" collapsed="false">
      <c r="A2481" s="4" t="n">
        <v>113</v>
      </c>
      <c r="B2481" s="4" t="s">
        <v>2964</v>
      </c>
      <c r="C2481" s="4" t="s">
        <v>368</v>
      </c>
      <c r="D2481" s="4" t="s">
        <v>3550</v>
      </c>
      <c r="E2481" s="4"/>
      <c r="F2481" s="4" t="s">
        <v>2018</v>
      </c>
    </row>
    <row r="2482" customFormat="false" ht="28.35" hidden="false" customHeight="false" outlineLevel="0" collapsed="false">
      <c r="A2482" s="4" t="n">
        <v>113</v>
      </c>
      <c r="B2482" s="4" t="s">
        <v>2964</v>
      </c>
      <c r="C2482" s="4" t="s">
        <v>369</v>
      </c>
      <c r="D2482" s="4" t="s">
        <v>3503</v>
      </c>
      <c r="E2482" s="4" t="s">
        <v>780</v>
      </c>
      <c r="F2482" s="4" t="s">
        <v>494</v>
      </c>
    </row>
    <row r="2483" customFormat="false" ht="28.35" hidden="false" customHeight="false" outlineLevel="0" collapsed="false">
      <c r="A2483" s="4" t="n">
        <v>113</v>
      </c>
      <c r="B2483" s="4" t="s">
        <v>2964</v>
      </c>
      <c r="C2483" s="4" t="s">
        <v>370</v>
      </c>
      <c r="D2483" s="4" t="s">
        <v>3649</v>
      </c>
      <c r="E2483" s="4"/>
      <c r="F2483" s="4" t="n">
        <v>0.18</v>
      </c>
    </row>
    <row r="2484" customFormat="false" ht="108.95" hidden="false" customHeight="false" outlineLevel="0" collapsed="false">
      <c r="A2484" s="4" t="n">
        <v>113</v>
      </c>
      <c r="B2484" s="4" t="s">
        <v>2964</v>
      </c>
      <c r="C2484" s="4" t="s">
        <v>372</v>
      </c>
      <c r="D2484" s="4" t="s">
        <v>3504</v>
      </c>
      <c r="E2484" s="4" t="s">
        <v>3708</v>
      </c>
      <c r="F2484" s="4" t="s">
        <v>2970</v>
      </c>
    </row>
    <row r="2485" customFormat="false" ht="28.35" hidden="false" customHeight="false" outlineLevel="0" collapsed="false">
      <c r="A2485" s="4" t="n">
        <v>113</v>
      </c>
      <c r="B2485" s="4" t="s">
        <v>2964</v>
      </c>
      <c r="C2485" s="4" t="s">
        <v>373</v>
      </c>
      <c r="D2485" s="4" t="s">
        <v>3664</v>
      </c>
      <c r="E2485" s="4" t="s">
        <v>2595</v>
      </c>
      <c r="F2485" s="4" t="s">
        <v>2199</v>
      </c>
    </row>
    <row r="2486" customFormat="false" ht="68.65" hidden="false" customHeight="false" outlineLevel="0" collapsed="false">
      <c r="A2486" s="4" t="n">
        <v>113</v>
      </c>
      <c r="B2486" s="4" t="s">
        <v>2964</v>
      </c>
      <c r="C2486" s="4" t="s">
        <v>374</v>
      </c>
      <c r="D2486" s="4" t="s">
        <v>3616</v>
      </c>
      <c r="E2486" s="4" t="s">
        <v>2934</v>
      </c>
      <c r="F2486" s="4" t="s">
        <v>2971</v>
      </c>
    </row>
    <row r="2487" customFormat="false" ht="95.5" hidden="false" customHeight="false" outlineLevel="0" collapsed="false">
      <c r="A2487" s="4" t="n">
        <v>113</v>
      </c>
      <c r="B2487" s="4" t="s">
        <v>2964</v>
      </c>
      <c r="C2487" s="4" t="s">
        <v>380</v>
      </c>
      <c r="D2487" s="4" t="s">
        <v>3474</v>
      </c>
      <c r="E2487" s="4" t="s">
        <v>2979</v>
      </c>
      <c r="F2487" s="4" t="s">
        <v>2972</v>
      </c>
    </row>
    <row r="2488" customFormat="false" ht="28.35" hidden="false" customHeight="false" outlineLevel="0" collapsed="false">
      <c r="A2488" s="4" t="n">
        <v>113</v>
      </c>
      <c r="B2488" s="4" t="s">
        <v>2964</v>
      </c>
      <c r="C2488" s="4" t="s">
        <v>403</v>
      </c>
      <c r="D2488" s="4" t="s">
        <v>3481</v>
      </c>
      <c r="E2488" s="4" t="s">
        <v>3004</v>
      </c>
      <c r="F2488" s="4" t="s">
        <v>2973</v>
      </c>
    </row>
    <row r="2489" customFormat="false" ht="28.35" hidden="false" customHeight="false" outlineLevel="0" collapsed="false">
      <c r="A2489" s="4" t="n">
        <v>113</v>
      </c>
      <c r="B2489" s="4" t="s">
        <v>2964</v>
      </c>
      <c r="C2489" s="4" t="s">
        <v>427</v>
      </c>
      <c r="D2489" s="4" t="s">
        <v>3464</v>
      </c>
      <c r="E2489" s="4"/>
      <c r="F2489" s="4" t="s">
        <v>24</v>
      </c>
    </row>
    <row r="2490" customFormat="false" ht="28.35" hidden="false" customHeight="false" outlineLevel="0" collapsed="false">
      <c r="A2490" s="4" t="n">
        <v>113</v>
      </c>
      <c r="B2490" s="4" t="s">
        <v>2964</v>
      </c>
      <c r="C2490" s="4" t="s">
        <v>428</v>
      </c>
      <c r="D2490" s="4" t="s">
        <v>3465</v>
      </c>
      <c r="E2490" s="4"/>
      <c r="F2490" s="4" t="s">
        <v>30</v>
      </c>
    </row>
    <row r="2491" customFormat="false" ht="28.35" hidden="false" customHeight="false" outlineLevel="0" collapsed="false">
      <c r="A2491" s="4" t="n">
        <v>113</v>
      </c>
      <c r="B2491" s="4" t="s">
        <v>2964</v>
      </c>
      <c r="C2491" s="4" t="s">
        <v>429</v>
      </c>
      <c r="D2491" s="4" t="s">
        <v>3466</v>
      </c>
      <c r="E2491" s="4"/>
      <c r="F2491" s="4" t="s">
        <v>37</v>
      </c>
    </row>
    <row r="2492" customFormat="false" ht="28.35" hidden="false" customHeight="false" outlineLevel="0" collapsed="false">
      <c r="A2492" s="4" t="n">
        <v>113</v>
      </c>
      <c r="B2492" s="4" t="s">
        <v>2964</v>
      </c>
      <c r="C2492" s="4" t="s">
        <v>430</v>
      </c>
      <c r="D2492" s="4" t="s">
        <v>3467</v>
      </c>
      <c r="E2492" s="4"/>
      <c r="F2492" s="4" t="s">
        <v>2141</v>
      </c>
    </row>
    <row r="2493" customFormat="false" ht="28.35" hidden="false" customHeight="false" outlineLevel="0" collapsed="false">
      <c r="A2493" s="4" t="n">
        <v>113</v>
      </c>
      <c r="B2493" s="4" t="s">
        <v>2964</v>
      </c>
      <c r="C2493" s="4" t="s">
        <v>431</v>
      </c>
      <c r="D2493" s="4" t="s">
        <v>3468</v>
      </c>
      <c r="E2493" s="4"/>
      <c r="F2493" s="4" t="s">
        <v>484</v>
      </c>
    </row>
    <row r="2494" customFormat="false" ht="28.35" hidden="false" customHeight="false" outlineLevel="0" collapsed="false">
      <c r="A2494" s="4" t="n">
        <v>113</v>
      </c>
      <c r="B2494" s="4" t="s">
        <v>2964</v>
      </c>
      <c r="C2494" s="4" t="s">
        <v>432</v>
      </c>
      <c r="D2494" s="4" t="s">
        <v>3469</v>
      </c>
      <c r="E2494" s="4"/>
      <c r="F2494" s="4" t="s">
        <v>664</v>
      </c>
    </row>
    <row r="2495" customFormat="false" ht="28.35" hidden="false" customHeight="false" outlineLevel="0" collapsed="false">
      <c r="A2495" s="4" t="n">
        <v>113</v>
      </c>
      <c r="B2495" s="4" t="s">
        <v>2964</v>
      </c>
      <c r="C2495" s="4" t="s">
        <v>433</v>
      </c>
      <c r="D2495" s="4" t="s">
        <v>3470</v>
      </c>
      <c r="E2495" s="4"/>
      <c r="F2495" s="4" t="s">
        <v>2980</v>
      </c>
    </row>
    <row r="2496" customFormat="false" ht="28.35" hidden="false" customHeight="false" outlineLevel="0" collapsed="false">
      <c r="A2496" s="4" t="n">
        <v>113</v>
      </c>
      <c r="B2496" s="4" t="s">
        <v>2964</v>
      </c>
      <c r="C2496" s="4" t="s">
        <v>434</v>
      </c>
      <c r="D2496" s="4" t="s">
        <v>3482</v>
      </c>
      <c r="E2496" s="4"/>
      <c r="F2496" s="4" t="s">
        <v>2187</v>
      </c>
    </row>
    <row r="2497" customFormat="false" ht="28.35" hidden="false" customHeight="false" outlineLevel="0" collapsed="false">
      <c r="A2497" s="4" t="n">
        <v>113</v>
      </c>
      <c r="B2497" s="4" t="s">
        <v>2964</v>
      </c>
      <c r="C2497" s="4" t="s">
        <v>435</v>
      </c>
      <c r="D2497" s="4" t="s">
        <v>3510</v>
      </c>
      <c r="E2497" s="4"/>
      <c r="F2497" s="4" t="s">
        <v>96</v>
      </c>
    </row>
    <row r="2498" customFormat="false" ht="28.35" hidden="false" customHeight="false" outlineLevel="0" collapsed="false">
      <c r="A2498" s="4" t="n">
        <v>113</v>
      </c>
      <c r="B2498" s="4" t="s">
        <v>2964</v>
      </c>
      <c r="C2498" s="4" t="s">
        <v>436</v>
      </c>
      <c r="D2498" s="4" t="s">
        <v>3471</v>
      </c>
      <c r="E2498" s="4"/>
      <c r="F2498" s="4" t="s">
        <v>95</v>
      </c>
    </row>
    <row r="2499" customFormat="false" ht="28.35" hidden="false" customHeight="false" outlineLevel="0" collapsed="false">
      <c r="A2499" s="4" t="n">
        <v>113</v>
      </c>
      <c r="B2499" s="4" t="s">
        <v>2964</v>
      </c>
      <c r="C2499" s="4" t="s">
        <v>437</v>
      </c>
      <c r="D2499" s="4" t="s">
        <v>3472</v>
      </c>
      <c r="E2499" s="4"/>
      <c r="F2499" s="4" t="n">
        <v>13</v>
      </c>
    </row>
    <row r="2500" customFormat="false" ht="28.35" hidden="false" customHeight="false" outlineLevel="0" collapsed="false">
      <c r="A2500" s="4" t="n">
        <v>114</v>
      </c>
      <c r="B2500" s="4" t="s">
        <v>2981</v>
      </c>
      <c r="C2500" s="4" t="s">
        <v>365</v>
      </c>
      <c r="D2500" s="4" t="s">
        <v>3547</v>
      </c>
      <c r="E2500" s="4"/>
      <c r="F2500" s="4" t="n">
        <v>18.273639</v>
      </c>
    </row>
    <row r="2501" customFormat="false" ht="28.35" hidden="false" customHeight="false" outlineLevel="0" collapsed="false">
      <c r="A2501" s="4" t="n">
        <v>114</v>
      </c>
      <c r="B2501" s="4" t="s">
        <v>2981</v>
      </c>
      <c r="C2501" s="4" t="s">
        <v>366</v>
      </c>
      <c r="D2501" s="4" t="s">
        <v>3548</v>
      </c>
      <c r="E2501" s="4"/>
      <c r="F2501" s="4" t="n">
        <v>2026</v>
      </c>
    </row>
    <row r="2502" customFormat="false" ht="28.35" hidden="false" customHeight="false" outlineLevel="0" collapsed="false">
      <c r="A2502" s="4" t="n">
        <v>114</v>
      </c>
      <c r="B2502" s="4" t="s">
        <v>2981</v>
      </c>
      <c r="C2502" s="4" t="s">
        <v>367</v>
      </c>
      <c r="D2502" s="4" t="s">
        <v>3549</v>
      </c>
      <c r="E2502" s="4"/>
      <c r="F2502" s="4" t="s">
        <v>5</v>
      </c>
    </row>
    <row r="2503" customFormat="false" ht="28.35" hidden="false" customHeight="false" outlineLevel="0" collapsed="false">
      <c r="A2503" s="4" t="n">
        <v>114</v>
      </c>
      <c r="B2503" s="4" t="s">
        <v>2981</v>
      </c>
      <c r="C2503" s="4" t="s">
        <v>368</v>
      </c>
      <c r="D2503" s="4" t="s">
        <v>3550</v>
      </c>
      <c r="E2503" s="4"/>
      <c r="F2503" s="4" t="s">
        <v>2018</v>
      </c>
    </row>
    <row r="2504" customFormat="false" ht="28.35" hidden="false" customHeight="false" outlineLevel="0" collapsed="false">
      <c r="A2504" s="4" t="n">
        <v>114</v>
      </c>
      <c r="B2504" s="4" t="s">
        <v>2981</v>
      </c>
      <c r="C2504" s="4" t="s">
        <v>369</v>
      </c>
      <c r="D2504" s="4" t="s">
        <v>3503</v>
      </c>
      <c r="E2504" s="4" t="s">
        <v>780</v>
      </c>
      <c r="F2504" s="4" t="s">
        <v>494</v>
      </c>
    </row>
    <row r="2505" customFormat="false" ht="28.35" hidden="false" customHeight="false" outlineLevel="0" collapsed="false">
      <c r="A2505" s="4" t="n">
        <v>114</v>
      </c>
      <c r="B2505" s="4" t="s">
        <v>2981</v>
      </c>
      <c r="C2505" s="4" t="s">
        <v>370</v>
      </c>
      <c r="D2505" s="4" t="s">
        <v>3649</v>
      </c>
      <c r="E2505" s="4"/>
      <c r="F2505" s="4" t="n">
        <v>18.273639</v>
      </c>
    </row>
    <row r="2506" customFormat="false" ht="82.05" hidden="false" customHeight="false" outlineLevel="0" collapsed="false">
      <c r="A2506" s="4" t="n">
        <v>114</v>
      </c>
      <c r="B2506" s="4" t="s">
        <v>2981</v>
      </c>
      <c r="C2506" s="4" t="s">
        <v>372</v>
      </c>
      <c r="D2506" s="4" t="s">
        <v>3504</v>
      </c>
      <c r="E2506" s="4" t="s">
        <v>3708</v>
      </c>
      <c r="F2506" s="4" t="s">
        <v>2987</v>
      </c>
    </row>
    <row r="2507" customFormat="false" ht="28.35" hidden="false" customHeight="false" outlineLevel="0" collapsed="false">
      <c r="A2507" s="4" t="n">
        <v>114</v>
      </c>
      <c r="B2507" s="4" t="s">
        <v>2981</v>
      </c>
      <c r="C2507" s="4" t="s">
        <v>373</v>
      </c>
      <c r="D2507" s="4" t="s">
        <v>3664</v>
      </c>
      <c r="E2507" s="4" t="s">
        <v>2595</v>
      </c>
      <c r="F2507" s="4" t="s">
        <v>2283</v>
      </c>
    </row>
    <row r="2508" customFormat="false" ht="68.65" hidden="false" customHeight="false" outlineLevel="0" collapsed="false">
      <c r="A2508" s="4" t="n">
        <v>114</v>
      </c>
      <c r="B2508" s="4" t="s">
        <v>2981</v>
      </c>
      <c r="C2508" s="4" t="s">
        <v>374</v>
      </c>
      <c r="D2508" s="4" t="s">
        <v>3616</v>
      </c>
      <c r="E2508" s="4" t="s">
        <v>2934</v>
      </c>
      <c r="F2508" s="4" t="s">
        <v>2988</v>
      </c>
    </row>
    <row r="2509" customFormat="false" ht="28.35" hidden="false" customHeight="false" outlineLevel="0" collapsed="false">
      <c r="A2509" s="4" t="n">
        <v>114</v>
      </c>
      <c r="B2509" s="4" t="s">
        <v>2981</v>
      </c>
      <c r="C2509" s="4" t="s">
        <v>380</v>
      </c>
      <c r="D2509" s="4" t="s">
        <v>3474</v>
      </c>
      <c r="E2509" s="4" t="s">
        <v>2994</v>
      </c>
      <c r="F2509" s="4" t="s">
        <v>2989</v>
      </c>
    </row>
    <row r="2510" customFormat="false" ht="28.35" hidden="false" customHeight="false" outlineLevel="0" collapsed="false">
      <c r="A2510" s="4" t="n">
        <v>114</v>
      </c>
      <c r="B2510" s="4" t="s">
        <v>2981</v>
      </c>
      <c r="C2510" s="4" t="s">
        <v>403</v>
      </c>
      <c r="D2510" s="4" t="s">
        <v>3481</v>
      </c>
      <c r="E2510" s="4" t="s">
        <v>3004</v>
      </c>
      <c r="F2510" s="4" t="s">
        <v>2990</v>
      </c>
    </row>
    <row r="2511" customFormat="false" ht="28.35" hidden="false" customHeight="false" outlineLevel="0" collapsed="false">
      <c r="A2511" s="4" t="n">
        <v>114</v>
      </c>
      <c r="B2511" s="4" t="s">
        <v>2981</v>
      </c>
      <c r="C2511" s="4" t="s">
        <v>427</v>
      </c>
      <c r="D2511" s="4" t="s">
        <v>3464</v>
      </c>
      <c r="E2511" s="4"/>
      <c r="F2511" s="4" t="s">
        <v>23</v>
      </c>
    </row>
    <row r="2512" customFormat="false" ht="28.35" hidden="false" customHeight="false" outlineLevel="0" collapsed="false">
      <c r="A2512" s="4" t="n">
        <v>114</v>
      </c>
      <c r="B2512" s="4" t="s">
        <v>2981</v>
      </c>
      <c r="C2512" s="4" t="s">
        <v>428</v>
      </c>
      <c r="D2512" s="4" t="s">
        <v>3465</v>
      </c>
      <c r="E2512" s="4"/>
      <c r="F2512" s="4" t="s">
        <v>28</v>
      </c>
    </row>
    <row r="2513" customFormat="false" ht="28.35" hidden="false" customHeight="false" outlineLevel="0" collapsed="false">
      <c r="A2513" s="4" t="n">
        <v>114</v>
      </c>
      <c r="B2513" s="4" t="s">
        <v>2981</v>
      </c>
      <c r="C2513" s="4" t="s">
        <v>429</v>
      </c>
      <c r="D2513" s="4" t="s">
        <v>3466</v>
      </c>
      <c r="E2513" s="4"/>
      <c r="F2513" s="4" t="s">
        <v>34</v>
      </c>
    </row>
    <row r="2514" customFormat="false" ht="41.75" hidden="false" customHeight="false" outlineLevel="0" collapsed="false">
      <c r="A2514" s="4" t="n">
        <v>114</v>
      </c>
      <c r="B2514" s="4" t="s">
        <v>2981</v>
      </c>
      <c r="C2514" s="4" t="s">
        <v>430</v>
      </c>
      <c r="D2514" s="4" t="s">
        <v>3467</v>
      </c>
      <c r="E2514" s="4"/>
      <c r="F2514" s="4" t="s">
        <v>2207</v>
      </c>
    </row>
    <row r="2515" customFormat="false" ht="28.35" hidden="false" customHeight="false" outlineLevel="0" collapsed="false">
      <c r="A2515" s="4" t="n">
        <v>114</v>
      </c>
      <c r="B2515" s="4" t="s">
        <v>2981</v>
      </c>
      <c r="C2515" s="4" t="s">
        <v>431</v>
      </c>
      <c r="D2515" s="4" t="s">
        <v>3468</v>
      </c>
      <c r="E2515" s="4"/>
      <c r="F2515" s="4" t="s">
        <v>484</v>
      </c>
    </row>
    <row r="2516" customFormat="false" ht="28.35" hidden="false" customHeight="false" outlineLevel="0" collapsed="false">
      <c r="A2516" s="4" t="n">
        <v>114</v>
      </c>
      <c r="B2516" s="4" t="s">
        <v>2981</v>
      </c>
      <c r="C2516" s="4" t="s">
        <v>432</v>
      </c>
      <c r="D2516" s="4" t="s">
        <v>3469</v>
      </c>
      <c r="E2516" s="4"/>
      <c r="F2516" s="4" t="s">
        <v>664</v>
      </c>
    </row>
    <row r="2517" customFormat="false" ht="68.65" hidden="false" customHeight="false" outlineLevel="0" collapsed="false">
      <c r="A2517" s="4" t="n">
        <v>114</v>
      </c>
      <c r="B2517" s="4" t="s">
        <v>2981</v>
      </c>
      <c r="C2517" s="4" t="s">
        <v>433</v>
      </c>
      <c r="D2517" s="4" t="s">
        <v>3470</v>
      </c>
      <c r="E2517" s="4"/>
      <c r="F2517" s="4" t="s">
        <v>2208</v>
      </c>
    </row>
    <row r="2518" customFormat="false" ht="28.35" hidden="false" customHeight="false" outlineLevel="0" collapsed="false">
      <c r="A2518" s="4" t="n">
        <v>114</v>
      </c>
      <c r="B2518" s="4" t="s">
        <v>2981</v>
      </c>
      <c r="C2518" s="4" t="s">
        <v>434</v>
      </c>
      <c r="D2518" s="4" t="s">
        <v>3482</v>
      </c>
      <c r="E2518" s="4"/>
      <c r="F2518" s="4" t="s">
        <v>2209</v>
      </c>
    </row>
    <row r="2519" customFormat="false" ht="28.35" hidden="false" customHeight="false" outlineLevel="0" collapsed="false">
      <c r="A2519" s="4" t="n">
        <v>114</v>
      </c>
      <c r="B2519" s="4" t="s">
        <v>2981</v>
      </c>
      <c r="C2519" s="4" t="s">
        <v>436</v>
      </c>
      <c r="D2519" s="4" t="s">
        <v>3471</v>
      </c>
      <c r="E2519" s="4"/>
      <c r="F2519" s="4" t="s">
        <v>283</v>
      </c>
    </row>
    <row r="2520" customFormat="false" ht="28.35" hidden="false" customHeight="false" outlineLevel="0" collapsed="false">
      <c r="A2520" s="4" t="n">
        <v>114</v>
      </c>
      <c r="B2520" s="4" t="s">
        <v>2981</v>
      </c>
      <c r="C2520" s="4" t="s">
        <v>437</v>
      </c>
      <c r="D2520" s="4" t="s">
        <v>3472</v>
      </c>
      <c r="E2520" s="4"/>
      <c r="F2520" s="4" t="n">
        <v>9</v>
      </c>
    </row>
    <row r="2521" customFormat="false" ht="108.95" hidden="false" customHeight="false" outlineLevel="0" collapsed="false">
      <c r="A2521" s="4" t="n">
        <v>115</v>
      </c>
      <c r="B2521" s="4" t="s">
        <v>2995</v>
      </c>
      <c r="C2521" s="4" t="s">
        <v>372</v>
      </c>
      <c r="D2521" s="4" t="s">
        <v>3504</v>
      </c>
      <c r="E2521" s="4" t="s">
        <v>3708</v>
      </c>
      <c r="F2521" s="4" t="s">
        <v>3001</v>
      </c>
    </row>
    <row r="2522" customFormat="false" ht="15" hidden="false" customHeight="false" outlineLevel="0" collapsed="false">
      <c r="A2522" s="4" t="n">
        <v>115</v>
      </c>
      <c r="B2522" s="4" t="s">
        <v>2995</v>
      </c>
      <c r="C2522" s="4" t="s">
        <v>373</v>
      </c>
      <c r="D2522" s="4" t="s">
        <v>3664</v>
      </c>
      <c r="E2522" s="4" t="s">
        <v>2595</v>
      </c>
      <c r="F2522" s="4" t="s">
        <v>3002</v>
      </c>
    </row>
    <row r="2523" customFormat="false" ht="28.35" hidden="false" customHeight="false" outlineLevel="0" collapsed="false">
      <c r="A2523" s="4" t="n">
        <v>115</v>
      </c>
      <c r="B2523" s="4" t="s">
        <v>2995</v>
      </c>
      <c r="C2523" s="4" t="s">
        <v>380</v>
      </c>
      <c r="D2523" s="4" t="s">
        <v>3474</v>
      </c>
      <c r="E2523" s="4" t="s">
        <v>3743</v>
      </c>
      <c r="F2523" s="4" t="s">
        <v>3003</v>
      </c>
    </row>
    <row r="2524" customFormat="false" ht="15" hidden="false" customHeight="false" outlineLevel="0" collapsed="false">
      <c r="A2524" s="4" t="n">
        <v>115</v>
      </c>
      <c r="B2524" s="4" t="s">
        <v>2995</v>
      </c>
      <c r="C2524" s="4" t="s">
        <v>427</v>
      </c>
      <c r="D2524" s="4" t="s">
        <v>3464</v>
      </c>
      <c r="E2524" s="4"/>
      <c r="F2524" s="4" t="s">
        <v>24</v>
      </c>
    </row>
    <row r="2525" customFormat="false" ht="15" hidden="false" customHeight="false" outlineLevel="0" collapsed="false">
      <c r="A2525" s="4" t="n">
        <v>115</v>
      </c>
      <c r="B2525" s="4" t="s">
        <v>2995</v>
      </c>
      <c r="C2525" s="4" t="s">
        <v>428</v>
      </c>
      <c r="D2525" s="4" t="s">
        <v>3465</v>
      </c>
      <c r="E2525" s="4"/>
      <c r="F2525" s="4" t="s">
        <v>31</v>
      </c>
    </row>
    <row r="2526" customFormat="false" ht="15" hidden="false" customHeight="false" outlineLevel="0" collapsed="false">
      <c r="A2526" s="4" t="n">
        <v>115</v>
      </c>
      <c r="B2526" s="4" t="s">
        <v>2995</v>
      </c>
      <c r="C2526" s="4" t="s">
        <v>429</v>
      </c>
      <c r="D2526" s="4" t="s">
        <v>3466</v>
      </c>
      <c r="E2526" s="4"/>
      <c r="F2526" s="4" t="s">
        <v>38</v>
      </c>
    </row>
    <row r="2527" customFormat="false" ht="41.75" hidden="false" customHeight="false" outlineLevel="0" collapsed="false">
      <c r="A2527" s="4" t="n">
        <v>115</v>
      </c>
      <c r="B2527" s="4" t="s">
        <v>2995</v>
      </c>
      <c r="C2527" s="4" t="s">
        <v>430</v>
      </c>
      <c r="D2527" s="4" t="s">
        <v>3467</v>
      </c>
      <c r="E2527" s="4"/>
      <c r="F2527" s="4" t="s">
        <v>3008</v>
      </c>
    </row>
    <row r="2528" customFormat="false" ht="15" hidden="false" customHeight="false" outlineLevel="0" collapsed="false">
      <c r="A2528" s="4" t="n">
        <v>115</v>
      </c>
      <c r="B2528" s="4" t="s">
        <v>2995</v>
      </c>
      <c r="C2528" s="4" t="s">
        <v>431</v>
      </c>
      <c r="D2528" s="4" t="s">
        <v>3468</v>
      </c>
      <c r="E2528" s="4"/>
      <c r="F2528" s="4" t="s">
        <v>484</v>
      </c>
    </row>
    <row r="2529" customFormat="false" ht="15" hidden="false" customHeight="false" outlineLevel="0" collapsed="false">
      <c r="A2529" s="4" t="n">
        <v>115</v>
      </c>
      <c r="B2529" s="4" t="s">
        <v>2995</v>
      </c>
      <c r="C2529" s="4" t="s">
        <v>432</v>
      </c>
      <c r="D2529" s="4" t="s">
        <v>3469</v>
      </c>
      <c r="E2529" s="4"/>
      <c r="F2529" s="4" t="s">
        <v>713</v>
      </c>
    </row>
    <row r="2530" customFormat="false" ht="28.35" hidden="false" customHeight="false" outlineLevel="0" collapsed="false">
      <c r="A2530" s="4" t="n">
        <v>115</v>
      </c>
      <c r="B2530" s="4" t="s">
        <v>2995</v>
      </c>
      <c r="C2530" s="4" t="s">
        <v>433</v>
      </c>
      <c r="D2530" s="4" t="s">
        <v>3470</v>
      </c>
      <c r="E2530" s="4"/>
      <c r="F2530" s="4" t="s">
        <v>3009</v>
      </c>
    </row>
    <row r="2531" customFormat="false" ht="28.35" hidden="false" customHeight="false" outlineLevel="0" collapsed="false">
      <c r="A2531" s="4" t="n">
        <v>115</v>
      </c>
      <c r="B2531" s="4" t="s">
        <v>2995</v>
      </c>
      <c r="C2531" s="4" t="s">
        <v>434</v>
      </c>
      <c r="D2531" s="4" t="s">
        <v>3482</v>
      </c>
      <c r="E2531" s="4"/>
      <c r="F2531" s="4" t="s">
        <v>3010</v>
      </c>
    </row>
    <row r="2532" customFormat="false" ht="15" hidden="false" customHeight="false" outlineLevel="0" collapsed="false">
      <c r="A2532" s="4" t="n">
        <v>115</v>
      </c>
      <c r="B2532" s="4" t="s">
        <v>2995</v>
      </c>
      <c r="C2532" s="4" t="s">
        <v>436</v>
      </c>
      <c r="D2532" s="4" t="s">
        <v>3471</v>
      </c>
      <c r="E2532" s="4"/>
      <c r="F2532" s="4" t="s">
        <v>316</v>
      </c>
    </row>
    <row r="2533" customFormat="false" ht="28.35" hidden="false" customHeight="false" outlineLevel="0" collapsed="false">
      <c r="A2533" s="4" t="n">
        <v>115</v>
      </c>
      <c r="B2533" s="4" t="s">
        <v>2995</v>
      </c>
      <c r="C2533" s="4" t="s">
        <v>437</v>
      </c>
      <c r="D2533" s="4" t="s">
        <v>3472</v>
      </c>
      <c r="E2533" s="4"/>
      <c r="F2533" s="4" t="n">
        <v>12</v>
      </c>
    </row>
    <row r="2534" customFormat="false" ht="55.2" hidden="false" customHeight="false" outlineLevel="0" collapsed="false">
      <c r="A2534" s="4" t="n">
        <v>115</v>
      </c>
      <c r="B2534" s="4" t="s">
        <v>2995</v>
      </c>
      <c r="C2534" s="4" t="s">
        <v>438</v>
      </c>
      <c r="D2534" s="4" t="s">
        <v>3511</v>
      </c>
      <c r="E2534" s="4"/>
      <c r="F2534" s="4" t="s">
        <v>3011</v>
      </c>
    </row>
    <row r="2535" customFormat="false" ht="28.35" hidden="false" customHeight="false" outlineLevel="0" collapsed="false">
      <c r="A2535" s="4" t="n">
        <v>116</v>
      </c>
      <c r="B2535" s="4" t="s">
        <v>3012</v>
      </c>
      <c r="C2535" s="4" t="s">
        <v>365</v>
      </c>
      <c r="D2535" s="4" t="s">
        <v>3547</v>
      </c>
      <c r="E2535" s="4"/>
      <c r="F2535" s="4" t="n">
        <v>2.415537</v>
      </c>
    </row>
    <row r="2536" customFormat="false" ht="28.35" hidden="false" customHeight="false" outlineLevel="0" collapsed="false">
      <c r="A2536" s="4" t="n">
        <v>116</v>
      </c>
      <c r="B2536" s="4" t="s">
        <v>3012</v>
      </c>
      <c r="C2536" s="4" t="s">
        <v>366</v>
      </c>
      <c r="D2536" s="4" t="s">
        <v>3548</v>
      </c>
      <c r="E2536" s="4"/>
      <c r="F2536" s="4" t="n">
        <v>2026</v>
      </c>
    </row>
    <row r="2537" customFormat="false" ht="28.35" hidden="false" customHeight="false" outlineLevel="0" collapsed="false">
      <c r="A2537" s="4" t="n">
        <v>116</v>
      </c>
      <c r="B2537" s="4" t="s">
        <v>3012</v>
      </c>
      <c r="C2537" s="4" t="s">
        <v>367</v>
      </c>
      <c r="D2537" s="4" t="s">
        <v>3549</v>
      </c>
      <c r="E2537" s="4"/>
      <c r="F2537" s="4" t="s">
        <v>5</v>
      </c>
    </row>
    <row r="2538" customFormat="false" ht="28.35" hidden="false" customHeight="false" outlineLevel="0" collapsed="false">
      <c r="A2538" s="4" t="n">
        <v>116</v>
      </c>
      <c r="B2538" s="4" t="s">
        <v>3012</v>
      </c>
      <c r="C2538" s="4" t="s">
        <v>368</v>
      </c>
      <c r="D2538" s="4" t="s">
        <v>3550</v>
      </c>
      <c r="E2538" s="4"/>
      <c r="F2538" s="4" t="s">
        <v>2018</v>
      </c>
    </row>
    <row r="2539" customFormat="false" ht="28.35" hidden="false" customHeight="false" outlineLevel="0" collapsed="false">
      <c r="A2539" s="4" t="n">
        <v>116</v>
      </c>
      <c r="B2539" s="4" t="s">
        <v>3012</v>
      </c>
      <c r="C2539" s="4" t="s">
        <v>369</v>
      </c>
      <c r="D2539" s="4" t="s">
        <v>3503</v>
      </c>
      <c r="E2539" s="4" t="s">
        <v>780</v>
      </c>
      <c r="F2539" s="4" t="s">
        <v>494</v>
      </c>
    </row>
    <row r="2540" customFormat="false" ht="28.35" hidden="false" customHeight="false" outlineLevel="0" collapsed="false">
      <c r="A2540" s="4" t="n">
        <v>116</v>
      </c>
      <c r="B2540" s="4" t="s">
        <v>3012</v>
      </c>
      <c r="C2540" s="4" t="s">
        <v>370</v>
      </c>
      <c r="D2540" s="4" t="s">
        <v>3649</v>
      </c>
      <c r="E2540" s="4"/>
      <c r="F2540" s="4" t="n">
        <v>2.415537</v>
      </c>
    </row>
    <row r="2541" customFormat="false" ht="95.5" hidden="false" customHeight="false" outlineLevel="0" collapsed="false">
      <c r="A2541" s="4" t="n">
        <v>116</v>
      </c>
      <c r="B2541" s="4" t="s">
        <v>3012</v>
      </c>
      <c r="C2541" s="4" t="s">
        <v>372</v>
      </c>
      <c r="D2541" s="4" t="s">
        <v>3504</v>
      </c>
      <c r="E2541" s="4" t="s">
        <v>3708</v>
      </c>
      <c r="F2541" s="4" t="s">
        <v>3018</v>
      </c>
    </row>
    <row r="2542" customFormat="false" ht="28.35" hidden="false" customHeight="false" outlineLevel="0" collapsed="false">
      <c r="A2542" s="4" t="n">
        <v>116</v>
      </c>
      <c r="B2542" s="4" t="s">
        <v>3012</v>
      </c>
      <c r="C2542" s="4" t="s">
        <v>373</v>
      </c>
      <c r="D2542" s="4" t="s">
        <v>3664</v>
      </c>
      <c r="E2542" s="4" t="s">
        <v>2595</v>
      </c>
      <c r="F2542" s="4" t="s">
        <v>2283</v>
      </c>
    </row>
    <row r="2543" customFormat="false" ht="68.65" hidden="false" customHeight="false" outlineLevel="0" collapsed="false">
      <c r="A2543" s="4" t="n">
        <v>116</v>
      </c>
      <c r="B2543" s="4" t="s">
        <v>3012</v>
      </c>
      <c r="C2543" s="4" t="s">
        <v>374</v>
      </c>
      <c r="D2543" s="4" t="s">
        <v>3616</v>
      </c>
      <c r="E2543" s="4" t="s">
        <v>2934</v>
      </c>
      <c r="F2543" s="4" t="s">
        <v>3019</v>
      </c>
    </row>
    <row r="2544" customFormat="false" ht="28.35" hidden="false" customHeight="false" outlineLevel="0" collapsed="false">
      <c r="A2544" s="4" t="n">
        <v>116</v>
      </c>
      <c r="B2544" s="4" t="s">
        <v>3012</v>
      </c>
      <c r="C2544" s="4" t="s">
        <v>380</v>
      </c>
      <c r="D2544" s="4" t="s">
        <v>3474</v>
      </c>
      <c r="E2544" s="4" t="s">
        <v>3025</v>
      </c>
      <c r="F2544" s="4" t="s">
        <v>3020</v>
      </c>
    </row>
    <row r="2545" customFormat="false" ht="28.35" hidden="false" customHeight="false" outlineLevel="0" collapsed="false">
      <c r="A2545" s="4" t="n">
        <v>116</v>
      </c>
      <c r="B2545" s="4" t="s">
        <v>3012</v>
      </c>
      <c r="C2545" s="4" t="s">
        <v>403</v>
      </c>
      <c r="D2545" s="4" t="s">
        <v>3481</v>
      </c>
      <c r="E2545" s="4" t="s">
        <v>3004</v>
      </c>
      <c r="F2545" s="4" t="s">
        <v>3021</v>
      </c>
    </row>
    <row r="2546" customFormat="false" ht="82.05" hidden="false" customHeight="false" outlineLevel="0" collapsed="false">
      <c r="A2546" s="4" t="n">
        <v>116</v>
      </c>
      <c r="B2546" s="4" t="s">
        <v>3012</v>
      </c>
      <c r="C2546" s="4" t="s">
        <v>419</v>
      </c>
      <c r="D2546" s="4" t="s">
        <v>3534</v>
      </c>
      <c r="E2546" s="4"/>
      <c r="F2546" s="4" t="s">
        <v>3026</v>
      </c>
    </row>
    <row r="2547" customFormat="false" ht="28.35" hidden="false" customHeight="false" outlineLevel="0" collapsed="false">
      <c r="A2547" s="4" t="n">
        <v>116</v>
      </c>
      <c r="B2547" s="4" t="s">
        <v>3012</v>
      </c>
      <c r="C2547" s="4" t="s">
        <v>427</v>
      </c>
      <c r="D2547" s="4" t="s">
        <v>3464</v>
      </c>
      <c r="E2547" s="4"/>
      <c r="F2547" s="4" t="s">
        <v>24</v>
      </c>
    </row>
    <row r="2548" customFormat="false" ht="28.35" hidden="false" customHeight="false" outlineLevel="0" collapsed="false">
      <c r="A2548" s="4" t="n">
        <v>116</v>
      </c>
      <c r="B2548" s="4" t="s">
        <v>3012</v>
      </c>
      <c r="C2548" s="4" t="s">
        <v>428</v>
      </c>
      <c r="D2548" s="4" t="s">
        <v>3465</v>
      </c>
      <c r="E2548" s="4"/>
      <c r="F2548" s="4" t="s">
        <v>30</v>
      </c>
    </row>
    <row r="2549" customFormat="false" ht="28.35" hidden="false" customHeight="false" outlineLevel="0" collapsed="false">
      <c r="A2549" s="4" t="n">
        <v>116</v>
      </c>
      <c r="B2549" s="4" t="s">
        <v>3012</v>
      </c>
      <c r="C2549" s="4" t="s">
        <v>429</v>
      </c>
      <c r="D2549" s="4" t="s">
        <v>3466</v>
      </c>
      <c r="E2549" s="4"/>
      <c r="F2549" s="4" t="s">
        <v>34</v>
      </c>
    </row>
    <row r="2550" customFormat="false" ht="41.75" hidden="false" customHeight="false" outlineLevel="0" collapsed="false">
      <c r="A2550" s="4" t="n">
        <v>116</v>
      </c>
      <c r="B2550" s="4" t="s">
        <v>3012</v>
      </c>
      <c r="C2550" s="4" t="s">
        <v>430</v>
      </c>
      <c r="D2550" s="4" t="s">
        <v>3467</v>
      </c>
      <c r="E2550" s="4"/>
      <c r="F2550" s="4" t="s">
        <v>3027</v>
      </c>
    </row>
    <row r="2551" customFormat="false" ht="28.35" hidden="false" customHeight="false" outlineLevel="0" collapsed="false">
      <c r="A2551" s="4" t="n">
        <v>116</v>
      </c>
      <c r="B2551" s="4" t="s">
        <v>3012</v>
      </c>
      <c r="C2551" s="4" t="s">
        <v>431</v>
      </c>
      <c r="D2551" s="4" t="s">
        <v>3468</v>
      </c>
      <c r="E2551" s="4"/>
      <c r="F2551" s="4" t="s">
        <v>484</v>
      </c>
    </row>
    <row r="2552" customFormat="false" ht="28.35" hidden="false" customHeight="false" outlineLevel="0" collapsed="false">
      <c r="A2552" s="4" t="n">
        <v>116</v>
      </c>
      <c r="B2552" s="4" t="s">
        <v>3012</v>
      </c>
      <c r="C2552" s="4" t="s">
        <v>432</v>
      </c>
      <c r="D2552" s="4" t="s">
        <v>3469</v>
      </c>
      <c r="E2552" s="4"/>
      <c r="F2552" s="4" t="s">
        <v>664</v>
      </c>
    </row>
    <row r="2553" customFormat="false" ht="28.35" hidden="false" customHeight="false" outlineLevel="0" collapsed="false">
      <c r="A2553" s="4" t="n">
        <v>116</v>
      </c>
      <c r="B2553" s="4" t="s">
        <v>3012</v>
      </c>
      <c r="C2553" s="4" t="s">
        <v>433</v>
      </c>
      <c r="D2553" s="4" t="s">
        <v>3470</v>
      </c>
      <c r="E2553" s="4"/>
      <c r="F2553" s="4" t="s">
        <v>3028</v>
      </c>
    </row>
    <row r="2554" customFormat="false" ht="28.35" hidden="false" customHeight="false" outlineLevel="0" collapsed="false">
      <c r="A2554" s="4" t="n">
        <v>116</v>
      </c>
      <c r="B2554" s="4" t="s">
        <v>3012</v>
      </c>
      <c r="C2554" s="4" t="s">
        <v>434</v>
      </c>
      <c r="D2554" s="4" t="s">
        <v>3482</v>
      </c>
      <c r="E2554" s="4"/>
      <c r="F2554" s="4" t="s">
        <v>2293</v>
      </c>
    </row>
    <row r="2555" customFormat="false" ht="28.35" hidden="false" customHeight="false" outlineLevel="0" collapsed="false">
      <c r="A2555" s="4" t="n">
        <v>116</v>
      </c>
      <c r="B2555" s="4" t="s">
        <v>3012</v>
      </c>
      <c r="C2555" s="4" t="s">
        <v>435</v>
      </c>
      <c r="D2555" s="4" t="s">
        <v>3510</v>
      </c>
      <c r="E2555" s="4"/>
      <c r="F2555" s="4" t="s">
        <v>2165</v>
      </c>
    </row>
    <row r="2556" customFormat="false" ht="28.35" hidden="false" customHeight="false" outlineLevel="0" collapsed="false">
      <c r="A2556" s="4" t="n">
        <v>116</v>
      </c>
      <c r="B2556" s="4" t="s">
        <v>3012</v>
      </c>
      <c r="C2556" s="4" t="s">
        <v>436</v>
      </c>
      <c r="D2556" s="4" t="s">
        <v>3471</v>
      </c>
      <c r="E2556" s="4"/>
      <c r="F2556" s="4" t="s">
        <v>172</v>
      </c>
    </row>
    <row r="2557" customFormat="false" ht="28.35" hidden="false" customHeight="false" outlineLevel="0" collapsed="false">
      <c r="A2557" s="4" t="n">
        <v>116</v>
      </c>
      <c r="B2557" s="4" t="s">
        <v>3012</v>
      </c>
      <c r="C2557" s="4" t="s">
        <v>437</v>
      </c>
      <c r="D2557" s="4" t="s">
        <v>3472</v>
      </c>
      <c r="E2557" s="4"/>
      <c r="F2557" s="4" t="n">
        <v>13</v>
      </c>
    </row>
    <row r="2558" customFormat="false" ht="82.05" hidden="false" customHeight="false" outlineLevel="0" collapsed="false">
      <c r="A2558" s="4" t="n">
        <v>117</v>
      </c>
      <c r="B2558" s="4" t="s">
        <v>3029</v>
      </c>
      <c r="C2558" s="4" t="s">
        <v>372</v>
      </c>
      <c r="D2558" s="4" t="s">
        <v>3504</v>
      </c>
      <c r="E2558" s="4" t="s">
        <v>3708</v>
      </c>
      <c r="F2558" s="4" t="s">
        <v>3035</v>
      </c>
    </row>
    <row r="2559" customFormat="false" ht="68.65" hidden="false" customHeight="false" outlineLevel="0" collapsed="false">
      <c r="A2559" s="4" t="n">
        <v>117</v>
      </c>
      <c r="B2559" s="4" t="s">
        <v>3029</v>
      </c>
      <c r="C2559" s="4" t="s">
        <v>374</v>
      </c>
      <c r="D2559" s="4" t="s">
        <v>3616</v>
      </c>
      <c r="E2559" s="4" t="s">
        <v>2934</v>
      </c>
      <c r="F2559" s="4" t="s">
        <v>3036</v>
      </c>
    </row>
    <row r="2560" customFormat="false" ht="108.95" hidden="false" customHeight="false" outlineLevel="0" collapsed="false">
      <c r="A2560" s="4" t="n">
        <v>117</v>
      </c>
      <c r="B2560" s="4" t="s">
        <v>3029</v>
      </c>
      <c r="C2560" s="4" t="s">
        <v>380</v>
      </c>
      <c r="D2560" s="4" t="s">
        <v>3474</v>
      </c>
      <c r="E2560" s="4" t="s">
        <v>3042</v>
      </c>
      <c r="F2560" s="4" t="s">
        <v>3038</v>
      </c>
    </row>
    <row r="2561" customFormat="false" ht="149.25" hidden="false" customHeight="false" outlineLevel="0" collapsed="false">
      <c r="A2561" s="4" t="n">
        <v>117</v>
      </c>
      <c r="B2561" s="4" t="s">
        <v>3029</v>
      </c>
      <c r="C2561" s="4" t="s">
        <v>419</v>
      </c>
      <c r="D2561" s="4" t="s">
        <v>3534</v>
      </c>
      <c r="E2561" s="4"/>
      <c r="F2561" s="4" t="s">
        <v>3043</v>
      </c>
    </row>
    <row r="2562" customFormat="false" ht="28.35" hidden="false" customHeight="false" outlineLevel="0" collapsed="false">
      <c r="A2562" s="4" t="n">
        <v>117</v>
      </c>
      <c r="B2562" s="4" t="s">
        <v>3029</v>
      </c>
      <c r="C2562" s="4" t="s">
        <v>427</v>
      </c>
      <c r="D2562" s="4" t="s">
        <v>3464</v>
      </c>
      <c r="E2562" s="4"/>
      <c r="F2562" s="4" t="s">
        <v>24</v>
      </c>
    </row>
    <row r="2563" customFormat="false" ht="28.35" hidden="false" customHeight="false" outlineLevel="0" collapsed="false">
      <c r="A2563" s="4" t="n">
        <v>117</v>
      </c>
      <c r="B2563" s="4" t="s">
        <v>3029</v>
      </c>
      <c r="C2563" s="4" t="s">
        <v>428</v>
      </c>
      <c r="D2563" s="4" t="s">
        <v>3465</v>
      </c>
      <c r="E2563" s="4"/>
      <c r="F2563" s="4" t="s">
        <v>30</v>
      </c>
    </row>
    <row r="2564" customFormat="false" ht="28.35" hidden="false" customHeight="false" outlineLevel="0" collapsed="false">
      <c r="A2564" s="4" t="n">
        <v>117</v>
      </c>
      <c r="B2564" s="4" t="s">
        <v>3029</v>
      </c>
      <c r="C2564" s="4" t="s">
        <v>429</v>
      </c>
      <c r="D2564" s="4" t="s">
        <v>3466</v>
      </c>
      <c r="E2564" s="4"/>
      <c r="F2564" s="4" t="s">
        <v>36</v>
      </c>
    </row>
    <row r="2565" customFormat="false" ht="41.75" hidden="false" customHeight="false" outlineLevel="0" collapsed="false">
      <c r="A2565" s="4" t="n">
        <v>117</v>
      </c>
      <c r="B2565" s="4" t="s">
        <v>3029</v>
      </c>
      <c r="C2565" s="4" t="s">
        <v>430</v>
      </c>
      <c r="D2565" s="4" t="s">
        <v>3467</v>
      </c>
      <c r="E2565" s="4"/>
      <c r="F2565" s="4" t="s">
        <v>2415</v>
      </c>
    </row>
    <row r="2566" customFormat="false" ht="28.35" hidden="false" customHeight="false" outlineLevel="0" collapsed="false">
      <c r="A2566" s="4" t="n">
        <v>117</v>
      </c>
      <c r="B2566" s="4" t="s">
        <v>3029</v>
      </c>
      <c r="C2566" s="4" t="s">
        <v>431</v>
      </c>
      <c r="D2566" s="4" t="s">
        <v>3468</v>
      </c>
      <c r="E2566" s="4"/>
      <c r="F2566" s="4" t="s">
        <v>484</v>
      </c>
    </row>
    <row r="2567" customFormat="false" ht="28.35" hidden="false" customHeight="false" outlineLevel="0" collapsed="false">
      <c r="A2567" s="4" t="n">
        <v>117</v>
      </c>
      <c r="B2567" s="4" t="s">
        <v>3029</v>
      </c>
      <c r="C2567" s="4" t="s">
        <v>432</v>
      </c>
      <c r="D2567" s="4" t="s">
        <v>3469</v>
      </c>
      <c r="E2567" s="4"/>
      <c r="F2567" s="4" t="s">
        <v>664</v>
      </c>
    </row>
    <row r="2568" customFormat="false" ht="28.35" hidden="false" customHeight="false" outlineLevel="0" collapsed="false">
      <c r="A2568" s="4" t="n">
        <v>117</v>
      </c>
      <c r="B2568" s="4" t="s">
        <v>3029</v>
      </c>
      <c r="C2568" s="4" t="s">
        <v>433</v>
      </c>
      <c r="D2568" s="4" t="s">
        <v>3470</v>
      </c>
      <c r="E2568" s="4"/>
      <c r="F2568" s="4" t="s">
        <v>2416</v>
      </c>
    </row>
    <row r="2569" customFormat="false" ht="28.35" hidden="false" customHeight="false" outlineLevel="0" collapsed="false">
      <c r="A2569" s="4" t="n">
        <v>117</v>
      </c>
      <c r="B2569" s="4" t="s">
        <v>3029</v>
      </c>
      <c r="C2569" s="4" t="s">
        <v>434</v>
      </c>
      <c r="D2569" s="4" t="s">
        <v>3482</v>
      </c>
      <c r="E2569" s="4"/>
      <c r="F2569" s="4" t="s">
        <v>2187</v>
      </c>
    </row>
    <row r="2570" customFormat="false" ht="41.75" hidden="false" customHeight="false" outlineLevel="0" collapsed="false">
      <c r="A2570" s="4" t="n">
        <v>117</v>
      </c>
      <c r="B2570" s="4" t="s">
        <v>3029</v>
      </c>
      <c r="C2570" s="4" t="s">
        <v>435</v>
      </c>
      <c r="D2570" s="4" t="s">
        <v>3510</v>
      </c>
      <c r="E2570" s="4"/>
      <c r="F2570" s="4" t="s">
        <v>2417</v>
      </c>
    </row>
    <row r="2571" customFormat="false" ht="28.35" hidden="false" customHeight="false" outlineLevel="0" collapsed="false">
      <c r="A2571" s="4" t="n">
        <v>117</v>
      </c>
      <c r="B2571" s="4" t="s">
        <v>3029</v>
      </c>
      <c r="C2571" s="4" t="s">
        <v>436</v>
      </c>
      <c r="D2571" s="4" t="s">
        <v>3471</v>
      </c>
      <c r="E2571" s="4"/>
      <c r="F2571" s="4" t="s">
        <v>214</v>
      </c>
    </row>
    <row r="2572" customFormat="false" ht="28.35" hidden="false" customHeight="false" outlineLevel="0" collapsed="false">
      <c r="A2572" s="4" t="n">
        <v>117</v>
      </c>
      <c r="B2572" s="4" t="s">
        <v>3029</v>
      </c>
      <c r="C2572" s="4" t="s">
        <v>437</v>
      </c>
      <c r="D2572" s="4" t="s">
        <v>3472</v>
      </c>
      <c r="E2572" s="4"/>
      <c r="F2572" s="4" t="n">
        <v>10</v>
      </c>
    </row>
    <row r="2573" customFormat="false" ht="82.05" hidden="false" customHeight="false" outlineLevel="0" collapsed="false">
      <c r="A2573" s="4" t="n">
        <v>118</v>
      </c>
      <c r="B2573" s="4" t="s">
        <v>3044</v>
      </c>
      <c r="C2573" s="4" t="s">
        <v>372</v>
      </c>
      <c r="D2573" s="4" t="s">
        <v>3504</v>
      </c>
      <c r="E2573" s="4" t="s">
        <v>3708</v>
      </c>
      <c r="F2573" s="4" t="s">
        <v>3744</v>
      </c>
    </row>
    <row r="2574" customFormat="false" ht="176.1" hidden="false" customHeight="false" outlineLevel="0" collapsed="false">
      <c r="A2574" s="4" t="n">
        <v>118</v>
      </c>
      <c r="B2574" s="4" t="s">
        <v>3044</v>
      </c>
      <c r="C2574" s="4" t="s">
        <v>372</v>
      </c>
      <c r="D2574" s="4" t="s">
        <v>3504</v>
      </c>
      <c r="E2574" s="4" t="s">
        <v>3744</v>
      </c>
      <c r="F2574" s="4" t="s">
        <v>3049</v>
      </c>
    </row>
    <row r="2575" customFormat="false" ht="68.65" hidden="false" customHeight="false" outlineLevel="0" collapsed="false">
      <c r="A2575" s="4" t="n">
        <v>118</v>
      </c>
      <c r="B2575" s="4" t="s">
        <v>3044</v>
      </c>
      <c r="C2575" s="4" t="s">
        <v>374</v>
      </c>
      <c r="D2575" s="4" t="s">
        <v>3616</v>
      </c>
      <c r="E2575" s="4" t="s">
        <v>2934</v>
      </c>
      <c r="F2575" s="4" t="s">
        <v>3050</v>
      </c>
    </row>
    <row r="2576" customFormat="false" ht="122.35" hidden="false" customHeight="false" outlineLevel="0" collapsed="false">
      <c r="A2576" s="4" t="n">
        <v>118</v>
      </c>
      <c r="B2576" s="4" t="s">
        <v>3044</v>
      </c>
      <c r="C2576" s="4" t="s">
        <v>380</v>
      </c>
      <c r="D2576" s="4" t="s">
        <v>3474</v>
      </c>
      <c r="E2576" s="4" t="s">
        <v>3055</v>
      </c>
      <c r="F2576" s="4" t="s">
        <v>3051</v>
      </c>
    </row>
    <row r="2577" customFormat="false" ht="122.35" hidden="false" customHeight="false" outlineLevel="0" collapsed="false">
      <c r="A2577" s="4" t="n">
        <v>118</v>
      </c>
      <c r="B2577" s="4" t="s">
        <v>3044</v>
      </c>
      <c r="C2577" s="4" t="s">
        <v>419</v>
      </c>
      <c r="D2577" s="4" t="s">
        <v>3534</v>
      </c>
      <c r="E2577" s="4"/>
      <c r="F2577" s="4" t="s">
        <v>3056</v>
      </c>
    </row>
    <row r="2578" customFormat="false" ht="28.35" hidden="false" customHeight="false" outlineLevel="0" collapsed="false">
      <c r="A2578" s="4" t="n">
        <v>118</v>
      </c>
      <c r="B2578" s="4" t="s">
        <v>3044</v>
      </c>
      <c r="C2578" s="4" t="s">
        <v>427</v>
      </c>
      <c r="D2578" s="4" t="s">
        <v>3464</v>
      </c>
      <c r="E2578" s="4"/>
      <c r="F2578" s="4" t="s">
        <v>24</v>
      </c>
    </row>
    <row r="2579" customFormat="false" ht="28.35" hidden="false" customHeight="false" outlineLevel="0" collapsed="false">
      <c r="A2579" s="4" t="n">
        <v>118</v>
      </c>
      <c r="B2579" s="4" t="s">
        <v>3044</v>
      </c>
      <c r="C2579" s="4" t="s">
        <v>428</v>
      </c>
      <c r="D2579" s="4" t="s">
        <v>3465</v>
      </c>
      <c r="E2579" s="4"/>
      <c r="F2579" s="4" t="s">
        <v>30</v>
      </c>
    </row>
    <row r="2580" customFormat="false" ht="28.35" hidden="false" customHeight="false" outlineLevel="0" collapsed="false">
      <c r="A2580" s="4" t="n">
        <v>118</v>
      </c>
      <c r="B2580" s="4" t="s">
        <v>3044</v>
      </c>
      <c r="C2580" s="4" t="s">
        <v>429</v>
      </c>
      <c r="D2580" s="4" t="s">
        <v>3466</v>
      </c>
      <c r="E2580" s="4"/>
      <c r="F2580" s="4" t="s">
        <v>34</v>
      </c>
    </row>
    <row r="2581" customFormat="false" ht="41.75" hidden="false" customHeight="false" outlineLevel="0" collapsed="false">
      <c r="A2581" s="4" t="n">
        <v>118</v>
      </c>
      <c r="B2581" s="4" t="s">
        <v>3044</v>
      </c>
      <c r="C2581" s="4" t="s">
        <v>430</v>
      </c>
      <c r="D2581" s="4" t="s">
        <v>3467</v>
      </c>
      <c r="E2581" s="4"/>
      <c r="F2581" s="4" t="s">
        <v>2616</v>
      </c>
    </row>
    <row r="2582" customFormat="false" ht="28.35" hidden="false" customHeight="false" outlineLevel="0" collapsed="false">
      <c r="A2582" s="4" t="n">
        <v>118</v>
      </c>
      <c r="B2582" s="4" t="s">
        <v>3044</v>
      </c>
      <c r="C2582" s="4" t="s">
        <v>431</v>
      </c>
      <c r="D2582" s="4" t="s">
        <v>3468</v>
      </c>
      <c r="E2582" s="4"/>
      <c r="F2582" s="4" t="s">
        <v>484</v>
      </c>
    </row>
    <row r="2583" customFormat="false" ht="28.35" hidden="false" customHeight="false" outlineLevel="0" collapsed="false">
      <c r="A2583" s="4" t="n">
        <v>118</v>
      </c>
      <c r="B2583" s="4" t="s">
        <v>3044</v>
      </c>
      <c r="C2583" s="4" t="s">
        <v>432</v>
      </c>
      <c r="D2583" s="4" t="s">
        <v>3469</v>
      </c>
      <c r="E2583" s="4"/>
      <c r="F2583" s="4" t="s">
        <v>664</v>
      </c>
    </row>
    <row r="2584" customFormat="false" ht="28.35" hidden="false" customHeight="false" outlineLevel="0" collapsed="false">
      <c r="A2584" s="4" t="n">
        <v>118</v>
      </c>
      <c r="B2584" s="4" t="s">
        <v>3044</v>
      </c>
      <c r="C2584" s="4" t="s">
        <v>433</v>
      </c>
      <c r="D2584" s="4" t="s">
        <v>3470</v>
      </c>
      <c r="E2584" s="4"/>
      <c r="F2584" s="4" t="s">
        <v>2617</v>
      </c>
    </row>
    <row r="2585" customFormat="false" ht="28.35" hidden="false" customHeight="false" outlineLevel="0" collapsed="false">
      <c r="A2585" s="4" t="n">
        <v>118</v>
      </c>
      <c r="B2585" s="4" t="s">
        <v>3044</v>
      </c>
      <c r="C2585" s="4" t="s">
        <v>434</v>
      </c>
      <c r="D2585" s="4" t="s">
        <v>3482</v>
      </c>
      <c r="E2585" s="4"/>
      <c r="F2585" s="4" t="s">
        <v>2618</v>
      </c>
    </row>
    <row r="2586" customFormat="false" ht="28.35" hidden="false" customHeight="false" outlineLevel="0" collapsed="false">
      <c r="A2586" s="4" t="n">
        <v>118</v>
      </c>
      <c r="B2586" s="4" t="s">
        <v>3044</v>
      </c>
      <c r="C2586" s="4" t="s">
        <v>435</v>
      </c>
      <c r="D2586" s="4" t="s">
        <v>3510</v>
      </c>
      <c r="E2586" s="4"/>
      <c r="F2586" s="4" t="s">
        <v>2619</v>
      </c>
    </row>
    <row r="2587" customFormat="false" ht="28.35" hidden="false" customHeight="false" outlineLevel="0" collapsed="false">
      <c r="A2587" s="4" t="n">
        <v>118</v>
      </c>
      <c r="B2587" s="4" t="s">
        <v>3044</v>
      </c>
      <c r="C2587" s="4" t="s">
        <v>436</v>
      </c>
      <c r="D2587" s="4" t="s">
        <v>3471</v>
      </c>
      <c r="E2587" s="4"/>
      <c r="F2587" s="4" t="s">
        <v>201</v>
      </c>
    </row>
    <row r="2588" customFormat="false" ht="28.35" hidden="false" customHeight="false" outlineLevel="0" collapsed="false">
      <c r="A2588" s="4" t="n">
        <v>118</v>
      </c>
      <c r="B2588" s="4" t="s">
        <v>3044</v>
      </c>
      <c r="C2588" s="4" t="s">
        <v>437</v>
      </c>
      <c r="D2588" s="4" t="s">
        <v>3472</v>
      </c>
      <c r="E2588" s="4"/>
      <c r="F2588" s="4" t="n">
        <v>10</v>
      </c>
    </row>
    <row r="2589" customFormat="false" ht="28.35" hidden="false" customHeight="false" outlineLevel="0" collapsed="false">
      <c r="A2589" s="4" t="n">
        <v>119</v>
      </c>
      <c r="B2589" s="4" t="s">
        <v>3057</v>
      </c>
      <c r="C2589" s="4" t="s">
        <v>369</v>
      </c>
      <c r="D2589" s="4" t="s">
        <v>3503</v>
      </c>
      <c r="E2589" s="4" t="s">
        <v>780</v>
      </c>
      <c r="F2589" s="4" t="s">
        <v>460</v>
      </c>
    </row>
    <row r="2590" customFormat="false" ht="108.95" hidden="false" customHeight="false" outlineLevel="0" collapsed="false">
      <c r="A2590" s="4" t="n">
        <v>119</v>
      </c>
      <c r="B2590" s="4" t="s">
        <v>3057</v>
      </c>
      <c r="C2590" s="4" t="s">
        <v>372</v>
      </c>
      <c r="D2590" s="4" t="s">
        <v>3504</v>
      </c>
      <c r="E2590" s="4" t="s">
        <v>3745</v>
      </c>
      <c r="F2590" s="4" t="s">
        <v>3062</v>
      </c>
    </row>
    <row r="2591" customFormat="false" ht="95.5" hidden="false" customHeight="false" outlineLevel="0" collapsed="false">
      <c r="A2591" s="4" t="n">
        <v>119</v>
      </c>
      <c r="B2591" s="4" t="s">
        <v>3057</v>
      </c>
      <c r="C2591" s="4" t="s">
        <v>380</v>
      </c>
      <c r="D2591" s="4" t="s">
        <v>3474</v>
      </c>
      <c r="E2591" s="4" t="s">
        <v>3746</v>
      </c>
      <c r="F2591" s="4" t="s">
        <v>3065</v>
      </c>
    </row>
    <row r="2592" customFormat="false" ht="55.2" hidden="false" customHeight="false" outlineLevel="0" collapsed="false">
      <c r="A2592" s="4" t="n">
        <v>119</v>
      </c>
      <c r="B2592" s="4" t="s">
        <v>3057</v>
      </c>
      <c r="C2592" s="4" t="s">
        <v>403</v>
      </c>
      <c r="D2592" s="4" t="s">
        <v>3481</v>
      </c>
      <c r="E2592" s="4" t="s">
        <v>3004</v>
      </c>
      <c r="F2592" s="4" t="s">
        <v>3066</v>
      </c>
    </row>
    <row r="2593" customFormat="false" ht="28.35" hidden="false" customHeight="false" outlineLevel="0" collapsed="false">
      <c r="A2593" s="4" t="n">
        <v>119</v>
      </c>
      <c r="B2593" s="4" t="s">
        <v>3057</v>
      </c>
      <c r="C2593" s="4" t="s">
        <v>427</v>
      </c>
      <c r="D2593" s="4" t="s">
        <v>3464</v>
      </c>
      <c r="E2593" s="4"/>
      <c r="F2593" s="4" t="s">
        <v>26</v>
      </c>
    </row>
    <row r="2594" customFormat="false" ht="28.35" hidden="false" customHeight="false" outlineLevel="0" collapsed="false">
      <c r="A2594" s="4" t="n">
        <v>119</v>
      </c>
      <c r="B2594" s="4" t="s">
        <v>3057</v>
      </c>
      <c r="C2594" s="4" t="s">
        <v>428</v>
      </c>
      <c r="D2594" s="4" t="s">
        <v>3465</v>
      </c>
      <c r="E2594" s="4"/>
      <c r="F2594" s="4" t="s">
        <v>26</v>
      </c>
    </row>
    <row r="2595" customFormat="false" ht="28.35" hidden="false" customHeight="false" outlineLevel="0" collapsed="false">
      <c r="A2595" s="4" t="n">
        <v>119</v>
      </c>
      <c r="B2595" s="4" t="s">
        <v>3057</v>
      </c>
      <c r="C2595" s="4" t="s">
        <v>429</v>
      </c>
      <c r="D2595" s="4" t="s">
        <v>3466</v>
      </c>
      <c r="E2595" s="4"/>
      <c r="F2595" s="4" t="s">
        <v>39</v>
      </c>
    </row>
    <row r="2596" customFormat="false" ht="28.35" hidden="false" customHeight="false" outlineLevel="0" collapsed="false">
      <c r="A2596" s="4" t="n">
        <v>119</v>
      </c>
      <c r="B2596" s="4" t="s">
        <v>3057</v>
      </c>
      <c r="C2596" s="4" t="s">
        <v>430</v>
      </c>
      <c r="D2596" s="4" t="s">
        <v>3467</v>
      </c>
      <c r="E2596" s="4"/>
      <c r="F2596" s="4" t="s">
        <v>3071</v>
      </c>
    </row>
    <row r="2597" customFormat="false" ht="28.35" hidden="false" customHeight="false" outlineLevel="0" collapsed="false">
      <c r="A2597" s="4" t="n">
        <v>119</v>
      </c>
      <c r="B2597" s="4" t="s">
        <v>3057</v>
      </c>
      <c r="C2597" s="4" t="s">
        <v>431</v>
      </c>
      <c r="D2597" s="4" t="s">
        <v>3468</v>
      </c>
      <c r="E2597" s="4"/>
      <c r="F2597" s="4" t="s">
        <v>484</v>
      </c>
    </row>
    <row r="2598" customFormat="false" ht="28.35" hidden="false" customHeight="false" outlineLevel="0" collapsed="false">
      <c r="A2598" s="4" t="n">
        <v>119</v>
      </c>
      <c r="B2598" s="4" t="s">
        <v>3057</v>
      </c>
      <c r="C2598" s="4" t="s">
        <v>432</v>
      </c>
      <c r="D2598" s="4" t="s">
        <v>3469</v>
      </c>
      <c r="E2598" s="4"/>
      <c r="F2598" s="4" t="s">
        <v>485</v>
      </c>
    </row>
    <row r="2599" customFormat="false" ht="28.35" hidden="false" customHeight="false" outlineLevel="0" collapsed="false">
      <c r="A2599" s="4" t="n">
        <v>119</v>
      </c>
      <c r="B2599" s="4" t="s">
        <v>3057</v>
      </c>
      <c r="C2599" s="4" t="s">
        <v>433</v>
      </c>
      <c r="D2599" s="4" t="s">
        <v>3470</v>
      </c>
      <c r="E2599" s="4"/>
      <c r="F2599" s="4" t="s">
        <v>3072</v>
      </c>
    </row>
    <row r="2600" customFormat="false" ht="28.35" hidden="false" customHeight="false" outlineLevel="0" collapsed="false">
      <c r="A2600" s="4" t="n">
        <v>119</v>
      </c>
      <c r="B2600" s="4" t="s">
        <v>3057</v>
      </c>
      <c r="C2600" s="4" t="s">
        <v>436</v>
      </c>
      <c r="D2600" s="4" t="s">
        <v>3471</v>
      </c>
      <c r="E2600" s="4"/>
      <c r="F2600" s="4" t="s">
        <v>227</v>
      </c>
    </row>
    <row r="2601" customFormat="false" ht="28.35" hidden="false" customHeight="false" outlineLevel="0" collapsed="false">
      <c r="A2601" s="4" t="n">
        <v>119</v>
      </c>
      <c r="B2601" s="4" t="s">
        <v>3057</v>
      </c>
      <c r="C2601" s="4" t="s">
        <v>437</v>
      </c>
      <c r="D2601" s="4" t="s">
        <v>3472</v>
      </c>
      <c r="E2601" s="4"/>
      <c r="F2601" s="4" t="n">
        <v>11</v>
      </c>
    </row>
    <row r="2602" customFormat="false" ht="122.35" hidden="false" customHeight="false" outlineLevel="0" collapsed="false">
      <c r="A2602" s="4" t="n">
        <v>120</v>
      </c>
      <c r="B2602" s="4" t="s">
        <v>3073</v>
      </c>
      <c r="C2602" s="4" t="s">
        <v>372</v>
      </c>
      <c r="D2602" s="4" t="s">
        <v>3504</v>
      </c>
      <c r="E2602" s="4" t="s">
        <v>3708</v>
      </c>
      <c r="F2602" s="4" t="s">
        <v>3079</v>
      </c>
    </row>
    <row r="2603" customFormat="false" ht="68.65" hidden="false" customHeight="false" outlineLevel="0" collapsed="false">
      <c r="A2603" s="4" t="n">
        <v>120</v>
      </c>
      <c r="B2603" s="4" t="s">
        <v>3073</v>
      </c>
      <c r="C2603" s="4" t="s">
        <v>374</v>
      </c>
      <c r="D2603" s="4" t="s">
        <v>3616</v>
      </c>
      <c r="E2603" s="4" t="s">
        <v>2934</v>
      </c>
      <c r="F2603" s="4" t="s">
        <v>3080</v>
      </c>
    </row>
    <row r="2604" customFormat="false" ht="55.2" hidden="false" customHeight="false" outlineLevel="0" collapsed="false">
      <c r="A2604" s="4" t="n">
        <v>120</v>
      </c>
      <c r="B2604" s="4" t="s">
        <v>3073</v>
      </c>
      <c r="C2604" s="4" t="s">
        <v>375</v>
      </c>
      <c r="D2604" s="4" t="s">
        <v>3473</v>
      </c>
      <c r="E2604" s="4" t="s">
        <v>2568</v>
      </c>
      <c r="F2604" s="4" t="s">
        <v>3081</v>
      </c>
    </row>
    <row r="2605" customFormat="false" ht="55.2" hidden="false" customHeight="false" outlineLevel="0" collapsed="false">
      <c r="A2605" s="4" t="n">
        <v>120</v>
      </c>
      <c r="B2605" s="4" t="s">
        <v>3073</v>
      </c>
      <c r="C2605" s="4" t="s">
        <v>380</v>
      </c>
      <c r="D2605" s="4" t="s">
        <v>3474</v>
      </c>
      <c r="E2605" s="4" t="s">
        <v>3747</v>
      </c>
      <c r="F2605" s="4" t="s">
        <v>3082</v>
      </c>
    </row>
    <row r="2606" customFormat="false" ht="28.35" hidden="false" customHeight="false" outlineLevel="0" collapsed="false">
      <c r="A2606" s="4" t="n">
        <v>120</v>
      </c>
      <c r="B2606" s="4" t="s">
        <v>3073</v>
      </c>
      <c r="C2606" s="4" t="s">
        <v>403</v>
      </c>
      <c r="D2606" s="4" t="s">
        <v>3481</v>
      </c>
      <c r="E2606" s="4" t="s">
        <v>3004</v>
      </c>
      <c r="F2606" s="4" t="s">
        <v>3083</v>
      </c>
    </row>
    <row r="2607" customFormat="false" ht="15" hidden="false" customHeight="false" outlineLevel="0" collapsed="false">
      <c r="A2607" s="4" t="n">
        <v>120</v>
      </c>
      <c r="B2607" s="4" t="s">
        <v>3073</v>
      </c>
      <c r="C2607" s="4" t="s">
        <v>427</v>
      </c>
      <c r="D2607" s="4" t="s">
        <v>3464</v>
      </c>
      <c r="E2607" s="4"/>
      <c r="F2607" s="4" t="s">
        <v>24</v>
      </c>
    </row>
    <row r="2608" customFormat="false" ht="15" hidden="false" customHeight="false" outlineLevel="0" collapsed="false">
      <c r="A2608" s="4" t="n">
        <v>120</v>
      </c>
      <c r="B2608" s="4" t="s">
        <v>3073</v>
      </c>
      <c r="C2608" s="4" t="s">
        <v>428</v>
      </c>
      <c r="D2608" s="4" t="s">
        <v>3465</v>
      </c>
      <c r="E2608" s="4"/>
      <c r="F2608" s="4" t="s">
        <v>30</v>
      </c>
    </row>
    <row r="2609" customFormat="false" ht="15" hidden="false" customHeight="false" outlineLevel="0" collapsed="false">
      <c r="A2609" s="4" t="n">
        <v>120</v>
      </c>
      <c r="B2609" s="4" t="s">
        <v>3073</v>
      </c>
      <c r="C2609" s="4" t="s">
        <v>429</v>
      </c>
      <c r="D2609" s="4" t="s">
        <v>3466</v>
      </c>
      <c r="E2609" s="4"/>
      <c r="F2609" s="4" t="s">
        <v>34</v>
      </c>
    </row>
    <row r="2610" customFormat="false" ht="41.75" hidden="false" customHeight="false" outlineLevel="0" collapsed="false">
      <c r="A2610" s="4" t="n">
        <v>120</v>
      </c>
      <c r="B2610" s="4" t="s">
        <v>3073</v>
      </c>
      <c r="C2610" s="4" t="s">
        <v>430</v>
      </c>
      <c r="D2610" s="4" t="s">
        <v>3467</v>
      </c>
      <c r="E2610" s="4"/>
      <c r="F2610" s="4" t="s">
        <v>2616</v>
      </c>
    </row>
    <row r="2611" customFormat="false" ht="15" hidden="false" customHeight="false" outlineLevel="0" collapsed="false">
      <c r="A2611" s="4" t="n">
        <v>120</v>
      </c>
      <c r="B2611" s="4" t="s">
        <v>3073</v>
      </c>
      <c r="C2611" s="4" t="s">
        <v>431</v>
      </c>
      <c r="D2611" s="4" t="s">
        <v>3468</v>
      </c>
      <c r="E2611" s="4"/>
      <c r="F2611" s="4" t="s">
        <v>484</v>
      </c>
    </row>
    <row r="2612" customFormat="false" ht="15" hidden="false" customHeight="false" outlineLevel="0" collapsed="false">
      <c r="A2612" s="4" t="n">
        <v>120</v>
      </c>
      <c r="B2612" s="4" t="s">
        <v>3073</v>
      </c>
      <c r="C2612" s="4" t="s">
        <v>432</v>
      </c>
      <c r="D2612" s="4" t="s">
        <v>3469</v>
      </c>
      <c r="E2612" s="4"/>
      <c r="F2612" s="4" t="s">
        <v>713</v>
      </c>
    </row>
    <row r="2613" customFormat="false" ht="28.35" hidden="false" customHeight="false" outlineLevel="0" collapsed="false">
      <c r="A2613" s="4" t="n">
        <v>120</v>
      </c>
      <c r="B2613" s="4" t="s">
        <v>3073</v>
      </c>
      <c r="C2613" s="4" t="s">
        <v>433</v>
      </c>
      <c r="D2613" s="4" t="s">
        <v>3470</v>
      </c>
      <c r="E2613" s="4"/>
      <c r="F2613" s="4" t="s">
        <v>2617</v>
      </c>
    </row>
    <row r="2614" customFormat="false" ht="28.35" hidden="false" customHeight="false" outlineLevel="0" collapsed="false">
      <c r="A2614" s="4" t="n">
        <v>120</v>
      </c>
      <c r="B2614" s="4" t="s">
        <v>3073</v>
      </c>
      <c r="C2614" s="4" t="s">
        <v>434</v>
      </c>
      <c r="D2614" s="4" t="s">
        <v>3482</v>
      </c>
      <c r="E2614" s="4"/>
      <c r="F2614" s="4" t="s">
        <v>2618</v>
      </c>
    </row>
    <row r="2615" customFormat="false" ht="28.35" hidden="false" customHeight="false" outlineLevel="0" collapsed="false">
      <c r="A2615" s="4" t="n">
        <v>120</v>
      </c>
      <c r="B2615" s="4" t="s">
        <v>3073</v>
      </c>
      <c r="C2615" s="4" t="s">
        <v>435</v>
      </c>
      <c r="D2615" s="4" t="s">
        <v>3510</v>
      </c>
      <c r="E2615" s="4"/>
      <c r="F2615" s="4" t="s">
        <v>2619</v>
      </c>
    </row>
    <row r="2616" customFormat="false" ht="15" hidden="false" customHeight="false" outlineLevel="0" collapsed="false">
      <c r="A2616" s="4" t="n">
        <v>120</v>
      </c>
      <c r="B2616" s="4" t="s">
        <v>3073</v>
      </c>
      <c r="C2616" s="4" t="s">
        <v>436</v>
      </c>
      <c r="D2616" s="4" t="s">
        <v>3471</v>
      </c>
      <c r="E2616" s="4"/>
      <c r="F2616" s="4" t="s">
        <v>201</v>
      </c>
    </row>
    <row r="2617" customFormat="false" ht="28.35" hidden="false" customHeight="false" outlineLevel="0" collapsed="false">
      <c r="A2617" s="4" t="n">
        <v>120</v>
      </c>
      <c r="B2617" s="4" t="s">
        <v>3073</v>
      </c>
      <c r="C2617" s="4" t="s">
        <v>437</v>
      </c>
      <c r="D2617" s="4" t="s">
        <v>3472</v>
      </c>
      <c r="E2617" s="4"/>
      <c r="F2617" s="4" t="n">
        <v>10</v>
      </c>
    </row>
    <row r="2618" customFormat="false" ht="28.35" hidden="false" customHeight="false" outlineLevel="0" collapsed="false">
      <c r="A2618" s="4" t="n">
        <v>121</v>
      </c>
      <c r="B2618" s="4" t="s">
        <v>3088</v>
      </c>
      <c r="C2618" s="4" t="s">
        <v>365</v>
      </c>
      <c r="D2618" s="4" t="s">
        <v>3547</v>
      </c>
      <c r="E2618" s="4"/>
      <c r="F2618" s="4" t="n">
        <v>40.736947</v>
      </c>
    </row>
    <row r="2619" customFormat="false" ht="28.35" hidden="false" customHeight="false" outlineLevel="0" collapsed="false">
      <c r="A2619" s="4" t="n">
        <v>121</v>
      </c>
      <c r="B2619" s="4" t="s">
        <v>3088</v>
      </c>
      <c r="C2619" s="4" t="s">
        <v>366</v>
      </c>
      <c r="D2619" s="4" t="s">
        <v>3548</v>
      </c>
      <c r="E2619" s="4"/>
      <c r="F2619" s="4" t="n">
        <v>2026</v>
      </c>
    </row>
    <row r="2620" customFormat="false" ht="28.35" hidden="false" customHeight="false" outlineLevel="0" collapsed="false">
      <c r="A2620" s="4" t="n">
        <v>121</v>
      </c>
      <c r="B2620" s="4" t="s">
        <v>3088</v>
      </c>
      <c r="C2620" s="4" t="s">
        <v>367</v>
      </c>
      <c r="D2620" s="4" t="s">
        <v>3549</v>
      </c>
      <c r="E2620" s="4"/>
      <c r="F2620" s="4" t="s">
        <v>6</v>
      </c>
    </row>
    <row r="2621" customFormat="false" ht="28.35" hidden="false" customHeight="false" outlineLevel="0" collapsed="false">
      <c r="A2621" s="4" t="n">
        <v>121</v>
      </c>
      <c r="B2621" s="4" t="s">
        <v>3088</v>
      </c>
      <c r="C2621" s="4" t="s">
        <v>368</v>
      </c>
      <c r="D2621" s="4" t="s">
        <v>3550</v>
      </c>
      <c r="E2621" s="4"/>
      <c r="F2621" s="4" t="s">
        <v>2018</v>
      </c>
    </row>
    <row r="2622" customFormat="false" ht="28.35" hidden="false" customHeight="false" outlineLevel="0" collapsed="false">
      <c r="A2622" s="4" t="n">
        <v>121</v>
      </c>
      <c r="B2622" s="4" t="s">
        <v>3088</v>
      </c>
      <c r="C2622" s="4" t="s">
        <v>369</v>
      </c>
      <c r="D2622" s="4" t="s">
        <v>3503</v>
      </c>
      <c r="E2622" s="4" t="s">
        <v>780</v>
      </c>
      <c r="F2622" s="4" t="s">
        <v>494</v>
      </c>
    </row>
    <row r="2623" customFormat="false" ht="28.35" hidden="false" customHeight="false" outlineLevel="0" collapsed="false">
      <c r="A2623" s="4" t="n">
        <v>121</v>
      </c>
      <c r="B2623" s="4" t="s">
        <v>3088</v>
      </c>
      <c r="C2623" s="4" t="s">
        <v>370</v>
      </c>
      <c r="D2623" s="4" t="s">
        <v>3649</v>
      </c>
      <c r="E2623" s="4"/>
      <c r="F2623" s="4" t="n">
        <v>40.736947</v>
      </c>
    </row>
    <row r="2624" customFormat="false" ht="95.5" hidden="false" customHeight="false" outlineLevel="0" collapsed="false">
      <c r="A2624" s="4" t="n">
        <v>121</v>
      </c>
      <c r="B2624" s="4" t="s">
        <v>3088</v>
      </c>
      <c r="C2624" s="4" t="s">
        <v>372</v>
      </c>
      <c r="D2624" s="4" t="s">
        <v>3504</v>
      </c>
      <c r="E2624" s="4" t="s">
        <v>3708</v>
      </c>
      <c r="F2624" s="4" t="s">
        <v>3094</v>
      </c>
    </row>
    <row r="2625" customFormat="false" ht="28.35" hidden="false" customHeight="false" outlineLevel="0" collapsed="false">
      <c r="A2625" s="4" t="n">
        <v>121</v>
      </c>
      <c r="B2625" s="4" t="s">
        <v>3088</v>
      </c>
      <c r="C2625" s="4" t="s">
        <v>373</v>
      </c>
      <c r="D2625" s="4" t="s">
        <v>3664</v>
      </c>
      <c r="E2625" s="4" t="s">
        <v>2595</v>
      </c>
      <c r="F2625" s="4" t="s">
        <v>3095</v>
      </c>
    </row>
    <row r="2626" customFormat="false" ht="68.65" hidden="false" customHeight="false" outlineLevel="0" collapsed="false">
      <c r="A2626" s="4" t="n">
        <v>121</v>
      </c>
      <c r="B2626" s="4" t="s">
        <v>3088</v>
      </c>
      <c r="C2626" s="4" t="s">
        <v>374</v>
      </c>
      <c r="D2626" s="4" t="s">
        <v>3616</v>
      </c>
      <c r="E2626" s="4" t="s">
        <v>2934</v>
      </c>
      <c r="F2626" s="4" t="s">
        <v>3096</v>
      </c>
    </row>
    <row r="2627" customFormat="false" ht="95.5" hidden="false" customHeight="false" outlineLevel="0" collapsed="false">
      <c r="A2627" s="4" t="n">
        <v>121</v>
      </c>
      <c r="B2627" s="4" t="s">
        <v>3088</v>
      </c>
      <c r="C2627" s="4" t="s">
        <v>380</v>
      </c>
      <c r="D2627" s="4" t="s">
        <v>3474</v>
      </c>
      <c r="E2627" s="4" t="s">
        <v>3103</v>
      </c>
      <c r="F2627" s="4" t="s">
        <v>3097</v>
      </c>
    </row>
    <row r="2628" customFormat="false" ht="28.35" hidden="false" customHeight="false" outlineLevel="0" collapsed="false">
      <c r="A2628" s="4" t="n">
        <v>121</v>
      </c>
      <c r="B2628" s="4" t="s">
        <v>3088</v>
      </c>
      <c r="C2628" s="4" t="s">
        <v>392</v>
      </c>
      <c r="D2628" s="4" t="s">
        <v>3530</v>
      </c>
      <c r="E2628" s="4"/>
      <c r="F2628" s="4" t="n">
        <v>15.596939</v>
      </c>
    </row>
    <row r="2629" customFormat="false" ht="28.35" hidden="false" customHeight="false" outlineLevel="0" collapsed="false">
      <c r="A2629" s="4" t="n">
        <v>121</v>
      </c>
      <c r="B2629" s="4" t="s">
        <v>3088</v>
      </c>
      <c r="C2629" s="4" t="s">
        <v>393</v>
      </c>
      <c r="D2629" s="4" t="s">
        <v>3531</v>
      </c>
      <c r="E2629" s="4"/>
      <c r="F2629" s="4" t="n">
        <v>2026</v>
      </c>
    </row>
    <row r="2630" customFormat="false" ht="28.35" hidden="false" customHeight="false" outlineLevel="0" collapsed="false">
      <c r="A2630" s="4" t="n">
        <v>121</v>
      </c>
      <c r="B2630" s="4" t="s">
        <v>3088</v>
      </c>
      <c r="C2630" s="4" t="s">
        <v>394</v>
      </c>
      <c r="D2630" s="4" t="s">
        <v>3532</v>
      </c>
      <c r="E2630" s="4"/>
      <c r="F2630" s="4" t="s">
        <v>3098</v>
      </c>
    </row>
    <row r="2631" customFormat="false" ht="28.35" hidden="false" customHeight="false" outlineLevel="0" collapsed="false">
      <c r="A2631" s="4" t="n">
        <v>121</v>
      </c>
      <c r="B2631" s="4" t="s">
        <v>3088</v>
      </c>
      <c r="C2631" s="4" t="s">
        <v>395</v>
      </c>
      <c r="D2631" s="4" t="s">
        <v>3507</v>
      </c>
      <c r="E2631" s="4" t="s">
        <v>2749</v>
      </c>
      <c r="F2631" s="4" t="s">
        <v>506</v>
      </c>
    </row>
    <row r="2632" customFormat="false" ht="28.35" hidden="false" customHeight="false" outlineLevel="0" collapsed="false">
      <c r="A2632" s="4" t="n">
        <v>121</v>
      </c>
      <c r="B2632" s="4" t="s">
        <v>3088</v>
      </c>
      <c r="C2632" s="4" t="s">
        <v>396</v>
      </c>
      <c r="D2632" s="4" t="s">
        <v>3533</v>
      </c>
      <c r="E2632" s="4"/>
      <c r="F2632" s="4" t="s">
        <v>2409</v>
      </c>
    </row>
    <row r="2633" customFormat="false" ht="28.35" hidden="false" customHeight="false" outlineLevel="0" collapsed="false">
      <c r="A2633" s="4" t="n">
        <v>121</v>
      </c>
      <c r="B2633" s="4" t="s">
        <v>3088</v>
      </c>
      <c r="C2633" s="4" t="s">
        <v>403</v>
      </c>
      <c r="D2633" s="4" t="s">
        <v>3481</v>
      </c>
      <c r="E2633" s="4" t="s">
        <v>3004</v>
      </c>
      <c r="F2633" s="4" t="s">
        <v>2375</v>
      </c>
    </row>
    <row r="2634" customFormat="false" ht="41.75" hidden="false" customHeight="false" outlineLevel="0" collapsed="false">
      <c r="A2634" s="4" t="n">
        <v>121</v>
      </c>
      <c r="B2634" s="4" t="s">
        <v>3088</v>
      </c>
      <c r="C2634" s="4" t="s">
        <v>407</v>
      </c>
      <c r="D2634" s="4" t="s">
        <v>3485</v>
      </c>
      <c r="E2634" s="4"/>
      <c r="F2634" s="4" t="s">
        <v>3099</v>
      </c>
    </row>
    <row r="2635" customFormat="false" ht="28.35" hidden="false" customHeight="false" outlineLevel="0" collapsed="false">
      <c r="A2635" s="4" t="n">
        <v>121</v>
      </c>
      <c r="B2635" s="4" t="s">
        <v>3088</v>
      </c>
      <c r="C2635" s="4" t="s">
        <v>427</v>
      </c>
      <c r="D2635" s="4" t="s">
        <v>3464</v>
      </c>
      <c r="E2635" s="4"/>
      <c r="F2635" s="4" t="s">
        <v>23</v>
      </c>
    </row>
    <row r="2636" customFormat="false" ht="28.35" hidden="false" customHeight="false" outlineLevel="0" collapsed="false">
      <c r="A2636" s="4" t="n">
        <v>121</v>
      </c>
      <c r="B2636" s="4" t="s">
        <v>3088</v>
      </c>
      <c r="C2636" s="4" t="s">
        <v>428</v>
      </c>
      <c r="D2636" s="4" t="s">
        <v>3465</v>
      </c>
      <c r="E2636" s="4"/>
      <c r="F2636" s="4" t="s">
        <v>28</v>
      </c>
    </row>
    <row r="2637" customFormat="false" ht="28.35" hidden="false" customHeight="false" outlineLevel="0" collapsed="false">
      <c r="A2637" s="4" t="n">
        <v>121</v>
      </c>
      <c r="B2637" s="4" t="s">
        <v>3088</v>
      </c>
      <c r="C2637" s="4" t="s">
        <v>429</v>
      </c>
      <c r="D2637" s="4" t="s">
        <v>3466</v>
      </c>
      <c r="E2637" s="4"/>
      <c r="F2637" s="4" t="s">
        <v>35</v>
      </c>
    </row>
    <row r="2638" customFormat="false" ht="28.35" hidden="false" customHeight="false" outlineLevel="0" collapsed="false">
      <c r="A2638" s="4" t="n">
        <v>121</v>
      </c>
      <c r="B2638" s="4" t="s">
        <v>3088</v>
      </c>
      <c r="C2638" s="4" t="s">
        <v>431</v>
      </c>
      <c r="D2638" s="4" t="s">
        <v>3468</v>
      </c>
      <c r="E2638" s="4"/>
      <c r="F2638" s="4" t="s">
        <v>484</v>
      </c>
    </row>
    <row r="2639" customFormat="false" ht="28.35" hidden="false" customHeight="false" outlineLevel="0" collapsed="false">
      <c r="A2639" s="4" t="n">
        <v>121</v>
      </c>
      <c r="B2639" s="4" t="s">
        <v>3088</v>
      </c>
      <c r="C2639" s="4" t="s">
        <v>432</v>
      </c>
      <c r="D2639" s="4" t="s">
        <v>3469</v>
      </c>
      <c r="E2639" s="4"/>
      <c r="F2639" s="4" t="s">
        <v>664</v>
      </c>
    </row>
    <row r="2640" customFormat="false" ht="28.35" hidden="false" customHeight="false" outlineLevel="0" collapsed="false">
      <c r="A2640" s="4" t="n">
        <v>121</v>
      </c>
      <c r="B2640" s="4" t="s">
        <v>3088</v>
      </c>
      <c r="C2640" s="4" t="s">
        <v>433</v>
      </c>
      <c r="D2640" s="4" t="s">
        <v>3470</v>
      </c>
      <c r="E2640" s="4"/>
      <c r="F2640" s="4" t="s">
        <v>3104</v>
      </c>
    </row>
    <row r="2641" customFormat="false" ht="28.35" hidden="false" customHeight="false" outlineLevel="0" collapsed="false">
      <c r="A2641" s="4" t="n">
        <v>121</v>
      </c>
      <c r="B2641" s="4" t="s">
        <v>3088</v>
      </c>
      <c r="C2641" s="4" t="s">
        <v>434</v>
      </c>
      <c r="D2641" s="4" t="s">
        <v>3482</v>
      </c>
      <c r="E2641" s="4"/>
      <c r="F2641" s="4" t="s">
        <v>3105</v>
      </c>
    </row>
    <row r="2642" customFormat="false" ht="28.35" hidden="false" customHeight="false" outlineLevel="0" collapsed="false">
      <c r="A2642" s="4" t="n">
        <v>121</v>
      </c>
      <c r="B2642" s="4" t="s">
        <v>3088</v>
      </c>
      <c r="C2642" s="4" t="s">
        <v>436</v>
      </c>
      <c r="D2642" s="4" t="s">
        <v>3471</v>
      </c>
      <c r="E2642" s="4"/>
      <c r="F2642" s="4" t="s">
        <v>3106</v>
      </c>
    </row>
    <row r="2643" customFormat="false" ht="162.65" hidden="false" customHeight="false" outlineLevel="0" collapsed="false">
      <c r="A2643" s="4" t="n">
        <v>122</v>
      </c>
      <c r="B2643" s="4" t="s">
        <v>3107</v>
      </c>
      <c r="C2643" s="4" t="s">
        <v>372</v>
      </c>
      <c r="D2643" s="4" t="s">
        <v>3504</v>
      </c>
      <c r="E2643" s="4" t="s">
        <v>3748</v>
      </c>
      <c r="F2643" s="4" t="s">
        <v>3113</v>
      </c>
    </row>
    <row r="2644" customFormat="false" ht="176.1" hidden="false" customHeight="false" outlineLevel="0" collapsed="false">
      <c r="A2644" s="4" t="n">
        <v>122</v>
      </c>
      <c r="B2644" s="4" t="s">
        <v>3107</v>
      </c>
      <c r="C2644" s="4" t="s">
        <v>374</v>
      </c>
      <c r="D2644" s="4" t="s">
        <v>3616</v>
      </c>
      <c r="E2644" s="4" t="s">
        <v>3749</v>
      </c>
      <c r="F2644" s="4" t="s">
        <v>3115</v>
      </c>
    </row>
    <row r="2645" customFormat="false" ht="55.2" hidden="false" customHeight="false" outlineLevel="0" collapsed="false">
      <c r="A2645" s="4" t="n">
        <v>122</v>
      </c>
      <c r="B2645" s="4" t="s">
        <v>3107</v>
      </c>
      <c r="C2645" s="4" t="s">
        <v>380</v>
      </c>
      <c r="D2645" s="4" t="s">
        <v>3474</v>
      </c>
      <c r="E2645" s="4" t="s">
        <v>3123</v>
      </c>
      <c r="F2645" s="4" t="s">
        <v>3117</v>
      </c>
    </row>
    <row r="2646" customFormat="false" ht="41.75" hidden="false" customHeight="false" outlineLevel="0" collapsed="false">
      <c r="A2646" s="4" t="n">
        <v>122</v>
      </c>
      <c r="B2646" s="4" t="s">
        <v>3107</v>
      </c>
      <c r="C2646" s="4" t="s">
        <v>403</v>
      </c>
      <c r="D2646" s="4" t="s">
        <v>3481</v>
      </c>
      <c r="E2646" s="4" t="s">
        <v>3004</v>
      </c>
      <c r="F2646" s="4" t="s">
        <v>3118</v>
      </c>
    </row>
    <row r="2647" customFormat="false" ht="82.05" hidden="false" customHeight="false" outlineLevel="0" collapsed="false">
      <c r="A2647" s="4" t="n">
        <v>122</v>
      </c>
      <c r="B2647" s="4" t="s">
        <v>3107</v>
      </c>
      <c r="C2647" s="4" t="s">
        <v>407</v>
      </c>
      <c r="D2647" s="4" t="s">
        <v>3485</v>
      </c>
      <c r="E2647" s="4"/>
      <c r="F2647" s="4" t="s">
        <v>3119</v>
      </c>
    </row>
    <row r="2648" customFormat="false" ht="28.35" hidden="false" customHeight="false" outlineLevel="0" collapsed="false">
      <c r="A2648" s="4" t="n">
        <v>122</v>
      </c>
      <c r="B2648" s="4" t="s">
        <v>3107</v>
      </c>
      <c r="C2648" s="4" t="s">
        <v>427</v>
      </c>
      <c r="D2648" s="4" t="s">
        <v>3464</v>
      </c>
      <c r="E2648" s="4"/>
      <c r="F2648" s="4" t="s">
        <v>24</v>
      </c>
    </row>
    <row r="2649" customFormat="false" ht="28.35" hidden="false" customHeight="false" outlineLevel="0" collapsed="false">
      <c r="A2649" s="4" t="n">
        <v>122</v>
      </c>
      <c r="B2649" s="4" t="s">
        <v>3107</v>
      </c>
      <c r="C2649" s="4" t="s">
        <v>428</v>
      </c>
      <c r="D2649" s="4" t="s">
        <v>3465</v>
      </c>
      <c r="E2649" s="4"/>
      <c r="F2649" s="4" t="s">
        <v>30</v>
      </c>
    </row>
    <row r="2650" customFormat="false" ht="28.35" hidden="false" customHeight="false" outlineLevel="0" collapsed="false">
      <c r="A2650" s="4" t="n">
        <v>122</v>
      </c>
      <c r="B2650" s="4" t="s">
        <v>3107</v>
      </c>
      <c r="C2650" s="4" t="s">
        <v>429</v>
      </c>
      <c r="D2650" s="4" t="s">
        <v>3466</v>
      </c>
      <c r="E2650" s="4"/>
      <c r="F2650" s="4" t="s">
        <v>36</v>
      </c>
    </row>
    <row r="2651" customFormat="false" ht="41.75" hidden="false" customHeight="false" outlineLevel="0" collapsed="false">
      <c r="A2651" s="4" t="n">
        <v>122</v>
      </c>
      <c r="B2651" s="4" t="s">
        <v>3107</v>
      </c>
      <c r="C2651" s="4" t="s">
        <v>430</v>
      </c>
      <c r="D2651" s="4" t="s">
        <v>3467</v>
      </c>
      <c r="E2651" s="4"/>
      <c r="F2651" s="4" t="s">
        <v>3124</v>
      </c>
    </row>
    <row r="2652" customFormat="false" ht="28.35" hidden="false" customHeight="false" outlineLevel="0" collapsed="false">
      <c r="A2652" s="4" t="n">
        <v>122</v>
      </c>
      <c r="B2652" s="4" t="s">
        <v>3107</v>
      </c>
      <c r="C2652" s="4" t="s">
        <v>431</v>
      </c>
      <c r="D2652" s="4" t="s">
        <v>3468</v>
      </c>
      <c r="E2652" s="4"/>
      <c r="F2652" s="4" t="s">
        <v>484</v>
      </c>
    </row>
    <row r="2653" customFormat="false" ht="28.35" hidden="false" customHeight="false" outlineLevel="0" collapsed="false">
      <c r="A2653" s="4" t="n">
        <v>122</v>
      </c>
      <c r="B2653" s="4" t="s">
        <v>3107</v>
      </c>
      <c r="C2653" s="4" t="s">
        <v>432</v>
      </c>
      <c r="D2653" s="4" t="s">
        <v>3469</v>
      </c>
      <c r="E2653" s="4"/>
      <c r="F2653" s="4" t="s">
        <v>664</v>
      </c>
    </row>
    <row r="2654" customFormat="false" ht="28.35" hidden="false" customHeight="false" outlineLevel="0" collapsed="false">
      <c r="A2654" s="4" t="n">
        <v>122</v>
      </c>
      <c r="B2654" s="4" t="s">
        <v>3107</v>
      </c>
      <c r="C2654" s="4" t="s">
        <v>433</v>
      </c>
      <c r="D2654" s="4" t="s">
        <v>3470</v>
      </c>
      <c r="E2654" s="4"/>
      <c r="F2654" s="4" t="s">
        <v>3125</v>
      </c>
    </row>
    <row r="2655" customFormat="false" ht="28.35" hidden="false" customHeight="false" outlineLevel="0" collapsed="false">
      <c r="A2655" s="4" t="n">
        <v>122</v>
      </c>
      <c r="B2655" s="4" t="s">
        <v>3107</v>
      </c>
      <c r="C2655" s="4" t="s">
        <v>434</v>
      </c>
      <c r="D2655" s="4" t="s">
        <v>3482</v>
      </c>
      <c r="E2655" s="4"/>
      <c r="F2655" s="4" t="s">
        <v>2187</v>
      </c>
    </row>
    <row r="2656" customFormat="false" ht="28.35" hidden="false" customHeight="false" outlineLevel="0" collapsed="false">
      <c r="A2656" s="4" t="n">
        <v>122</v>
      </c>
      <c r="B2656" s="4" t="s">
        <v>3107</v>
      </c>
      <c r="C2656" s="4" t="s">
        <v>435</v>
      </c>
      <c r="D2656" s="4" t="s">
        <v>3510</v>
      </c>
      <c r="E2656" s="4"/>
      <c r="F2656" s="4" t="s">
        <v>3126</v>
      </c>
    </row>
    <row r="2657" customFormat="false" ht="28.35" hidden="false" customHeight="false" outlineLevel="0" collapsed="false">
      <c r="A2657" s="4" t="n">
        <v>122</v>
      </c>
      <c r="B2657" s="4" t="s">
        <v>3107</v>
      </c>
      <c r="C2657" s="4" t="s">
        <v>436</v>
      </c>
      <c r="D2657" s="4" t="s">
        <v>3471</v>
      </c>
      <c r="E2657" s="4"/>
      <c r="F2657" s="4" t="s">
        <v>227</v>
      </c>
    </row>
    <row r="2658" customFormat="false" ht="28.35" hidden="false" customHeight="false" outlineLevel="0" collapsed="false">
      <c r="A2658" s="4" t="n">
        <v>122</v>
      </c>
      <c r="B2658" s="4" t="s">
        <v>3107</v>
      </c>
      <c r="C2658" s="4" t="s">
        <v>437</v>
      </c>
      <c r="D2658" s="4" t="s">
        <v>3472</v>
      </c>
      <c r="E2658" s="4"/>
      <c r="F2658" s="4" t="n">
        <v>11</v>
      </c>
    </row>
    <row r="2659" customFormat="false" ht="28.35" hidden="false" customHeight="false" outlineLevel="0" collapsed="false">
      <c r="A2659" s="4" t="n">
        <v>123</v>
      </c>
      <c r="B2659" s="4" t="s">
        <v>3127</v>
      </c>
      <c r="C2659" s="4" t="s">
        <v>369</v>
      </c>
      <c r="D2659" s="4" t="s">
        <v>3503</v>
      </c>
      <c r="E2659" s="4" t="s">
        <v>780</v>
      </c>
      <c r="F2659" s="4" t="s">
        <v>643</v>
      </c>
    </row>
    <row r="2660" customFormat="false" ht="122.35" hidden="false" customHeight="false" outlineLevel="0" collapsed="false">
      <c r="A2660" s="4" t="n">
        <v>123</v>
      </c>
      <c r="B2660" s="4" t="s">
        <v>3127</v>
      </c>
      <c r="C2660" s="4" t="s">
        <v>372</v>
      </c>
      <c r="D2660" s="4" t="s">
        <v>3504</v>
      </c>
      <c r="E2660" s="4" t="s">
        <v>3750</v>
      </c>
      <c r="F2660" s="4" t="s">
        <v>3133</v>
      </c>
    </row>
    <row r="2661" customFormat="false" ht="55.2" hidden="false" customHeight="false" outlineLevel="0" collapsed="false">
      <c r="A2661" s="4" t="n">
        <v>123</v>
      </c>
      <c r="B2661" s="4" t="s">
        <v>3127</v>
      </c>
      <c r="C2661" s="4" t="s">
        <v>380</v>
      </c>
      <c r="D2661" s="4" t="s">
        <v>3474</v>
      </c>
      <c r="E2661" s="4" t="s">
        <v>3146</v>
      </c>
      <c r="F2661" s="4" t="s">
        <v>3138</v>
      </c>
    </row>
    <row r="2662" customFormat="false" ht="28.35" hidden="false" customHeight="false" outlineLevel="0" collapsed="false">
      <c r="A2662" s="4" t="n">
        <v>123</v>
      </c>
      <c r="B2662" s="4" t="s">
        <v>3127</v>
      </c>
      <c r="C2662" s="4" t="s">
        <v>390</v>
      </c>
      <c r="D2662" s="4" t="s">
        <v>3479</v>
      </c>
      <c r="E2662" s="4" t="s">
        <v>2599</v>
      </c>
      <c r="F2662" s="4" t="s">
        <v>3139</v>
      </c>
    </row>
    <row r="2663" customFormat="false" ht="28.35" hidden="false" customHeight="false" outlineLevel="0" collapsed="false">
      <c r="A2663" s="4" t="n">
        <v>123</v>
      </c>
      <c r="B2663" s="4" t="s">
        <v>3127</v>
      </c>
      <c r="C2663" s="4" t="s">
        <v>395</v>
      </c>
      <c r="D2663" s="4" t="s">
        <v>3507</v>
      </c>
      <c r="E2663" s="4" t="s">
        <v>2749</v>
      </c>
      <c r="F2663" s="4" t="s">
        <v>3140</v>
      </c>
    </row>
    <row r="2664" customFormat="false" ht="28.35" hidden="false" customHeight="false" outlineLevel="0" collapsed="false">
      <c r="A2664" s="4" t="n">
        <v>123</v>
      </c>
      <c r="B2664" s="4" t="s">
        <v>3127</v>
      </c>
      <c r="C2664" s="4" t="s">
        <v>402</v>
      </c>
      <c r="D2664" s="4" t="s">
        <v>3508</v>
      </c>
      <c r="E2664" s="4" t="s">
        <v>2574</v>
      </c>
      <c r="F2664" s="4" t="s">
        <v>3141</v>
      </c>
    </row>
    <row r="2665" customFormat="false" ht="41.75" hidden="false" customHeight="false" outlineLevel="0" collapsed="false">
      <c r="A2665" s="4" t="n">
        <v>123</v>
      </c>
      <c r="B2665" s="4" t="s">
        <v>3127</v>
      </c>
      <c r="C2665" s="4" t="s">
        <v>403</v>
      </c>
      <c r="D2665" s="4" t="s">
        <v>3481</v>
      </c>
      <c r="E2665" s="4" t="s">
        <v>3004</v>
      </c>
      <c r="F2665" s="4" t="s">
        <v>3142</v>
      </c>
    </row>
    <row r="2666" customFormat="false" ht="68.65" hidden="false" customHeight="false" outlineLevel="0" collapsed="false">
      <c r="A2666" s="4" t="n">
        <v>123</v>
      </c>
      <c r="B2666" s="4" t="s">
        <v>3127</v>
      </c>
      <c r="C2666" s="4" t="s">
        <v>407</v>
      </c>
      <c r="D2666" s="4" t="s">
        <v>3485</v>
      </c>
      <c r="E2666" s="4" t="s">
        <v>3751</v>
      </c>
      <c r="F2666" s="4" t="s">
        <v>3143</v>
      </c>
    </row>
    <row r="2667" customFormat="false" ht="28.35" hidden="false" customHeight="false" outlineLevel="0" collapsed="false">
      <c r="A2667" s="4" t="n">
        <v>123</v>
      </c>
      <c r="B2667" s="4" t="s">
        <v>3127</v>
      </c>
      <c r="C2667" s="4" t="s">
        <v>427</v>
      </c>
      <c r="D2667" s="4" t="s">
        <v>3464</v>
      </c>
      <c r="E2667" s="4"/>
      <c r="F2667" s="4" t="s">
        <v>24</v>
      </c>
    </row>
    <row r="2668" customFormat="false" ht="28.35" hidden="false" customHeight="false" outlineLevel="0" collapsed="false">
      <c r="A2668" s="4" t="n">
        <v>123</v>
      </c>
      <c r="B2668" s="4" t="s">
        <v>3127</v>
      </c>
      <c r="C2668" s="4" t="s">
        <v>428</v>
      </c>
      <c r="D2668" s="4" t="s">
        <v>3465</v>
      </c>
      <c r="E2668" s="4"/>
      <c r="F2668" s="4" t="s">
        <v>31</v>
      </c>
    </row>
    <row r="2669" customFormat="false" ht="28.35" hidden="false" customHeight="false" outlineLevel="0" collapsed="false">
      <c r="A2669" s="4" t="n">
        <v>123</v>
      </c>
      <c r="B2669" s="4" t="s">
        <v>3127</v>
      </c>
      <c r="C2669" s="4" t="s">
        <v>429</v>
      </c>
      <c r="D2669" s="4" t="s">
        <v>3466</v>
      </c>
      <c r="E2669" s="4"/>
      <c r="F2669" s="4" t="s">
        <v>38</v>
      </c>
    </row>
    <row r="2670" customFormat="false" ht="41.75" hidden="false" customHeight="false" outlineLevel="0" collapsed="false">
      <c r="A2670" s="4" t="n">
        <v>123</v>
      </c>
      <c r="B2670" s="4" t="s">
        <v>3127</v>
      </c>
      <c r="C2670" s="4" t="s">
        <v>430</v>
      </c>
      <c r="D2670" s="4" t="s">
        <v>3467</v>
      </c>
      <c r="E2670" s="4"/>
      <c r="F2670" s="4" t="s">
        <v>3147</v>
      </c>
    </row>
    <row r="2671" customFormat="false" ht="28.35" hidden="false" customHeight="false" outlineLevel="0" collapsed="false">
      <c r="A2671" s="4" t="n">
        <v>123</v>
      </c>
      <c r="B2671" s="4" t="s">
        <v>3127</v>
      </c>
      <c r="C2671" s="4" t="s">
        <v>431</v>
      </c>
      <c r="D2671" s="4" t="s">
        <v>3468</v>
      </c>
      <c r="E2671" s="4"/>
      <c r="F2671" s="4" t="s">
        <v>484</v>
      </c>
    </row>
    <row r="2672" customFormat="false" ht="28.35" hidden="false" customHeight="false" outlineLevel="0" collapsed="false">
      <c r="A2672" s="4" t="n">
        <v>123</v>
      </c>
      <c r="B2672" s="4" t="s">
        <v>3127</v>
      </c>
      <c r="C2672" s="4" t="s">
        <v>432</v>
      </c>
      <c r="D2672" s="4" t="s">
        <v>3469</v>
      </c>
      <c r="E2672" s="4"/>
      <c r="F2672" s="4" t="s">
        <v>713</v>
      </c>
    </row>
    <row r="2673" customFormat="false" ht="28.35" hidden="false" customHeight="false" outlineLevel="0" collapsed="false">
      <c r="A2673" s="4" t="n">
        <v>123</v>
      </c>
      <c r="B2673" s="4" t="s">
        <v>3127</v>
      </c>
      <c r="C2673" s="4" t="s">
        <v>433</v>
      </c>
      <c r="D2673" s="4" t="s">
        <v>3470</v>
      </c>
      <c r="E2673" s="4"/>
      <c r="F2673" s="4" t="s">
        <v>2163</v>
      </c>
    </row>
    <row r="2674" customFormat="false" ht="28.35" hidden="false" customHeight="false" outlineLevel="0" collapsed="false">
      <c r="A2674" s="4" t="n">
        <v>123</v>
      </c>
      <c r="B2674" s="4" t="s">
        <v>3127</v>
      </c>
      <c r="C2674" s="4" t="s">
        <v>434</v>
      </c>
      <c r="D2674" s="4" t="s">
        <v>3482</v>
      </c>
      <c r="E2674" s="4"/>
      <c r="F2674" s="4" t="s">
        <v>2164</v>
      </c>
    </row>
    <row r="2675" customFormat="false" ht="28.35" hidden="false" customHeight="false" outlineLevel="0" collapsed="false">
      <c r="A2675" s="4" t="n">
        <v>123</v>
      </c>
      <c r="B2675" s="4" t="s">
        <v>3127</v>
      </c>
      <c r="C2675" s="4" t="s">
        <v>435</v>
      </c>
      <c r="D2675" s="4" t="s">
        <v>3510</v>
      </c>
      <c r="E2675" s="4"/>
      <c r="F2675" s="4" t="s">
        <v>2165</v>
      </c>
    </row>
    <row r="2676" customFormat="false" ht="28.35" hidden="false" customHeight="false" outlineLevel="0" collapsed="false">
      <c r="A2676" s="4" t="n">
        <v>123</v>
      </c>
      <c r="B2676" s="4" t="s">
        <v>3127</v>
      </c>
      <c r="C2676" s="4" t="s">
        <v>436</v>
      </c>
      <c r="D2676" s="4" t="s">
        <v>3471</v>
      </c>
      <c r="E2676" s="4"/>
      <c r="F2676" s="4" t="s">
        <v>332</v>
      </c>
    </row>
    <row r="2677" customFormat="false" ht="28.35" hidden="false" customHeight="false" outlineLevel="0" collapsed="false">
      <c r="A2677" s="4" t="n">
        <v>123</v>
      </c>
      <c r="B2677" s="4" t="s">
        <v>3127</v>
      </c>
      <c r="C2677" s="4" t="s">
        <v>437</v>
      </c>
      <c r="D2677" s="4" t="s">
        <v>3472</v>
      </c>
      <c r="E2677" s="4"/>
      <c r="F2677" s="4" t="n">
        <v>11</v>
      </c>
    </row>
    <row r="2678" customFormat="false" ht="68.65" hidden="false" customHeight="false" outlineLevel="0" collapsed="false">
      <c r="A2678" s="4" t="n">
        <v>123</v>
      </c>
      <c r="B2678" s="4" t="s">
        <v>3127</v>
      </c>
      <c r="C2678" s="4" t="s">
        <v>438</v>
      </c>
      <c r="D2678" s="4" t="s">
        <v>3511</v>
      </c>
      <c r="E2678" s="4"/>
      <c r="F2678" s="4" t="s">
        <v>3148</v>
      </c>
    </row>
    <row r="2679" customFormat="false" ht="41.75" hidden="false" customHeight="false" outlineLevel="0" collapsed="false">
      <c r="A2679" s="4" t="n">
        <v>124</v>
      </c>
      <c r="B2679" s="4" t="s">
        <v>3149</v>
      </c>
      <c r="C2679" s="4" t="s">
        <v>368</v>
      </c>
      <c r="D2679" s="4" t="s">
        <v>3550</v>
      </c>
      <c r="E2679" s="4" t="s">
        <v>3752</v>
      </c>
      <c r="F2679" s="4" t="s">
        <v>3155</v>
      </c>
    </row>
    <row r="2680" customFormat="false" ht="122.35" hidden="false" customHeight="false" outlineLevel="0" collapsed="false">
      <c r="A2680" s="4" t="n">
        <v>124</v>
      </c>
      <c r="B2680" s="4" t="s">
        <v>3149</v>
      </c>
      <c r="C2680" s="4" t="s">
        <v>372</v>
      </c>
      <c r="D2680" s="4" t="s">
        <v>3504</v>
      </c>
      <c r="E2680" s="4" t="s">
        <v>3753</v>
      </c>
      <c r="F2680" s="4" t="s">
        <v>3156</v>
      </c>
    </row>
    <row r="2681" customFormat="false" ht="41.75" hidden="false" customHeight="false" outlineLevel="0" collapsed="false">
      <c r="A2681" s="4" t="n">
        <v>124</v>
      </c>
      <c r="B2681" s="4" t="s">
        <v>3149</v>
      </c>
      <c r="C2681" s="4" t="s">
        <v>373</v>
      </c>
      <c r="D2681" s="4" t="s">
        <v>3664</v>
      </c>
      <c r="E2681" s="4" t="s">
        <v>3754</v>
      </c>
      <c r="F2681" s="4" t="s">
        <v>3157</v>
      </c>
    </row>
    <row r="2682" customFormat="false" ht="149.25" hidden="false" customHeight="false" outlineLevel="0" collapsed="false">
      <c r="A2682" s="4" t="n">
        <v>124</v>
      </c>
      <c r="B2682" s="4" t="s">
        <v>3149</v>
      </c>
      <c r="C2682" s="4" t="s">
        <v>380</v>
      </c>
      <c r="D2682" s="4" t="s">
        <v>3474</v>
      </c>
      <c r="E2682" s="4" t="s">
        <v>3755</v>
      </c>
      <c r="F2682" s="4" t="s">
        <v>3163</v>
      </c>
    </row>
    <row r="2683" customFormat="false" ht="41.75" hidden="false" customHeight="false" outlineLevel="0" collapsed="false">
      <c r="A2683" s="4" t="n">
        <v>124</v>
      </c>
      <c r="B2683" s="4" t="s">
        <v>3149</v>
      </c>
      <c r="C2683" s="4" t="s">
        <v>394</v>
      </c>
      <c r="D2683" s="4" t="s">
        <v>3532</v>
      </c>
      <c r="E2683" s="4" t="s">
        <v>3756</v>
      </c>
      <c r="F2683" s="4" t="s">
        <v>3164</v>
      </c>
    </row>
    <row r="2684" customFormat="false" ht="41.75" hidden="false" customHeight="false" outlineLevel="0" collapsed="false">
      <c r="A2684" s="4" t="n">
        <v>124</v>
      </c>
      <c r="B2684" s="4" t="s">
        <v>3149</v>
      </c>
      <c r="C2684" s="4" t="s">
        <v>403</v>
      </c>
      <c r="D2684" s="4" t="s">
        <v>3481</v>
      </c>
      <c r="E2684" s="4" t="s">
        <v>3757</v>
      </c>
      <c r="F2684" s="4" t="s">
        <v>3166</v>
      </c>
    </row>
    <row r="2685" customFormat="false" ht="41.75" hidden="false" customHeight="false" outlineLevel="0" collapsed="false">
      <c r="A2685" s="4" t="n">
        <v>124</v>
      </c>
      <c r="B2685" s="4" t="s">
        <v>3149</v>
      </c>
      <c r="C2685" s="4" t="s">
        <v>427</v>
      </c>
      <c r="D2685" s="4" t="s">
        <v>3464</v>
      </c>
      <c r="E2685" s="4"/>
      <c r="F2685" s="4" t="s">
        <v>24</v>
      </c>
    </row>
    <row r="2686" customFormat="false" ht="41.75" hidden="false" customHeight="false" outlineLevel="0" collapsed="false">
      <c r="A2686" s="4" t="n">
        <v>124</v>
      </c>
      <c r="B2686" s="4" t="s">
        <v>3149</v>
      </c>
      <c r="C2686" s="4" t="s">
        <v>428</v>
      </c>
      <c r="D2686" s="4" t="s">
        <v>3465</v>
      </c>
      <c r="E2686" s="4"/>
      <c r="F2686" s="4" t="s">
        <v>30</v>
      </c>
    </row>
    <row r="2687" customFormat="false" ht="41.75" hidden="false" customHeight="false" outlineLevel="0" collapsed="false">
      <c r="A2687" s="4" t="n">
        <v>124</v>
      </c>
      <c r="B2687" s="4" t="s">
        <v>3149</v>
      </c>
      <c r="C2687" s="4" t="s">
        <v>429</v>
      </c>
      <c r="D2687" s="4" t="s">
        <v>3466</v>
      </c>
      <c r="E2687" s="4"/>
      <c r="F2687" s="4" t="s">
        <v>34</v>
      </c>
    </row>
    <row r="2688" customFormat="false" ht="41.75" hidden="false" customHeight="false" outlineLevel="0" collapsed="false">
      <c r="A2688" s="4" t="n">
        <v>124</v>
      </c>
      <c r="B2688" s="4" t="s">
        <v>3149</v>
      </c>
      <c r="C2688" s="4" t="s">
        <v>430</v>
      </c>
      <c r="D2688" s="4" t="s">
        <v>3467</v>
      </c>
      <c r="E2688" s="4"/>
      <c r="F2688" s="4" t="s">
        <v>2616</v>
      </c>
    </row>
    <row r="2689" customFormat="false" ht="41.75" hidden="false" customHeight="false" outlineLevel="0" collapsed="false">
      <c r="A2689" s="4" t="n">
        <v>124</v>
      </c>
      <c r="B2689" s="4" t="s">
        <v>3149</v>
      </c>
      <c r="C2689" s="4" t="s">
        <v>431</v>
      </c>
      <c r="D2689" s="4" t="s">
        <v>3468</v>
      </c>
      <c r="E2689" s="4"/>
      <c r="F2689" s="4" t="s">
        <v>484</v>
      </c>
    </row>
    <row r="2690" customFormat="false" ht="41.75" hidden="false" customHeight="false" outlineLevel="0" collapsed="false">
      <c r="A2690" s="4" t="n">
        <v>124</v>
      </c>
      <c r="B2690" s="4" t="s">
        <v>3149</v>
      </c>
      <c r="C2690" s="4" t="s">
        <v>432</v>
      </c>
      <c r="D2690" s="4" t="s">
        <v>3469</v>
      </c>
      <c r="E2690" s="4"/>
      <c r="F2690" s="4" t="s">
        <v>664</v>
      </c>
    </row>
    <row r="2691" customFormat="false" ht="41.75" hidden="false" customHeight="false" outlineLevel="0" collapsed="false">
      <c r="A2691" s="4" t="n">
        <v>124</v>
      </c>
      <c r="B2691" s="4" t="s">
        <v>3149</v>
      </c>
      <c r="C2691" s="4" t="s">
        <v>433</v>
      </c>
      <c r="D2691" s="4" t="s">
        <v>3470</v>
      </c>
      <c r="E2691" s="4"/>
      <c r="F2691" s="4" t="s">
        <v>2617</v>
      </c>
    </row>
    <row r="2692" customFormat="false" ht="41.75" hidden="false" customHeight="false" outlineLevel="0" collapsed="false">
      <c r="A2692" s="4" t="n">
        <v>124</v>
      </c>
      <c r="B2692" s="4" t="s">
        <v>3149</v>
      </c>
      <c r="C2692" s="4" t="s">
        <v>434</v>
      </c>
      <c r="D2692" s="4" t="s">
        <v>3482</v>
      </c>
      <c r="E2692" s="4"/>
      <c r="F2692" s="4" t="s">
        <v>2618</v>
      </c>
    </row>
    <row r="2693" customFormat="false" ht="41.75" hidden="false" customHeight="false" outlineLevel="0" collapsed="false">
      <c r="A2693" s="4" t="n">
        <v>124</v>
      </c>
      <c r="B2693" s="4" t="s">
        <v>3149</v>
      </c>
      <c r="C2693" s="4" t="s">
        <v>435</v>
      </c>
      <c r="D2693" s="4" t="s">
        <v>3510</v>
      </c>
      <c r="E2693" s="4"/>
      <c r="F2693" s="4" t="s">
        <v>2619</v>
      </c>
    </row>
    <row r="2694" customFormat="false" ht="41.75" hidden="false" customHeight="false" outlineLevel="0" collapsed="false">
      <c r="A2694" s="4" t="n">
        <v>124</v>
      </c>
      <c r="B2694" s="4" t="s">
        <v>3149</v>
      </c>
      <c r="C2694" s="4" t="s">
        <v>436</v>
      </c>
      <c r="D2694" s="4" t="s">
        <v>3471</v>
      </c>
      <c r="E2694" s="4"/>
      <c r="F2694" s="4" t="s">
        <v>201</v>
      </c>
    </row>
    <row r="2695" customFormat="false" ht="41.75" hidden="false" customHeight="false" outlineLevel="0" collapsed="false">
      <c r="A2695" s="4" t="n">
        <v>124</v>
      </c>
      <c r="B2695" s="4" t="s">
        <v>3149</v>
      </c>
      <c r="C2695" s="4" t="s">
        <v>437</v>
      </c>
      <c r="D2695" s="4" t="s">
        <v>3472</v>
      </c>
      <c r="E2695" s="4"/>
      <c r="F2695" s="4" t="n">
        <v>10</v>
      </c>
    </row>
    <row r="2696" customFormat="false" ht="15" hidden="false" customHeight="false" outlineLevel="0" collapsed="false">
      <c r="A2696" s="4" t="n">
        <v>125</v>
      </c>
      <c r="B2696" s="4" t="s">
        <v>3173</v>
      </c>
      <c r="C2696" s="4" t="s">
        <v>365</v>
      </c>
      <c r="D2696" s="4" t="s">
        <v>3547</v>
      </c>
      <c r="E2696" s="4" t="n">
        <v>25.8955</v>
      </c>
      <c r="F2696" s="4" t="n">
        <v>28.341617</v>
      </c>
    </row>
    <row r="2697" customFormat="false" ht="15" hidden="false" customHeight="false" outlineLevel="0" collapsed="false">
      <c r="A2697" s="4" t="n">
        <v>125</v>
      </c>
      <c r="B2697" s="4" t="s">
        <v>3173</v>
      </c>
      <c r="C2697" s="4" t="s">
        <v>366</v>
      </c>
      <c r="D2697" s="4" t="s">
        <v>3548</v>
      </c>
      <c r="E2697" s="4" t="n">
        <v>2025</v>
      </c>
      <c r="F2697" s="4" t="n">
        <v>2026</v>
      </c>
    </row>
    <row r="2698" customFormat="false" ht="28.35" hidden="false" customHeight="false" outlineLevel="0" collapsed="false">
      <c r="A2698" s="4" t="n">
        <v>125</v>
      </c>
      <c r="B2698" s="4" t="s">
        <v>3173</v>
      </c>
      <c r="C2698" s="4" t="s">
        <v>368</v>
      </c>
      <c r="D2698" s="4" t="s">
        <v>3550</v>
      </c>
      <c r="E2698" s="4" t="s">
        <v>3758</v>
      </c>
      <c r="F2698" s="4" t="s">
        <v>3178</v>
      </c>
    </row>
    <row r="2699" customFormat="false" ht="15" hidden="false" customHeight="false" outlineLevel="0" collapsed="false">
      <c r="A2699" s="4" t="n">
        <v>125</v>
      </c>
      <c r="B2699" s="4" t="s">
        <v>3173</v>
      </c>
      <c r="C2699" s="4" t="s">
        <v>369</v>
      </c>
      <c r="D2699" s="4" t="s">
        <v>3503</v>
      </c>
      <c r="E2699" s="4" t="s">
        <v>959</v>
      </c>
      <c r="F2699" s="4" t="s">
        <v>494</v>
      </c>
    </row>
    <row r="2700" customFormat="false" ht="15" hidden="false" customHeight="false" outlineLevel="0" collapsed="false">
      <c r="A2700" s="4" t="n">
        <v>125</v>
      </c>
      <c r="B2700" s="4" t="s">
        <v>3173</v>
      </c>
      <c r="C2700" s="4" t="s">
        <v>370</v>
      </c>
      <c r="D2700" s="4" t="s">
        <v>3649</v>
      </c>
      <c r="E2700" s="4" t="n">
        <v>25.8955</v>
      </c>
      <c r="F2700" s="4" t="n">
        <v>28.341617</v>
      </c>
    </row>
    <row r="2701" customFormat="false" ht="162.65" hidden="false" customHeight="false" outlineLevel="0" collapsed="false">
      <c r="A2701" s="4" t="n">
        <v>125</v>
      </c>
      <c r="B2701" s="4" t="s">
        <v>3173</v>
      </c>
      <c r="C2701" s="4" t="s">
        <v>372</v>
      </c>
      <c r="D2701" s="4" t="s">
        <v>3504</v>
      </c>
      <c r="E2701" s="4" t="s">
        <v>3759</v>
      </c>
      <c r="F2701" s="4" t="s">
        <v>3179</v>
      </c>
    </row>
    <row r="2702" customFormat="false" ht="15" hidden="false" customHeight="false" outlineLevel="0" collapsed="false">
      <c r="A2702" s="4" t="n">
        <v>125</v>
      </c>
      <c r="B2702" s="4" t="s">
        <v>3173</v>
      </c>
      <c r="C2702" s="4" t="s">
        <v>373</v>
      </c>
      <c r="D2702" s="4" t="s">
        <v>3664</v>
      </c>
      <c r="E2702" s="4" t="s">
        <v>3760</v>
      </c>
      <c r="F2702" s="4" t="s">
        <v>3180</v>
      </c>
    </row>
    <row r="2703" customFormat="false" ht="41.75" hidden="false" customHeight="false" outlineLevel="0" collapsed="false">
      <c r="A2703" s="4" t="n">
        <v>125</v>
      </c>
      <c r="B2703" s="4" t="s">
        <v>3173</v>
      </c>
      <c r="C2703" s="4" t="s">
        <v>374</v>
      </c>
      <c r="D2703" s="4" t="s">
        <v>3616</v>
      </c>
      <c r="E2703" s="4" t="s">
        <v>3761</v>
      </c>
      <c r="F2703" s="4" t="s">
        <v>3181</v>
      </c>
    </row>
    <row r="2704" customFormat="false" ht="28.35" hidden="false" customHeight="false" outlineLevel="0" collapsed="false">
      <c r="A2704" s="4" t="n">
        <v>125</v>
      </c>
      <c r="B2704" s="4" t="s">
        <v>3173</v>
      </c>
      <c r="C2704" s="4" t="s">
        <v>375</v>
      </c>
      <c r="D2704" s="4" t="s">
        <v>3473</v>
      </c>
      <c r="E2704" s="4" t="s">
        <v>3762</v>
      </c>
      <c r="F2704" s="4" t="s">
        <v>3182</v>
      </c>
    </row>
    <row r="2705" customFormat="false" ht="108.95" hidden="false" customHeight="false" outlineLevel="0" collapsed="false">
      <c r="A2705" s="4" t="n">
        <v>125</v>
      </c>
      <c r="B2705" s="4" t="s">
        <v>3173</v>
      </c>
      <c r="C2705" s="4" t="s">
        <v>380</v>
      </c>
      <c r="D2705" s="4" t="s">
        <v>3474</v>
      </c>
      <c r="E2705" s="4" t="s">
        <v>3763</v>
      </c>
      <c r="F2705" s="4" t="s">
        <v>3187</v>
      </c>
    </row>
    <row r="2706" customFormat="false" ht="15" hidden="false" customHeight="false" outlineLevel="0" collapsed="false">
      <c r="A2706" s="4" t="n">
        <v>125</v>
      </c>
      <c r="B2706" s="4" t="s">
        <v>3173</v>
      </c>
      <c r="C2706" s="4" t="s">
        <v>392</v>
      </c>
      <c r="D2706" s="4" t="s">
        <v>3530</v>
      </c>
      <c r="E2706" s="4" t="n">
        <v>1.085125</v>
      </c>
      <c r="F2706" s="4" t="n">
        <v>1.221805</v>
      </c>
    </row>
    <row r="2707" customFormat="false" ht="15" hidden="false" customHeight="false" outlineLevel="0" collapsed="false">
      <c r="A2707" s="4" t="n">
        <v>125</v>
      </c>
      <c r="B2707" s="4" t="s">
        <v>3173</v>
      </c>
      <c r="C2707" s="4" t="s">
        <v>393</v>
      </c>
      <c r="D2707" s="4" t="s">
        <v>3531</v>
      </c>
      <c r="E2707" s="4" t="n">
        <v>2025</v>
      </c>
      <c r="F2707" s="4" t="n">
        <v>2026</v>
      </c>
    </row>
    <row r="2708" customFormat="false" ht="41.75" hidden="false" customHeight="false" outlineLevel="0" collapsed="false">
      <c r="A2708" s="4" t="n">
        <v>125</v>
      </c>
      <c r="B2708" s="4" t="s">
        <v>3173</v>
      </c>
      <c r="C2708" s="4" t="s">
        <v>394</v>
      </c>
      <c r="D2708" s="4" t="s">
        <v>3532</v>
      </c>
      <c r="E2708" s="4" t="s">
        <v>3764</v>
      </c>
      <c r="F2708" s="4" t="s">
        <v>3189</v>
      </c>
    </row>
    <row r="2709" customFormat="false" ht="28.35" hidden="false" customHeight="false" outlineLevel="0" collapsed="false">
      <c r="A2709" s="4" t="n">
        <v>125</v>
      </c>
      <c r="B2709" s="4" t="s">
        <v>3173</v>
      </c>
      <c r="C2709" s="4" t="s">
        <v>395</v>
      </c>
      <c r="D2709" s="4" t="s">
        <v>3507</v>
      </c>
      <c r="E2709" s="4" t="s">
        <v>3765</v>
      </c>
      <c r="F2709" s="4" t="s">
        <v>3190</v>
      </c>
    </row>
    <row r="2710" customFormat="false" ht="28.35" hidden="false" customHeight="false" outlineLevel="0" collapsed="false">
      <c r="A2710" s="4" t="n">
        <v>125</v>
      </c>
      <c r="B2710" s="4" t="s">
        <v>3173</v>
      </c>
      <c r="C2710" s="4" t="s">
        <v>396</v>
      </c>
      <c r="D2710" s="4" t="s">
        <v>3533</v>
      </c>
      <c r="E2710" s="4" t="s">
        <v>3188</v>
      </c>
      <c r="F2710" s="4" t="s">
        <v>3191</v>
      </c>
    </row>
    <row r="2711" customFormat="false" ht="28.35" hidden="false" customHeight="false" outlineLevel="0" collapsed="false">
      <c r="A2711" s="4" t="n">
        <v>125</v>
      </c>
      <c r="B2711" s="4" t="s">
        <v>3173</v>
      </c>
      <c r="C2711" s="4" t="s">
        <v>403</v>
      </c>
      <c r="D2711" s="4" t="s">
        <v>3481</v>
      </c>
      <c r="E2711" s="4" t="s">
        <v>3766</v>
      </c>
      <c r="F2711" s="4" t="s">
        <v>3192</v>
      </c>
    </row>
    <row r="2712" customFormat="false" ht="55.2" hidden="false" customHeight="false" outlineLevel="0" collapsed="false">
      <c r="A2712" s="4" t="n">
        <v>125</v>
      </c>
      <c r="B2712" s="4" t="s">
        <v>3173</v>
      </c>
      <c r="C2712" s="4" t="s">
        <v>419</v>
      </c>
      <c r="D2712" s="4" t="s">
        <v>3534</v>
      </c>
      <c r="E2712" s="4"/>
      <c r="F2712" s="4" t="s">
        <v>3199</v>
      </c>
    </row>
    <row r="2713" customFormat="false" ht="15" hidden="false" customHeight="false" outlineLevel="0" collapsed="false">
      <c r="A2713" s="4" t="n">
        <v>125</v>
      </c>
      <c r="B2713" s="4" t="s">
        <v>3173</v>
      </c>
      <c r="C2713" s="4" t="s">
        <v>427</v>
      </c>
      <c r="D2713" s="4" t="s">
        <v>3464</v>
      </c>
      <c r="E2713" s="4"/>
      <c r="F2713" s="4" t="s">
        <v>24</v>
      </c>
    </row>
    <row r="2714" customFormat="false" ht="15" hidden="false" customHeight="false" outlineLevel="0" collapsed="false">
      <c r="A2714" s="4" t="n">
        <v>125</v>
      </c>
      <c r="B2714" s="4" t="s">
        <v>3173</v>
      </c>
      <c r="C2714" s="4" t="s">
        <v>428</v>
      </c>
      <c r="D2714" s="4" t="s">
        <v>3465</v>
      </c>
      <c r="E2714" s="4"/>
      <c r="F2714" s="4" t="s">
        <v>30</v>
      </c>
    </row>
    <row r="2715" customFormat="false" ht="15" hidden="false" customHeight="false" outlineLevel="0" collapsed="false">
      <c r="A2715" s="4" t="n">
        <v>125</v>
      </c>
      <c r="B2715" s="4" t="s">
        <v>3173</v>
      </c>
      <c r="C2715" s="4" t="s">
        <v>429</v>
      </c>
      <c r="D2715" s="4" t="s">
        <v>3466</v>
      </c>
      <c r="E2715" s="4"/>
      <c r="F2715" s="4" t="s">
        <v>36</v>
      </c>
    </row>
    <row r="2716" customFormat="false" ht="41.75" hidden="false" customHeight="false" outlineLevel="0" collapsed="false">
      <c r="A2716" s="4" t="n">
        <v>125</v>
      </c>
      <c r="B2716" s="4" t="s">
        <v>3173</v>
      </c>
      <c r="C2716" s="4" t="s">
        <v>430</v>
      </c>
      <c r="D2716" s="4" t="s">
        <v>3467</v>
      </c>
      <c r="E2716" s="4"/>
      <c r="F2716" s="4" t="s">
        <v>3124</v>
      </c>
    </row>
    <row r="2717" customFormat="false" ht="15" hidden="false" customHeight="false" outlineLevel="0" collapsed="false">
      <c r="A2717" s="4" t="n">
        <v>125</v>
      </c>
      <c r="B2717" s="4" t="s">
        <v>3173</v>
      </c>
      <c r="C2717" s="4" t="s">
        <v>431</v>
      </c>
      <c r="D2717" s="4" t="s">
        <v>3468</v>
      </c>
      <c r="E2717" s="4"/>
      <c r="F2717" s="4" t="s">
        <v>484</v>
      </c>
    </row>
    <row r="2718" customFormat="false" ht="15" hidden="false" customHeight="false" outlineLevel="0" collapsed="false">
      <c r="A2718" s="4" t="n">
        <v>125</v>
      </c>
      <c r="B2718" s="4" t="s">
        <v>3173</v>
      </c>
      <c r="C2718" s="4" t="s">
        <v>432</v>
      </c>
      <c r="D2718" s="4" t="s">
        <v>3469</v>
      </c>
      <c r="E2718" s="4"/>
      <c r="F2718" s="4" t="s">
        <v>664</v>
      </c>
    </row>
    <row r="2719" customFormat="false" ht="15" hidden="false" customHeight="false" outlineLevel="0" collapsed="false">
      <c r="A2719" s="4" t="n">
        <v>125</v>
      </c>
      <c r="B2719" s="4" t="s">
        <v>3173</v>
      </c>
      <c r="C2719" s="4" t="s">
        <v>433</v>
      </c>
      <c r="D2719" s="4" t="s">
        <v>3470</v>
      </c>
      <c r="E2719" s="4"/>
      <c r="F2719" s="4" t="s">
        <v>3125</v>
      </c>
    </row>
    <row r="2720" customFormat="false" ht="15" hidden="false" customHeight="false" outlineLevel="0" collapsed="false">
      <c r="A2720" s="4" t="n">
        <v>125</v>
      </c>
      <c r="B2720" s="4" t="s">
        <v>3173</v>
      </c>
      <c r="C2720" s="4" t="s">
        <v>434</v>
      </c>
      <c r="D2720" s="4" t="s">
        <v>3482</v>
      </c>
      <c r="E2720" s="4"/>
      <c r="F2720" s="4" t="s">
        <v>2187</v>
      </c>
    </row>
    <row r="2721" customFormat="false" ht="28.35" hidden="false" customHeight="false" outlineLevel="0" collapsed="false">
      <c r="A2721" s="4" t="n">
        <v>125</v>
      </c>
      <c r="B2721" s="4" t="s">
        <v>3173</v>
      </c>
      <c r="C2721" s="4" t="s">
        <v>435</v>
      </c>
      <c r="D2721" s="4" t="s">
        <v>3510</v>
      </c>
      <c r="E2721" s="4"/>
      <c r="F2721" s="4" t="s">
        <v>3126</v>
      </c>
    </row>
    <row r="2722" customFormat="false" ht="15" hidden="false" customHeight="false" outlineLevel="0" collapsed="false">
      <c r="A2722" s="4" t="n">
        <v>125</v>
      </c>
      <c r="B2722" s="4" t="s">
        <v>3173</v>
      </c>
      <c r="C2722" s="4" t="s">
        <v>436</v>
      </c>
      <c r="D2722" s="4" t="s">
        <v>3471</v>
      </c>
      <c r="E2722" s="4"/>
      <c r="F2722" s="4" t="s">
        <v>227</v>
      </c>
    </row>
    <row r="2723" customFormat="false" ht="28.35" hidden="false" customHeight="false" outlineLevel="0" collapsed="false">
      <c r="A2723" s="4" t="n">
        <v>125</v>
      </c>
      <c r="B2723" s="4" t="s">
        <v>3173</v>
      </c>
      <c r="C2723" s="4" t="s">
        <v>437</v>
      </c>
      <c r="D2723" s="4" t="s">
        <v>3472</v>
      </c>
      <c r="E2723" s="4"/>
      <c r="F2723" s="4" t="n">
        <v>11</v>
      </c>
    </row>
    <row r="2724" customFormat="false" ht="28.35" hidden="false" customHeight="false" outlineLevel="0" collapsed="false">
      <c r="A2724" s="4" t="n">
        <v>126</v>
      </c>
      <c r="B2724" s="4" t="s">
        <v>3200</v>
      </c>
      <c r="C2724" s="4" t="s">
        <v>427</v>
      </c>
      <c r="D2724" s="4" t="s">
        <v>3464</v>
      </c>
      <c r="E2724" s="4"/>
      <c r="F2724" s="4" t="s">
        <v>23</v>
      </c>
    </row>
    <row r="2725" customFormat="false" ht="28.35" hidden="false" customHeight="false" outlineLevel="0" collapsed="false">
      <c r="A2725" s="4" t="n">
        <v>126</v>
      </c>
      <c r="B2725" s="4" t="s">
        <v>3200</v>
      </c>
      <c r="C2725" s="4" t="s">
        <v>428</v>
      </c>
      <c r="D2725" s="4" t="s">
        <v>3465</v>
      </c>
      <c r="E2725" s="4"/>
      <c r="F2725" s="4" t="s">
        <v>28</v>
      </c>
    </row>
    <row r="2726" customFormat="false" ht="28.35" hidden="false" customHeight="false" outlineLevel="0" collapsed="false">
      <c r="A2726" s="4" t="n">
        <v>126</v>
      </c>
      <c r="B2726" s="4" t="s">
        <v>3200</v>
      </c>
      <c r="C2726" s="4" t="s">
        <v>429</v>
      </c>
      <c r="D2726" s="4" t="s">
        <v>3466</v>
      </c>
      <c r="E2726" s="4"/>
      <c r="F2726" s="4" t="s">
        <v>34</v>
      </c>
    </row>
    <row r="2727" customFormat="false" ht="28.35" hidden="false" customHeight="false" outlineLevel="0" collapsed="false">
      <c r="A2727" s="4" t="n">
        <v>126</v>
      </c>
      <c r="B2727" s="4" t="s">
        <v>3200</v>
      </c>
      <c r="C2727" s="4" t="s">
        <v>431</v>
      </c>
      <c r="D2727" s="4" t="s">
        <v>3468</v>
      </c>
      <c r="E2727" s="4"/>
      <c r="F2727" s="4" t="s">
        <v>484</v>
      </c>
    </row>
    <row r="2728" customFormat="false" ht="28.35" hidden="false" customHeight="false" outlineLevel="0" collapsed="false">
      <c r="A2728" s="4" t="n">
        <v>126</v>
      </c>
      <c r="B2728" s="4" t="s">
        <v>3200</v>
      </c>
      <c r="C2728" s="4" t="s">
        <v>432</v>
      </c>
      <c r="D2728" s="4" t="s">
        <v>3469</v>
      </c>
      <c r="E2728" s="4"/>
      <c r="F2728" s="4" t="s">
        <v>664</v>
      </c>
    </row>
    <row r="2729" customFormat="false" ht="68.65" hidden="false" customHeight="false" outlineLevel="0" collapsed="false">
      <c r="A2729" s="4" t="n">
        <v>126</v>
      </c>
      <c r="B2729" s="4" t="s">
        <v>3200</v>
      </c>
      <c r="C2729" s="4" t="s">
        <v>433</v>
      </c>
      <c r="D2729" s="4" t="s">
        <v>3470</v>
      </c>
      <c r="E2729" s="4"/>
      <c r="F2729" s="4" t="s">
        <v>3223</v>
      </c>
    </row>
    <row r="2730" customFormat="false" ht="28.35" hidden="false" customHeight="false" outlineLevel="0" collapsed="false">
      <c r="A2730" s="4" t="n">
        <v>126</v>
      </c>
      <c r="B2730" s="4" t="s">
        <v>3200</v>
      </c>
      <c r="C2730" s="4" t="s">
        <v>434</v>
      </c>
      <c r="D2730" s="4" t="s">
        <v>3482</v>
      </c>
      <c r="E2730" s="4"/>
      <c r="F2730" s="4" t="s">
        <v>3224</v>
      </c>
    </row>
    <row r="2731" customFormat="false" ht="28.35" hidden="false" customHeight="false" outlineLevel="0" collapsed="false">
      <c r="A2731" s="4" t="n">
        <v>126</v>
      </c>
      <c r="B2731" s="4" t="s">
        <v>3200</v>
      </c>
      <c r="C2731" s="4" t="s">
        <v>436</v>
      </c>
      <c r="D2731" s="4" t="s">
        <v>3471</v>
      </c>
      <c r="E2731" s="4"/>
      <c r="F2731" s="4" t="s">
        <v>3225</v>
      </c>
    </row>
    <row r="2732" customFormat="false" ht="68.65" hidden="false" customHeight="false" outlineLevel="0" collapsed="false">
      <c r="A2732" s="4" t="n">
        <v>126</v>
      </c>
      <c r="B2732" s="4" t="s">
        <v>3200</v>
      </c>
      <c r="C2732" s="4" t="s">
        <v>438</v>
      </c>
      <c r="D2732" s="4" t="s">
        <v>3511</v>
      </c>
      <c r="E2732" s="4"/>
      <c r="F2732" s="4" t="s">
        <v>3226</v>
      </c>
    </row>
    <row r="2733" customFormat="false" ht="28.35" hidden="false" customHeight="false" outlineLevel="0" collapsed="false">
      <c r="A2733" s="4" t="n">
        <v>127</v>
      </c>
      <c r="B2733" s="4" t="s">
        <v>3227</v>
      </c>
      <c r="C2733" s="4" t="s">
        <v>427</v>
      </c>
      <c r="D2733" s="4" t="s">
        <v>3464</v>
      </c>
      <c r="E2733" s="4"/>
      <c r="F2733" s="4" t="s">
        <v>24</v>
      </c>
    </row>
    <row r="2734" customFormat="false" ht="28.35" hidden="false" customHeight="false" outlineLevel="0" collapsed="false">
      <c r="A2734" s="4" t="n">
        <v>127</v>
      </c>
      <c r="B2734" s="4" t="s">
        <v>3227</v>
      </c>
      <c r="C2734" s="4" t="s">
        <v>428</v>
      </c>
      <c r="D2734" s="4" t="s">
        <v>3465</v>
      </c>
      <c r="E2734" s="4"/>
      <c r="F2734" s="4" t="s">
        <v>31</v>
      </c>
    </row>
    <row r="2735" customFormat="false" ht="28.35" hidden="false" customHeight="false" outlineLevel="0" collapsed="false">
      <c r="A2735" s="4" t="n">
        <v>127</v>
      </c>
      <c r="B2735" s="4" t="s">
        <v>3227</v>
      </c>
      <c r="C2735" s="4" t="s">
        <v>429</v>
      </c>
      <c r="D2735" s="4" t="s">
        <v>3466</v>
      </c>
      <c r="E2735" s="4"/>
      <c r="F2735" s="4" t="s">
        <v>38</v>
      </c>
    </row>
    <row r="2736" customFormat="false" ht="28.35" hidden="false" customHeight="false" outlineLevel="0" collapsed="false">
      <c r="A2736" s="4" t="n">
        <v>127</v>
      </c>
      <c r="B2736" s="4" t="s">
        <v>3227</v>
      </c>
      <c r="C2736" s="4" t="s">
        <v>431</v>
      </c>
      <c r="D2736" s="4" t="s">
        <v>3468</v>
      </c>
      <c r="E2736" s="4"/>
      <c r="F2736" s="4" t="s">
        <v>484</v>
      </c>
    </row>
    <row r="2737" customFormat="false" ht="28.35" hidden="false" customHeight="false" outlineLevel="0" collapsed="false">
      <c r="A2737" s="4" t="n">
        <v>127</v>
      </c>
      <c r="B2737" s="4" t="s">
        <v>3227</v>
      </c>
      <c r="C2737" s="4" t="s">
        <v>432</v>
      </c>
      <c r="D2737" s="4" t="s">
        <v>3469</v>
      </c>
      <c r="E2737" s="4"/>
      <c r="F2737" s="4" t="s">
        <v>664</v>
      </c>
    </row>
    <row r="2738" customFormat="false" ht="41.75" hidden="false" customHeight="false" outlineLevel="0" collapsed="false">
      <c r="A2738" s="4" t="n">
        <v>127</v>
      </c>
      <c r="B2738" s="4" t="s">
        <v>3227</v>
      </c>
      <c r="C2738" s="4" t="s">
        <v>433</v>
      </c>
      <c r="D2738" s="4" t="s">
        <v>3470</v>
      </c>
      <c r="E2738" s="4"/>
      <c r="F2738" s="4" t="s">
        <v>3251</v>
      </c>
    </row>
    <row r="2739" customFormat="false" ht="28.35" hidden="false" customHeight="false" outlineLevel="0" collapsed="false">
      <c r="A2739" s="4" t="n">
        <v>127</v>
      </c>
      <c r="B2739" s="4" t="s">
        <v>3227</v>
      </c>
      <c r="C2739" s="4" t="s">
        <v>434</v>
      </c>
      <c r="D2739" s="4" t="s">
        <v>3482</v>
      </c>
      <c r="E2739" s="4"/>
      <c r="F2739" s="4" t="s">
        <v>666</v>
      </c>
    </row>
    <row r="2740" customFormat="false" ht="28.35" hidden="false" customHeight="false" outlineLevel="0" collapsed="false">
      <c r="A2740" s="4" t="n">
        <v>127</v>
      </c>
      <c r="B2740" s="4" t="s">
        <v>3227</v>
      </c>
      <c r="C2740" s="4" t="s">
        <v>435</v>
      </c>
      <c r="D2740" s="4" t="s">
        <v>3510</v>
      </c>
      <c r="E2740" s="4"/>
      <c r="F2740" s="4" t="s">
        <v>667</v>
      </c>
    </row>
    <row r="2741" customFormat="false" ht="28.35" hidden="false" customHeight="false" outlineLevel="0" collapsed="false">
      <c r="A2741" s="4" t="n">
        <v>127</v>
      </c>
      <c r="B2741" s="4" t="s">
        <v>3227</v>
      </c>
      <c r="C2741" s="4" t="s">
        <v>436</v>
      </c>
      <c r="D2741" s="4" t="s">
        <v>3471</v>
      </c>
      <c r="E2741" s="4"/>
      <c r="F2741" s="4" t="s">
        <v>1525</v>
      </c>
    </row>
    <row r="2742" customFormat="false" ht="108.95" hidden="false" customHeight="false" outlineLevel="0" collapsed="false">
      <c r="A2742" s="4" t="n">
        <v>127</v>
      </c>
      <c r="B2742" s="4" t="s">
        <v>3227</v>
      </c>
      <c r="C2742" s="4" t="s">
        <v>438</v>
      </c>
      <c r="D2742" s="4" t="s">
        <v>3511</v>
      </c>
      <c r="E2742" s="4"/>
      <c r="F2742" s="4" t="s">
        <v>3252</v>
      </c>
    </row>
    <row r="2743" customFormat="false" ht="28.35" hidden="false" customHeight="false" outlineLevel="0" collapsed="false">
      <c r="A2743" s="4" t="n">
        <v>128</v>
      </c>
      <c r="B2743" s="4" t="s">
        <v>3253</v>
      </c>
      <c r="C2743" s="4" t="s">
        <v>427</v>
      </c>
      <c r="D2743" s="4" t="s">
        <v>3464</v>
      </c>
      <c r="E2743" s="4"/>
      <c r="F2743" s="4" t="s">
        <v>24</v>
      </c>
    </row>
    <row r="2744" customFormat="false" ht="28.35" hidden="false" customHeight="false" outlineLevel="0" collapsed="false">
      <c r="A2744" s="4" t="n">
        <v>128</v>
      </c>
      <c r="B2744" s="4" t="s">
        <v>3253</v>
      </c>
      <c r="C2744" s="4" t="s">
        <v>428</v>
      </c>
      <c r="D2744" s="4" t="s">
        <v>3465</v>
      </c>
      <c r="E2744" s="4"/>
      <c r="F2744" s="4" t="s">
        <v>31</v>
      </c>
    </row>
    <row r="2745" customFormat="false" ht="28.35" hidden="false" customHeight="false" outlineLevel="0" collapsed="false">
      <c r="A2745" s="4" t="n">
        <v>128</v>
      </c>
      <c r="B2745" s="4" t="s">
        <v>3253</v>
      </c>
      <c r="C2745" s="4" t="s">
        <v>429</v>
      </c>
      <c r="D2745" s="4" t="s">
        <v>3466</v>
      </c>
      <c r="E2745" s="4"/>
      <c r="F2745" s="4" t="s">
        <v>38</v>
      </c>
    </row>
    <row r="2746" customFormat="false" ht="28.35" hidden="false" customHeight="false" outlineLevel="0" collapsed="false">
      <c r="A2746" s="4" t="n">
        <v>128</v>
      </c>
      <c r="B2746" s="4" t="s">
        <v>3253</v>
      </c>
      <c r="C2746" s="4" t="s">
        <v>431</v>
      </c>
      <c r="D2746" s="4" t="s">
        <v>3468</v>
      </c>
      <c r="E2746" s="4"/>
      <c r="F2746" s="4" t="s">
        <v>484</v>
      </c>
    </row>
    <row r="2747" customFormat="false" ht="28.35" hidden="false" customHeight="false" outlineLevel="0" collapsed="false">
      <c r="A2747" s="4" t="n">
        <v>128</v>
      </c>
      <c r="B2747" s="4" t="s">
        <v>3253</v>
      </c>
      <c r="C2747" s="4" t="s">
        <v>432</v>
      </c>
      <c r="D2747" s="4" t="s">
        <v>3469</v>
      </c>
      <c r="E2747" s="4"/>
      <c r="F2747" s="4" t="s">
        <v>664</v>
      </c>
    </row>
    <row r="2748" customFormat="false" ht="55.2" hidden="false" customHeight="false" outlineLevel="0" collapsed="false">
      <c r="A2748" s="4" t="n">
        <v>128</v>
      </c>
      <c r="B2748" s="4" t="s">
        <v>3253</v>
      </c>
      <c r="C2748" s="4" t="s">
        <v>433</v>
      </c>
      <c r="D2748" s="4" t="s">
        <v>3470</v>
      </c>
      <c r="E2748" s="4"/>
      <c r="F2748" s="4" t="s">
        <v>3275</v>
      </c>
    </row>
    <row r="2749" customFormat="false" ht="28.35" hidden="false" customHeight="false" outlineLevel="0" collapsed="false">
      <c r="A2749" s="4" t="n">
        <v>128</v>
      </c>
      <c r="B2749" s="4" t="s">
        <v>3253</v>
      </c>
      <c r="C2749" s="4" t="s">
        <v>434</v>
      </c>
      <c r="D2749" s="4" t="s">
        <v>3482</v>
      </c>
      <c r="E2749" s="4"/>
      <c r="F2749" s="4" t="s">
        <v>3276</v>
      </c>
    </row>
    <row r="2750" customFormat="false" ht="28.35" hidden="false" customHeight="false" outlineLevel="0" collapsed="false">
      <c r="A2750" s="4" t="n">
        <v>128</v>
      </c>
      <c r="B2750" s="4" t="s">
        <v>3253</v>
      </c>
      <c r="C2750" s="4" t="s">
        <v>435</v>
      </c>
      <c r="D2750" s="4" t="s">
        <v>3510</v>
      </c>
      <c r="E2750" s="4"/>
      <c r="F2750" s="4" t="s">
        <v>3277</v>
      </c>
    </row>
    <row r="2751" customFormat="false" ht="28.35" hidden="false" customHeight="false" outlineLevel="0" collapsed="false">
      <c r="A2751" s="4" t="n">
        <v>128</v>
      </c>
      <c r="B2751" s="4" t="s">
        <v>3253</v>
      </c>
      <c r="C2751" s="4" t="s">
        <v>436</v>
      </c>
      <c r="D2751" s="4" t="s">
        <v>3471</v>
      </c>
      <c r="E2751" s="4"/>
      <c r="F2751" s="4" t="s">
        <v>3278</v>
      </c>
    </row>
    <row r="2752" customFormat="false" ht="95.5" hidden="false" customHeight="false" outlineLevel="0" collapsed="false">
      <c r="A2752" s="4" t="n">
        <v>128</v>
      </c>
      <c r="B2752" s="4" t="s">
        <v>3253</v>
      </c>
      <c r="C2752" s="4" t="s">
        <v>438</v>
      </c>
      <c r="D2752" s="4" t="s">
        <v>3511</v>
      </c>
      <c r="E2752" s="4"/>
      <c r="F2752" s="4" t="s">
        <v>3279</v>
      </c>
    </row>
    <row r="2753" customFormat="false" ht="28.35" hidden="false" customHeight="false" outlineLevel="0" collapsed="false">
      <c r="A2753" s="4" t="n">
        <v>129</v>
      </c>
      <c r="B2753" s="4" t="s">
        <v>3280</v>
      </c>
      <c r="C2753" s="4" t="s">
        <v>427</v>
      </c>
      <c r="D2753" s="4" t="s">
        <v>3464</v>
      </c>
      <c r="E2753" s="4"/>
      <c r="F2753" s="4" t="s">
        <v>24</v>
      </c>
    </row>
    <row r="2754" customFormat="false" ht="28.35" hidden="false" customHeight="false" outlineLevel="0" collapsed="false">
      <c r="A2754" s="4" t="n">
        <v>129</v>
      </c>
      <c r="B2754" s="4" t="s">
        <v>3280</v>
      </c>
      <c r="C2754" s="4" t="s">
        <v>428</v>
      </c>
      <c r="D2754" s="4" t="s">
        <v>3465</v>
      </c>
      <c r="E2754" s="4"/>
      <c r="F2754" s="4" t="s">
        <v>31</v>
      </c>
    </row>
    <row r="2755" customFormat="false" ht="28.35" hidden="false" customHeight="false" outlineLevel="0" collapsed="false">
      <c r="A2755" s="4" t="n">
        <v>129</v>
      </c>
      <c r="B2755" s="4" t="s">
        <v>3280</v>
      </c>
      <c r="C2755" s="4" t="s">
        <v>429</v>
      </c>
      <c r="D2755" s="4" t="s">
        <v>3466</v>
      </c>
      <c r="E2755" s="4"/>
      <c r="F2755" s="4" t="s">
        <v>38</v>
      </c>
    </row>
    <row r="2756" customFormat="false" ht="28.35" hidden="false" customHeight="false" outlineLevel="0" collapsed="false">
      <c r="A2756" s="4" t="n">
        <v>129</v>
      </c>
      <c r="B2756" s="4" t="s">
        <v>3280</v>
      </c>
      <c r="C2756" s="4" t="s">
        <v>431</v>
      </c>
      <c r="D2756" s="4" t="s">
        <v>3468</v>
      </c>
      <c r="E2756" s="4"/>
      <c r="F2756" s="4" t="s">
        <v>484</v>
      </c>
    </row>
    <row r="2757" customFormat="false" ht="28.35" hidden="false" customHeight="false" outlineLevel="0" collapsed="false">
      <c r="A2757" s="4" t="n">
        <v>129</v>
      </c>
      <c r="B2757" s="4" t="s">
        <v>3280</v>
      </c>
      <c r="C2757" s="4" t="s">
        <v>432</v>
      </c>
      <c r="D2757" s="4" t="s">
        <v>3469</v>
      </c>
      <c r="E2757" s="4"/>
      <c r="F2757" s="4" t="s">
        <v>664</v>
      </c>
    </row>
    <row r="2758" customFormat="false" ht="41.75" hidden="false" customHeight="false" outlineLevel="0" collapsed="false">
      <c r="A2758" s="4" t="n">
        <v>129</v>
      </c>
      <c r="B2758" s="4" t="s">
        <v>3280</v>
      </c>
      <c r="C2758" s="4" t="s">
        <v>433</v>
      </c>
      <c r="D2758" s="4" t="s">
        <v>3470</v>
      </c>
      <c r="E2758" s="4"/>
      <c r="F2758" s="4" t="s">
        <v>3304</v>
      </c>
    </row>
    <row r="2759" customFormat="false" ht="28.35" hidden="false" customHeight="false" outlineLevel="0" collapsed="false">
      <c r="A2759" s="4" t="n">
        <v>129</v>
      </c>
      <c r="B2759" s="4" t="s">
        <v>3280</v>
      </c>
      <c r="C2759" s="4" t="s">
        <v>434</v>
      </c>
      <c r="D2759" s="4" t="s">
        <v>3482</v>
      </c>
      <c r="E2759" s="4"/>
      <c r="F2759" s="4" t="s">
        <v>3305</v>
      </c>
    </row>
    <row r="2760" customFormat="false" ht="28.35" hidden="false" customHeight="false" outlineLevel="0" collapsed="false">
      <c r="A2760" s="4" t="n">
        <v>129</v>
      </c>
      <c r="B2760" s="4" t="s">
        <v>3280</v>
      </c>
      <c r="C2760" s="4" t="s">
        <v>435</v>
      </c>
      <c r="D2760" s="4" t="s">
        <v>3510</v>
      </c>
      <c r="E2760" s="4"/>
      <c r="F2760" s="4" t="s">
        <v>3306</v>
      </c>
    </row>
    <row r="2761" customFormat="false" ht="28.35" hidden="false" customHeight="false" outlineLevel="0" collapsed="false">
      <c r="A2761" s="4" t="n">
        <v>129</v>
      </c>
      <c r="B2761" s="4" t="s">
        <v>3280</v>
      </c>
      <c r="C2761" s="4" t="s">
        <v>436</v>
      </c>
      <c r="D2761" s="4" t="s">
        <v>3471</v>
      </c>
      <c r="E2761" s="4"/>
      <c r="F2761" s="4" t="s">
        <v>1525</v>
      </c>
    </row>
    <row r="2762" customFormat="false" ht="28.35" hidden="false" customHeight="false" outlineLevel="0" collapsed="false">
      <c r="A2762" s="4" t="n">
        <v>129</v>
      </c>
      <c r="B2762" s="4" t="s">
        <v>3280</v>
      </c>
      <c r="C2762" s="4" t="s">
        <v>438</v>
      </c>
      <c r="D2762" s="4" t="s">
        <v>3511</v>
      </c>
      <c r="E2762" s="4"/>
      <c r="F2762" s="4" t="s">
        <v>3307</v>
      </c>
    </row>
    <row r="2763" customFormat="false" ht="15" hidden="false" customHeight="false" outlineLevel="0" collapsed="false">
      <c r="A2763" s="4" t="n">
        <v>130</v>
      </c>
      <c r="B2763" s="4" t="s">
        <v>3308</v>
      </c>
      <c r="C2763" s="4" t="s">
        <v>427</v>
      </c>
      <c r="D2763" s="4" t="s">
        <v>3464</v>
      </c>
      <c r="E2763" s="4"/>
      <c r="F2763" s="4" t="s">
        <v>24</v>
      </c>
    </row>
    <row r="2764" customFormat="false" ht="15" hidden="false" customHeight="false" outlineLevel="0" collapsed="false">
      <c r="A2764" s="4" t="n">
        <v>130</v>
      </c>
      <c r="B2764" s="4" t="s">
        <v>3308</v>
      </c>
      <c r="C2764" s="4" t="s">
        <v>428</v>
      </c>
      <c r="D2764" s="4" t="s">
        <v>3465</v>
      </c>
      <c r="E2764" s="4"/>
      <c r="F2764" s="4" t="s">
        <v>31</v>
      </c>
    </row>
    <row r="2765" customFormat="false" ht="15" hidden="false" customHeight="false" outlineLevel="0" collapsed="false">
      <c r="A2765" s="4" t="n">
        <v>130</v>
      </c>
      <c r="B2765" s="4" t="s">
        <v>3308</v>
      </c>
      <c r="C2765" s="4" t="s">
        <v>429</v>
      </c>
      <c r="D2765" s="4" t="s">
        <v>3466</v>
      </c>
      <c r="E2765" s="4"/>
      <c r="F2765" s="4" t="s">
        <v>38</v>
      </c>
    </row>
    <row r="2766" customFormat="false" ht="15" hidden="false" customHeight="false" outlineLevel="0" collapsed="false">
      <c r="A2766" s="4" t="n">
        <v>130</v>
      </c>
      <c r="B2766" s="4" t="s">
        <v>3308</v>
      </c>
      <c r="C2766" s="4" t="s">
        <v>431</v>
      </c>
      <c r="D2766" s="4" t="s">
        <v>3468</v>
      </c>
      <c r="E2766" s="4"/>
      <c r="F2766" s="4" t="s">
        <v>484</v>
      </c>
    </row>
    <row r="2767" customFormat="false" ht="15" hidden="false" customHeight="false" outlineLevel="0" collapsed="false">
      <c r="A2767" s="4" t="n">
        <v>130</v>
      </c>
      <c r="B2767" s="4" t="s">
        <v>3308</v>
      </c>
      <c r="C2767" s="4" t="s">
        <v>432</v>
      </c>
      <c r="D2767" s="4" t="s">
        <v>3469</v>
      </c>
      <c r="E2767" s="4"/>
      <c r="F2767" s="4" t="s">
        <v>713</v>
      </c>
    </row>
    <row r="2768" customFormat="false" ht="41.75" hidden="false" customHeight="false" outlineLevel="0" collapsed="false">
      <c r="A2768" s="4" t="n">
        <v>130</v>
      </c>
      <c r="B2768" s="4" t="s">
        <v>3308</v>
      </c>
      <c r="C2768" s="4" t="s">
        <v>433</v>
      </c>
      <c r="D2768" s="4" t="s">
        <v>3470</v>
      </c>
      <c r="E2768" s="4"/>
      <c r="F2768" s="4" t="s">
        <v>3251</v>
      </c>
    </row>
    <row r="2769" customFormat="false" ht="15" hidden="false" customHeight="false" outlineLevel="0" collapsed="false">
      <c r="A2769" s="4" t="n">
        <v>130</v>
      </c>
      <c r="B2769" s="4" t="s">
        <v>3308</v>
      </c>
      <c r="C2769" s="4" t="s">
        <v>434</v>
      </c>
      <c r="D2769" s="4" t="s">
        <v>3482</v>
      </c>
      <c r="E2769" s="4"/>
      <c r="F2769" s="4" t="s">
        <v>666</v>
      </c>
    </row>
    <row r="2770" customFormat="false" ht="28.35" hidden="false" customHeight="false" outlineLevel="0" collapsed="false">
      <c r="A2770" s="4" t="n">
        <v>130</v>
      </c>
      <c r="B2770" s="4" t="s">
        <v>3308</v>
      </c>
      <c r="C2770" s="4" t="s">
        <v>435</v>
      </c>
      <c r="D2770" s="4" t="s">
        <v>3510</v>
      </c>
      <c r="E2770" s="4"/>
      <c r="F2770" s="4" t="s">
        <v>667</v>
      </c>
    </row>
    <row r="2771" customFormat="false" ht="15" hidden="false" customHeight="false" outlineLevel="0" collapsed="false">
      <c r="A2771" s="4" t="n">
        <v>130</v>
      </c>
      <c r="B2771" s="4" t="s">
        <v>3308</v>
      </c>
      <c r="C2771" s="4" t="s">
        <v>436</v>
      </c>
      <c r="D2771" s="4" t="s">
        <v>3471</v>
      </c>
      <c r="E2771" s="4"/>
      <c r="F2771" s="4" t="s">
        <v>1525</v>
      </c>
    </row>
    <row r="2772" customFormat="false" ht="122.35" hidden="false" customHeight="false" outlineLevel="0" collapsed="false">
      <c r="A2772" s="4" t="n">
        <v>130</v>
      </c>
      <c r="B2772" s="4" t="s">
        <v>3308</v>
      </c>
      <c r="C2772" s="4" t="s">
        <v>438</v>
      </c>
      <c r="D2772" s="4" t="s">
        <v>3511</v>
      </c>
      <c r="E2772" s="4"/>
      <c r="F2772" s="4" t="s">
        <v>3329</v>
      </c>
    </row>
    <row r="2773" customFormat="false" ht="15" hidden="false" customHeight="false" outlineLevel="0" collapsed="false">
      <c r="A2773" s="4" t="n">
        <v>131</v>
      </c>
      <c r="B2773" s="4" t="s">
        <v>3330</v>
      </c>
      <c r="C2773" s="4" t="s">
        <v>427</v>
      </c>
      <c r="D2773" s="4" t="s">
        <v>3464</v>
      </c>
      <c r="E2773" s="4"/>
      <c r="F2773" s="4" t="s">
        <v>24</v>
      </c>
    </row>
    <row r="2774" customFormat="false" ht="15" hidden="false" customHeight="false" outlineLevel="0" collapsed="false">
      <c r="A2774" s="4" t="n">
        <v>131</v>
      </c>
      <c r="B2774" s="4" t="s">
        <v>3330</v>
      </c>
      <c r="C2774" s="4" t="s">
        <v>428</v>
      </c>
      <c r="D2774" s="4" t="s">
        <v>3465</v>
      </c>
      <c r="E2774" s="4"/>
      <c r="F2774" s="4" t="s">
        <v>31</v>
      </c>
    </row>
    <row r="2775" customFormat="false" ht="15" hidden="false" customHeight="false" outlineLevel="0" collapsed="false">
      <c r="A2775" s="4" t="n">
        <v>131</v>
      </c>
      <c r="B2775" s="4" t="s">
        <v>3330</v>
      </c>
      <c r="C2775" s="4" t="s">
        <v>429</v>
      </c>
      <c r="D2775" s="4" t="s">
        <v>3466</v>
      </c>
      <c r="E2775" s="4"/>
      <c r="F2775" s="4" t="s">
        <v>38</v>
      </c>
    </row>
    <row r="2776" customFormat="false" ht="15" hidden="false" customHeight="false" outlineLevel="0" collapsed="false">
      <c r="A2776" s="4" t="n">
        <v>131</v>
      </c>
      <c r="B2776" s="4" t="s">
        <v>3330</v>
      </c>
      <c r="C2776" s="4" t="s">
        <v>431</v>
      </c>
      <c r="D2776" s="4" t="s">
        <v>3468</v>
      </c>
      <c r="E2776" s="4"/>
      <c r="F2776" s="4" t="s">
        <v>484</v>
      </c>
    </row>
    <row r="2777" customFormat="false" ht="15" hidden="false" customHeight="false" outlineLevel="0" collapsed="false">
      <c r="A2777" s="4" t="n">
        <v>131</v>
      </c>
      <c r="B2777" s="4" t="s">
        <v>3330</v>
      </c>
      <c r="C2777" s="4" t="s">
        <v>432</v>
      </c>
      <c r="D2777" s="4" t="s">
        <v>3469</v>
      </c>
      <c r="E2777" s="4"/>
      <c r="F2777" s="4" t="s">
        <v>713</v>
      </c>
    </row>
    <row r="2778" customFormat="false" ht="41.75" hidden="false" customHeight="false" outlineLevel="0" collapsed="false">
      <c r="A2778" s="4" t="n">
        <v>131</v>
      </c>
      <c r="B2778" s="4" t="s">
        <v>3330</v>
      </c>
      <c r="C2778" s="4" t="s">
        <v>433</v>
      </c>
      <c r="D2778" s="4" t="s">
        <v>3470</v>
      </c>
      <c r="E2778" s="4"/>
      <c r="F2778" s="4" t="s">
        <v>3350</v>
      </c>
    </row>
    <row r="2779" customFormat="false" ht="28.35" hidden="false" customHeight="false" outlineLevel="0" collapsed="false">
      <c r="A2779" s="4" t="n">
        <v>131</v>
      </c>
      <c r="B2779" s="4" t="s">
        <v>3330</v>
      </c>
      <c r="C2779" s="4" t="s">
        <v>434</v>
      </c>
      <c r="D2779" s="4" t="s">
        <v>3482</v>
      </c>
      <c r="E2779" s="4"/>
      <c r="F2779" s="4" t="s">
        <v>3276</v>
      </c>
    </row>
    <row r="2780" customFormat="false" ht="15" hidden="false" customHeight="false" outlineLevel="0" collapsed="false">
      <c r="A2780" s="4" t="n">
        <v>131</v>
      </c>
      <c r="B2780" s="4" t="s">
        <v>3330</v>
      </c>
      <c r="C2780" s="4" t="s">
        <v>435</v>
      </c>
      <c r="D2780" s="4" t="s">
        <v>3510</v>
      </c>
      <c r="E2780" s="4"/>
      <c r="F2780" s="4" t="s">
        <v>3351</v>
      </c>
    </row>
    <row r="2781" customFormat="false" ht="15" hidden="false" customHeight="false" outlineLevel="0" collapsed="false">
      <c r="A2781" s="4" t="n">
        <v>131</v>
      </c>
      <c r="B2781" s="4" t="s">
        <v>3330</v>
      </c>
      <c r="C2781" s="4" t="s">
        <v>436</v>
      </c>
      <c r="D2781" s="4" t="s">
        <v>3471</v>
      </c>
      <c r="E2781" s="4"/>
      <c r="F2781" s="4" t="s">
        <v>3352</v>
      </c>
    </row>
    <row r="2782" customFormat="false" ht="55.2" hidden="false" customHeight="false" outlineLevel="0" collapsed="false">
      <c r="A2782" s="4" t="n">
        <v>131</v>
      </c>
      <c r="B2782" s="4" t="s">
        <v>3330</v>
      </c>
      <c r="C2782" s="4" t="s">
        <v>438</v>
      </c>
      <c r="D2782" s="4" t="s">
        <v>3511</v>
      </c>
      <c r="E2782" s="4"/>
      <c r="F2782" s="4" t="s">
        <v>3353</v>
      </c>
    </row>
    <row r="2783" customFormat="false" ht="28.35" hidden="false" customHeight="false" outlineLevel="0" collapsed="false">
      <c r="A2783" s="4" t="n">
        <v>132</v>
      </c>
      <c r="B2783" s="4" t="s">
        <v>3354</v>
      </c>
      <c r="C2783" s="4" t="s">
        <v>427</v>
      </c>
      <c r="D2783" s="4" t="s">
        <v>3464</v>
      </c>
      <c r="E2783" s="4"/>
      <c r="F2783" s="4" t="s">
        <v>24</v>
      </c>
    </row>
    <row r="2784" customFormat="false" ht="28.35" hidden="false" customHeight="false" outlineLevel="0" collapsed="false">
      <c r="A2784" s="4" t="n">
        <v>132</v>
      </c>
      <c r="B2784" s="4" t="s">
        <v>3354</v>
      </c>
      <c r="C2784" s="4" t="s">
        <v>428</v>
      </c>
      <c r="D2784" s="4" t="s">
        <v>3465</v>
      </c>
      <c r="E2784" s="4"/>
      <c r="F2784" s="4" t="s">
        <v>31</v>
      </c>
    </row>
    <row r="2785" customFormat="false" ht="28.35" hidden="false" customHeight="false" outlineLevel="0" collapsed="false">
      <c r="A2785" s="4" t="n">
        <v>132</v>
      </c>
      <c r="B2785" s="4" t="s">
        <v>3354</v>
      </c>
      <c r="C2785" s="4" t="s">
        <v>429</v>
      </c>
      <c r="D2785" s="4" t="s">
        <v>3466</v>
      </c>
      <c r="E2785" s="4"/>
      <c r="F2785" s="4" t="s">
        <v>38</v>
      </c>
    </row>
    <row r="2786" customFormat="false" ht="28.35" hidden="false" customHeight="false" outlineLevel="0" collapsed="false">
      <c r="A2786" s="4" t="n">
        <v>132</v>
      </c>
      <c r="B2786" s="4" t="s">
        <v>3354</v>
      </c>
      <c r="C2786" s="4" t="s">
        <v>431</v>
      </c>
      <c r="D2786" s="4" t="s">
        <v>3468</v>
      </c>
      <c r="E2786" s="4"/>
      <c r="F2786" s="4" t="s">
        <v>484</v>
      </c>
    </row>
    <row r="2787" customFormat="false" ht="28.35" hidden="false" customHeight="false" outlineLevel="0" collapsed="false">
      <c r="A2787" s="4" t="n">
        <v>132</v>
      </c>
      <c r="B2787" s="4" t="s">
        <v>3354</v>
      </c>
      <c r="C2787" s="4" t="s">
        <v>432</v>
      </c>
      <c r="D2787" s="4" t="s">
        <v>3469</v>
      </c>
      <c r="E2787" s="4"/>
      <c r="F2787" s="4" t="s">
        <v>664</v>
      </c>
    </row>
    <row r="2788" customFormat="false" ht="41.75" hidden="false" customHeight="false" outlineLevel="0" collapsed="false">
      <c r="A2788" s="4" t="n">
        <v>132</v>
      </c>
      <c r="B2788" s="4" t="s">
        <v>3354</v>
      </c>
      <c r="C2788" s="4" t="s">
        <v>433</v>
      </c>
      <c r="D2788" s="4" t="s">
        <v>3470</v>
      </c>
      <c r="E2788" s="4"/>
      <c r="F2788" s="4" t="s">
        <v>3251</v>
      </c>
    </row>
    <row r="2789" customFormat="false" ht="28.35" hidden="false" customHeight="false" outlineLevel="0" collapsed="false">
      <c r="A2789" s="4" t="n">
        <v>132</v>
      </c>
      <c r="B2789" s="4" t="s">
        <v>3354</v>
      </c>
      <c r="C2789" s="4" t="s">
        <v>434</v>
      </c>
      <c r="D2789" s="4" t="s">
        <v>3482</v>
      </c>
      <c r="E2789" s="4"/>
      <c r="F2789" s="4" t="s">
        <v>666</v>
      </c>
    </row>
    <row r="2790" customFormat="false" ht="28.35" hidden="false" customHeight="false" outlineLevel="0" collapsed="false">
      <c r="A2790" s="4" t="n">
        <v>132</v>
      </c>
      <c r="B2790" s="4" t="s">
        <v>3354</v>
      </c>
      <c r="C2790" s="4" t="s">
        <v>435</v>
      </c>
      <c r="D2790" s="4" t="s">
        <v>3510</v>
      </c>
      <c r="E2790" s="4"/>
      <c r="F2790" s="4" t="s">
        <v>667</v>
      </c>
    </row>
    <row r="2791" customFormat="false" ht="28.35" hidden="false" customHeight="false" outlineLevel="0" collapsed="false">
      <c r="A2791" s="4" t="n">
        <v>132</v>
      </c>
      <c r="B2791" s="4" t="s">
        <v>3354</v>
      </c>
      <c r="C2791" s="4" t="s">
        <v>436</v>
      </c>
      <c r="D2791" s="4" t="s">
        <v>3471</v>
      </c>
      <c r="E2791" s="4"/>
      <c r="F2791" s="4" t="s">
        <v>3375</v>
      </c>
    </row>
    <row r="2792" customFormat="false" ht="135.8" hidden="false" customHeight="false" outlineLevel="0" collapsed="false">
      <c r="A2792" s="4" t="n">
        <v>132</v>
      </c>
      <c r="B2792" s="4" t="s">
        <v>3354</v>
      </c>
      <c r="C2792" s="4" t="s">
        <v>438</v>
      </c>
      <c r="D2792" s="4" t="s">
        <v>3511</v>
      </c>
      <c r="E2792" s="4"/>
      <c r="F2792" s="4" t="s">
        <v>3376</v>
      </c>
    </row>
    <row r="2793" customFormat="false" ht="15" hidden="false" customHeight="false" outlineLevel="0" collapsed="false">
      <c r="A2793" s="4" t="n">
        <v>133</v>
      </c>
      <c r="B2793" s="4" t="s">
        <v>3378</v>
      </c>
      <c r="C2793" s="4" t="s">
        <v>427</v>
      </c>
      <c r="D2793" s="4" t="s">
        <v>3464</v>
      </c>
      <c r="E2793" s="4"/>
      <c r="F2793" s="4" t="s">
        <v>24</v>
      </c>
    </row>
    <row r="2794" customFormat="false" ht="15" hidden="false" customHeight="false" outlineLevel="0" collapsed="false">
      <c r="A2794" s="4" t="n">
        <v>133</v>
      </c>
      <c r="B2794" s="4" t="s">
        <v>3378</v>
      </c>
      <c r="C2794" s="4" t="s">
        <v>428</v>
      </c>
      <c r="D2794" s="4" t="s">
        <v>3465</v>
      </c>
      <c r="E2794" s="4"/>
      <c r="F2794" s="4" t="s">
        <v>31</v>
      </c>
    </row>
    <row r="2795" customFormat="false" ht="15" hidden="false" customHeight="false" outlineLevel="0" collapsed="false">
      <c r="A2795" s="4" t="n">
        <v>133</v>
      </c>
      <c r="B2795" s="4" t="s">
        <v>3378</v>
      </c>
      <c r="C2795" s="4" t="s">
        <v>429</v>
      </c>
      <c r="D2795" s="4" t="s">
        <v>3466</v>
      </c>
      <c r="E2795" s="4"/>
      <c r="F2795" s="4" t="s">
        <v>39</v>
      </c>
    </row>
    <row r="2796" customFormat="false" ht="15" hidden="false" customHeight="false" outlineLevel="0" collapsed="false">
      <c r="A2796" s="4" t="n">
        <v>133</v>
      </c>
      <c r="B2796" s="4" t="s">
        <v>3378</v>
      </c>
      <c r="C2796" s="4" t="s">
        <v>431</v>
      </c>
      <c r="D2796" s="4" t="s">
        <v>3468</v>
      </c>
      <c r="E2796" s="4"/>
      <c r="F2796" s="4" t="s">
        <v>484</v>
      </c>
    </row>
    <row r="2797" customFormat="false" ht="15" hidden="false" customHeight="false" outlineLevel="0" collapsed="false">
      <c r="A2797" s="4" t="n">
        <v>133</v>
      </c>
      <c r="B2797" s="4" t="s">
        <v>3378</v>
      </c>
      <c r="C2797" s="4" t="s">
        <v>432</v>
      </c>
      <c r="D2797" s="4" t="s">
        <v>3469</v>
      </c>
      <c r="E2797" s="4"/>
      <c r="F2797" s="4" t="s">
        <v>485</v>
      </c>
    </row>
    <row r="2798" customFormat="false" ht="41.75" hidden="false" customHeight="false" outlineLevel="0" collapsed="false">
      <c r="A2798" s="4" t="n">
        <v>133</v>
      </c>
      <c r="B2798" s="4" t="s">
        <v>3378</v>
      </c>
      <c r="C2798" s="4" t="s">
        <v>433</v>
      </c>
      <c r="D2798" s="4" t="s">
        <v>3470</v>
      </c>
      <c r="E2798" s="4"/>
      <c r="F2798" s="4" t="s">
        <v>3401</v>
      </c>
    </row>
    <row r="2799" customFormat="false" ht="15" hidden="false" customHeight="false" outlineLevel="0" collapsed="false">
      <c r="A2799" s="4" t="n">
        <v>133</v>
      </c>
      <c r="B2799" s="4" t="s">
        <v>3378</v>
      </c>
      <c r="C2799" s="4" t="s">
        <v>434</v>
      </c>
      <c r="D2799" s="4" t="s">
        <v>3482</v>
      </c>
      <c r="E2799" s="4"/>
      <c r="F2799" s="4" t="s">
        <v>666</v>
      </c>
    </row>
    <row r="2800" customFormat="false" ht="15" hidden="false" customHeight="false" outlineLevel="0" collapsed="false">
      <c r="A2800" s="4" t="n">
        <v>133</v>
      </c>
      <c r="B2800" s="4" t="s">
        <v>3378</v>
      </c>
      <c r="C2800" s="4" t="s">
        <v>436</v>
      </c>
      <c r="D2800" s="4" t="s">
        <v>3471</v>
      </c>
      <c r="E2800" s="4"/>
      <c r="F2800" s="4" t="s">
        <v>3402</v>
      </c>
    </row>
    <row r="2801" customFormat="false" ht="28.35" hidden="false" customHeight="false" outlineLevel="0" collapsed="false">
      <c r="A2801" s="4" t="n">
        <v>133</v>
      </c>
      <c r="B2801" s="4" t="s">
        <v>3378</v>
      </c>
      <c r="C2801" s="4" t="s">
        <v>438</v>
      </c>
      <c r="D2801" s="4" t="s">
        <v>3511</v>
      </c>
      <c r="E2801" s="4"/>
      <c r="F2801" s="4" t="s">
        <v>3403</v>
      </c>
    </row>
    <row r="2802" customFormat="false" ht="28.35" hidden="false" customHeight="false" outlineLevel="0" collapsed="false">
      <c r="A2802" s="4" t="n">
        <v>134</v>
      </c>
      <c r="B2802" s="4" t="s">
        <v>3404</v>
      </c>
      <c r="C2802" s="4" t="s">
        <v>427</v>
      </c>
      <c r="D2802" s="4" t="s">
        <v>3464</v>
      </c>
      <c r="E2802" s="4"/>
      <c r="F2802" s="4" t="s">
        <v>24</v>
      </c>
    </row>
    <row r="2803" customFormat="false" ht="28.35" hidden="false" customHeight="false" outlineLevel="0" collapsed="false">
      <c r="A2803" s="4" t="n">
        <v>134</v>
      </c>
      <c r="B2803" s="4" t="s">
        <v>3404</v>
      </c>
      <c r="C2803" s="4" t="s">
        <v>428</v>
      </c>
      <c r="D2803" s="4" t="s">
        <v>3465</v>
      </c>
      <c r="E2803" s="4"/>
      <c r="F2803" s="4" t="s">
        <v>31</v>
      </c>
    </row>
    <row r="2804" customFormat="false" ht="28.35" hidden="false" customHeight="false" outlineLevel="0" collapsed="false">
      <c r="A2804" s="4" t="n">
        <v>134</v>
      </c>
      <c r="B2804" s="4" t="s">
        <v>3404</v>
      </c>
      <c r="C2804" s="4" t="s">
        <v>429</v>
      </c>
      <c r="D2804" s="4" t="s">
        <v>3466</v>
      </c>
      <c r="E2804" s="4"/>
      <c r="F2804" s="4" t="s">
        <v>39</v>
      </c>
    </row>
    <row r="2805" customFormat="false" ht="28.35" hidden="false" customHeight="false" outlineLevel="0" collapsed="false">
      <c r="A2805" s="4" t="n">
        <v>134</v>
      </c>
      <c r="B2805" s="4" t="s">
        <v>3404</v>
      </c>
      <c r="C2805" s="4" t="s">
        <v>431</v>
      </c>
      <c r="D2805" s="4" t="s">
        <v>3468</v>
      </c>
      <c r="E2805" s="4"/>
      <c r="F2805" s="4" t="s">
        <v>484</v>
      </c>
    </row>
    <row r="2806" customFormat="false" ht="28.35" hidden="false" customHeight="false" outlineLevel="0" collapsed="false">
      <c r="A2806" s="4" t="n">
        <v>134</v>
      </c>
      <c r="B2806" s="4" t="s">
        <v>3404</v>
      </c>
      <c r="C2806" s="4" t="s">
        <v>432</v>
      </c>
      <c r="D2806" s="4" t="s">
        <v>3469</v>
      </c>
      <c r="E2806" s="4"/>
      <c r="F2806" s="4" t="s">
        <v>485</v>
      </c>
    </row>
    <row r="2807" customFormat="false" ht="41.75" hidden="false" customHeight="false" outlineLevel="0" collapsed="false">
      <c r="A2807" s="4" t="n">
        <v>134</v>
      </c>
      <c r="B2807" s="4" t="s">
        <v>3404</v>
      </c>
      <c r="C2807" s="4" t="s">
        <v>433</v>
      </c>
      <c r="D2807" s="4" t="s">
        <v>3470</v>
      </c>
      <c r="E2807" s="4"/>
      <c r="F2807" s="4" t="s">
        <v>3401</v>
      </c>
    </row>
    <row r="2808" customFormat="false" ht="28.35" hidden="false" customHeight="false" outlineLevel="0" collapsed="false">
      <c r="A2808" s="4" t="n">
        <v>134</v>
      </c>
      <c r="B2808" s="4" t="s">
        <v>3404</v>
      </c>
      <c r="C2808" s="4" t="s">
        <v>434</v>
      </c>
      <c r="D2808" s="4" t="s">
        <v>3482</v>
      </c>
      <c r="E2808" s="4"/>
      <c r="F2808" s="4" t="s">
        <v>666</v>
      </c>
    </row>
    <row r="2809" customFormat="false" ht="28.35" hidden="false" customHeight="false" outlineLevel="0" collapsed="false">
      <c r="A2809" s="4" t="n">
        <v>134</v>
      </c>
      <c r="B2809" s="4" t="s">
        <v>3404</v>
      </c>
      <c r="C2809" s="4" t="s">
        <v>436</v>
      </c>
      <c r="D2809" s="4" t="s">
        <v>3471</v>
      </c>
      <c r="E2809" s="4"/>
      <c r="F2809" s="4" t="s">
        <v>3428</v>
      </c>
    </row>
    <row r="2810" customFormat="false" ht="95.5" hidden="false" customHeight="false" outlineLevel="0" collapsed="false">
      <c r="A2810" s="4" t="n">
        <v>134</v>
      </c>
      <c r="B2810" s="4" t="s">
        <v>3404</v>
      </c>
      <c r="C2810" s="4" t="s">
        <v>438</v>
      </c>
      <c r="D2810" s="4" t="s">
        <v>3511</v>
      </c>
      <c r="E2810" s="4"/>
      <c r="F2810" s="4" t="s">
        <v>3429</v>
      </c>
    </row>
    <row r="2811" customFormat="false" ht="28.35" hidden="false" customHeight="false" outlineLevel="0" collapsed="false">
      <c r="A2811" s="4" t="n">
        <v>135</v>
      </c>
      <c r="B2811" s="4" t="s">
        <v>3430</v>
      </c>
      <c r="C2811" s="4" t="s">
        <v>427</v>
      </c>
      <c r="D2811" s="4" t="s">
        <v>3464</v>
      </c>
      <c r="E2811" s="4"/>
      <c r="F2811" s="4" t="s">
        <v>24</v>
      </c>
    </row>
    <row r="2812" customFormat="false" ht="28.35" hidden="false" customHeight="false" outlineLevel="0" collapsed="false">
      <c r="A2812" s="4" t="n">
        <v>135</v>
      </c>
      <c r="B2812" s="4" t="s">
        <v>3430</v>
      </c>
      <c r="C2812" s="4" t="s">
        <v>428</v>
      </c>
      <c r="D2812" s="4" t="s">
        <v>3465</v>
      </c>
      <c r="E2812" s="4"/>
      <c r="F2812" s="4" t="s">
        <v>31</v>
      </c>
    </row>
    <row r="2813" customFormat="false" ht="28.35" hidden="false" customHeight="false" outlineLevel="0" collapsed="false">
      <c r="A2813" s="4" t="n">
        <v>135</v>
      </c>
      <c r="B2813" s="4" t="s">
        <v>3430</v>
      </c>
      <c r="C2813" s="4" t="s">
        <v>429</v>
      </c>
      <c r="D2813" s="4" t="s">
        <v>3466</v>
      </c>
      <c r="E2813" s="4"/>
      <c r="F2813" s="4" t="s">
        <v>39</v>
      </c>
    </row>
    <row r="2814" customFormat="false" ht="28.35" hidden="false" customHeight="false" outlineLevel="0" collapsed="false">
      <c r="A2814" s="4" t="n">
        <v>135</v>
      </c>
      <c r="B2814" s="4" t="s">
        <v>3430</v>
      </c>
      <c r="C2814" s="4" t="s">
        <v>431</v>
      </c>
      <c r="D2814" s="4" t="s">
        <v>3468</v>
      </c>
      <c r="E2814" s="4"/>
      <c r="F2814" s="4" t="s">
        <v>484</v>
      </c>
    </row>
    <row r="2815" customFormat="false" ht="28.35" hidden="false" customHeight="false" outlineLevel="0" collapsed="false">
      <c r="A2815" s="4" t="n">
        <v>135</v>
      </c>
      <c r="B2815" s="4" t="s">
        <v>3430</v>
      </c>
      <c r="C2815" s="4" t="s">
        <v>432</v>
      </c>
      <c r="D2815" s="4" t="s">
        <v>3469</v>
      </c>
      <c r="E2815" s="4"/>
      <c r="F2815" s="4" t="s">
        <v>485</v>
      </c>
    </row>
    <row r="2816" customFormat="false" ht="41.75" hidden="false" customHeight="false" outlineLevel="0" collapsed="false">
      <c r="A2816" s="4" t="n">
        <v>135</v>
      </c>
      <c r="B2816" s="4" t="s">
        <v>3430</v>
      </c>
      <c r="C2816" s="4" t="s">
        <v>433</v>
      </c>
      <c r="D2816" s="4" t="s">
        <v>3470</v>
      </c>
      <c r="E2816" s="4"/>
      <c r="F2816" s="4" t="s">
        <v>3454</v>
      </c>
    </row>
    <row r="2817" customFormat="false" ht="28.35" hidden="false" customHeight="false" outlineLevel="0" collapsed="false">
      <c r="A2817" s="4" t="n">
        <v>135</v>
      </c>
      <c r="B2817" s="4" t="s">
        <v>3430</v>
      </c>
      <c r="C2817" s="4" t="s">
        <v>434</v>
      </c>
      <c r="D2817" s="4" t="s">
        <v>3482</v>
      </c>
      <c r="E2817" s="4"/>
      <c r="F2817" s="4" t="s">
        <v>3455</v>
      </c>
    </row>
    <row r="2818" customFormat="false" ht="28.35" hidden="false" customHeight="false" outlineLevel="0" collapsed="false">
      <c r="A2818" s="4" t="n">
        <v>135</v>
      </c>
      <c r="B2818" s="4" t="s">
        <v>3430</v>
      </c>
      <c r="C2818" s="4" t="s">
        <v>436</v>
      </c>
      <c r="D2818" s="4" t="s">
        <v>3471</v>
      </c>
      <c r="E2818" s="4"/>
      <c r="F2818" s="4" t="s">
        <v>3456</v>
      </c>
    </row>
    <row r="2819" customFormat="false" ht="95.5" hidden="false" customHeight="false" outlineLevel="0" collapsed="false">
      <c r="A2819" s="4" t="n">
        <v>135</v>
      </c>
      <c r="B2819" s="4" t="s">
        <v>3430</v>
      </c>
      <c r="C2819" s="4" t="s">
        <v>438</v>
      </c>
      <c r="D2819" s="4" t="s">
        <v>3511</v>
      </c>
      <c r="E2819" s="4"/>
      <c r="F2819" s="4" t="s">
        <v>3457</v>
      </c>
    </row>
  </sheetData>
  <autoFilter ref="A1:F28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6"/>
    <col collapsed="false" customWidth="true" hidden="false" outlineLevel="0" max="4" min="4" style="0" width="10"/>
    <col collapsed="false" customWidth="true" hidden="false" outlineLevel="0" max="5" min="5" style="0" width="90"/>
    <col collapsed="false" customWidth="true" hidden="false" outlineLevel="0" max="6" min="6" style="0" width="70"/>
  </cols>
  <sheetData>
    <row r="1" customFormat="false" ht="15" hidden="false" customHeight="false" outlineLevel="0" collapsed="false">
      <c r="A1" s="29" t="s">
        <v>355</v>
      </c>
      <c r="B1" s="29" t="s">
        <v>359</v>
      </c>
      <c r="C1" s="29" t="s">
        <v>357</v>
      </c>
      <c r="D1" s="29" t="s">
        <v>3767</v>
      </c>
      <c r="E1" s="29" t="s">
        <v>3768</v>
      </c>
      <c r="F1" s="29" t="s">
        <v>3769</v>
      </c>
    </row>
    <row r="2" customFormat="false" ht="28.35" hidden="false" customHeight="false" outlineLevel="0" collapsed="false">
      <c r="A2" s="4" t="n">
        <v>1</v>
      </c>
      <c r="B2" s="4" t="s">
        <v>454</v>
      </c>
      <c r="C2" s="4" t="s">
        <v>452</v>
      </c>
      <c r="D2" s="4" t="n">
        <v>9</v>
      </c>
      <c r="E2" s="4"/>
      <c r="F2" s="4"/>
    </row>
    <row r="3" customFormat="false" ht="297" hidden="false" customHeight="false" outlineLevel="0" collapsed="false">
      <c r="A3" s="4" t="n">
        <v>2</v>
      </c>
      <c r="B3" s="4" t="s">
        <v>487</v>
      </c>
      <c r="C3" s="4" t="s">
        <v>452</v>
      </c>
      <c r="D3" s="4" t="n">
        <v>16</v>
      </c>
      <c r="E3" s="4" t="s">
        <v>3770</v>
      </c>
      <c r="F3" s="4" t="s">
        <v>3771</v>
      </c>
    </row>
    <row r="4" customFormat="false" ht="189.55" hidden="false" customHeight="false" outlineLevel="0" collapsed="false">
      <c r="A4" s="4" t="n">
        <v>3</v>
      </c>
      <c r="B4" s="4" t="s">
        <v>528</v>
      </c>
      <c r="C4" s="4" t="s">
        <v>452</v>
      </c>
      <c r="D4" s="4" t="n">
        <v>15</v>
      </c>
      <c r="E4" s="4" t="s">
        <v>3772</v>
      </c>
      <c r="F4" s="4" t="s">
        <v>3773</v>
      </c>
    </row>
    <row r="5" customFormat="false" ht="135.8" hidden="false" customHeight="false" outlineLevel="0" collapsed="false">
      <c r="A5" s="4" t="n">
        <v>4</v>
      </c>
      <c r="B5" s="4" t="s">
        <v>548</v>
      </c>
      <c r="C5" s="4" t="s">
        <v>452</v>
      </c>
      <c r="D5" s="4" t="n">
        <v>18</v>
      </c>
      <c r="E5" s="4" t="s">
        <v>3774</v>
      </c>
      <c r="F5" s="4" t="s">
        <v>3775</v>
      </c>
    </row>
    <row r="6" customFormat="false" ht="216.4" hidden="false" customHeight="false" outlineLevel="0" collapsed="false">
      <c r="A6" s="4" t="n">
        <v>5</v>
      </c>
      <c r="B6" s="4" t="s">
        <v>572</v>
      </c>
      <c r="C6" s="4" t="s">
        <v>452</v>
      </c>
      <c r="D6" s="4" t="n">
        <v>10</v>
      </c>
      <c r="E6" s="4" t="s">
        <v>3776</v>
      </c>
      <c r="F6" s="4" t="s">
        <v>3777</v>
      </c>
    </row>
    <row r="7" customFormat="false" ht="135.8" hidden="false" customHeight="false" outlineLevel="0" collapsed="false">
      <c r="A7" s="4" t="n">
        <v>6</v>
      </c>
      <c r="B7" s="4" t="s">
        <v>96</v>
      </c>
      <c r="C7" s="4" t="s">
        <v>452</v>
      </c>
      <c r="D7" s="4" t="n">
        <v>33</v>
      </c>
      <c r="E7" s="4" t="s">
        <v>3778</v>
      </c>
      <c r="F7" s="4" t="s">
        <v>3779</v>
      </c>
    </row>
    <row r="8" customFormat="false" ht="176.1" hidden="false" customHeight="false" outlineLevel="0" collapsed="false">
      <c r="A8" s="4" t="n">
        <v>7</v>
      </c>
      <c r="B8" s="4" t="s">
        <v>243</v>
      </c>
      <c r="C8" s="4" t="s">
        <v>452</v>
      </c>
      <c r="D8" s="4" t="n">
        <v>18</v>
      </c>
      <c r="E8" s="4" t="s">
        <v>3780</v>
      </c>
      <c r="F8" s="4" t="s">
        <v>3781</v>
      </c>
    </row>
    <row r="9" customFormat="false" ht="82.05" hidden="false" customHeight="false" outlineLevel="0" collapsed="false">
      <c r="A9" s="4" t="n">
        <v>8</v>
      </c>
      <c r="B9" s="4" t="s">
        <v>298</v>
      </c>
      <c r="C9" s="4" t="s">
        <v>452</v>
      </c>
      <c r="D9" s="4" t="n">
        <v>20</v>
      </c>
      <c r="E9" s="4" t="s">
        <v>3782</v>
      </c>
      <c r="F9" s="4" t="s">
        <v>3783</v>
      </c>
    </row>
    <row r="10" customFormat="false" ht="68.65" hidden="false" customHeight="false" outlineLevel="0" collapsed="false">
      <c r="A10" s="4" t="n">
        <v>9</v>
      </c>
      <c r="B10" s="4" t="s">
        <v>669</v>
      </c>
      <c r="C10" s="4" t="s">
        <v>452</v>
      </c>
      <c r="D10" s="4" t="n">
        <v>18</v>
      </c>
      <c r="E10" s="4" t="s">
        <v>3784</v>
      </c>
      <c r="F10" s="4" t="s">
        <v>3785</v>
      </c>
    </row>
    <row r="11" customFormat="false" ht="68.65" hidden="false" customHeight="false" outlineLevel="0" collapsed="false">
      <c r="A11" s="4" t="n">
        <v>10</v>
      </c>
      <c r="B11" s="4" t="s">
        <v>692</v>
      </c>
      <c r="C11" s="4" t="s">
        <v>452</v>
      </c>
      <c r="D11" s="4" t="n">
        <v>18</v>
      </c>
      <c r="E11" s="4" t="s">
        <v>3786</v>
      </c>
      <c r="F11" s="4" t="s">
        <v>3787</v>
      </c>
    </row>
    <row r="12" customFormat="false" ht="55.2" hidden="false" customHeight="false" outlineLevel="0" collapsed="false">
      <c r="A12" s="4" t="n">
        <v>11</v>
      </c>
      <c r="B12" s="4" t="s">
        <v>716</v>
      </c>
      <c r="C12" s="4" t="s">
        <v>452</v>
      </c>
      <c r="D12" s="4" t="n">
        <v>17</v>
      </c>
      <c r="E12" s="4" t="s">
        <v>3788</v>
      </c>
      <c r="F12" s="4" t="s">
        <v>3789</v>
      </c>
    </row>
    <row r="13" customFormat="false" ht="55.2" hidden="false" customHeight="false" outlineLevel="0" collapsed="false">
      <c r="A13" s="4" t="n">
        <v>12</v>
      </c>
      <c r="B13" s="4" t="s">
        <v>736</v>
      </c>
      <c r="C13" s="4" t="s">
        <v>452</v>
      </c>
      <c r="D13" s="4" t="n">
        <v>18</v>
      </c>
      <c r="E13" s="4" t="s">
        <v>3790</v>
      </c>
      <c r="F13" s="4" t="s">
        <v>3791</v>
      </c>
    </row>
    <row r="14" customFormat="false" ht="68.65" hidden="false" customHeight="false" outlineLevel="0" collapsed="false">
      <c r="A14" s="4" t="n">
        <v>13</v>
      </c>
      <c r="B14" s="4" t="s">
        <v>333</v>
      </c>
      <c r="C14" s="4" t="s">
        <v>452</v>
      </c>
      <c r="D14" s="4" t="n">
        <v>20</v>
      </c>
      <c r="E14" s="4" t="s">
        <v>3792</v>
      </c>
      <c r="F14" s="4" t="s">
        <v>3793</v>
      </c>
    </row>
    <row r="15" customFormat="false" ht="364.15" hidden="false" customHeight="false" outlineLevel="0" collapsed="false">
      <c r="A15" s="4" t="n">
        <v>14</v>
      </c>
      <c r="B15" s="4" t="s">
        <v>775</v>
      </c>
      <c r="C15" s="4" t="s">
        <v>452</v>
      </c>
      <c r="D15" s="4" t="n">
        <v>30</v>
      </c>
      <c r="E15" s="4" t="s">
        <v>3794</v>
      </c>
      <c r="F15" s="4" t="s">
        <v>3795</v>
      </c>
    </row>
    <row r="16" customFormat="false" ht="55.2" hidden="false" customHeight="false" outlineLevel="0" collapsed="false">
      <c r="A16" s="4" t="n">
        <v>15</v>
      </c>
      <c r="B16" s="4" t="s">
        <v>805</v>
      </c>
      <c r="C16" s="4" t="s">
        <v>452</v>
      </c>
      <c r="D16" s="4" t="n">
        <v>18</v>
      </c>
      <c r="E16" s="4" t="s">
        <v>3796</v>
      </c>
      <c r="F16" s="4" t="s">
        <v>3797</v>
      </c>
    </row>
    <row r="17" customFormat="false" ht="122.35" hidden="false" customHeight="false" outlineLevel="0" collapsed="false">
      <c r="A17" s="4" t="n">
        <v>16</v>
      </c>
      <c r="B17" s="4" t="s">
        <v>828</v>
      </c>
      <c r="C17" s="4" t="s">
        <v>452</v>
      </c>
      <c r="D17" s="4" t="n">
        <v>22</v>
      </c>
      <c r="E17" s="4" t="s">
        <v>3798</v>
      </c>
      <c r="F17" s="4" t="s">
        <v>3799</v>
      </c>
    </row>
    <row r="18" customFormat="false" ht="55.2" hidden="false" customHeight="false" outlineLevel="0" collapsed="false">
      <c r="A18" s="4" t="n">
        <v>17</v>
      </c>
      <c r="B18" s="4" t="s">
        <v>851</v>
      </c>
      <c r="C18" s="4" t="s">
        <v>452</v>
      </c>
      <c r="D18" s="4" t="n">
        <v>18</v>
      </c>
      <c r="E18" s="4" t="s">
        <v>3800</v>
      </c>
      <c r="F18" s="4" t="s">
        <v>3801</v>
      </c>
    </row>
    <row r="19" customFormat="false" ht="55.2" hidden="false" customHeight="false" outlineLevel="0" collapsed="false">
      <c r="A19" s="4" t="n">
        <v>18</v>
      </c>
      <c r="B19" s="4" t="s">
        <v>870</v>
      </c>
      <c r="C19" s="4" t="s">
        <v>452</v>
      </c>
      <c r="D19" s="4" t="n">
        <v>18</v>
      </c>
      <c r="E19" s="4" t="s">
        <v>3802</v>
      </c>
      <c r="F19" s="4" t="s">
        <v>3803</v>
      </c>
    </row>
    <row r="20" customFormat="false" ht="55.2" hidden="false" customHeight="false" outlineLevel="0" collapsed="false">
      <c r="A20" s="4" t="n">
        <v>19</v>
      </c>
      <c r="B20" s="4" t="s">
        <v>888</v>
      </c>
      <c r="C20" s="4" t="s">
        <v>452</v>
      </c>
      <c r="D20" s="4" t="n">
        <v>18</v>
      </c>
      <c r="E20" s="4" t="s">
        <v>3804</v>
      </c>
      <c r="F20" s="4" t="s">
        <v>3805</v>
      </c>
    </row>
    <row r="21" customFormat="false" ht="68.65" hidden="false" customHeight="false" outlineLevel="0" collapsed="false">
      <c r="A21" s="4" t="n">
        <v>20</v>
      </c>
      <c r="B21" s="4" t="s">
        <v>910</v>
      </c>
      <c r="C21" s="4" t="s">
        <v>452</v>
      </c>
      <c r="D21" s="4" t="n">
        <v>18</v>
      </c>
      <c r="E21" s="4" t="s">
        <v>3806</v>
      </c>
      <c r="F21" s="4" t="s">
        <v>3807</v>
      </c>
    </row>
    <row r="22" customFormat="false" ht="55.2" hidden="false" customHeight="false" outlineLevel="0" collapsed="false">
      <c r="A22" s="4" t="n">
        <v>21</v>
      </c>
      <c r="B22" s="4" t="s">
        <v>927</v>
      </c>
      <c r="C22" s="4" t="s">
        <v>452</v>
      </c>
      <c r="D22" s="4" t="n">
        <v>18</v>
      </c>
      <c r="E22" s="4" t="s">
        <v>3808</v>
      </c>
      <c r="F22" s="4" t="s">
        <v>3809</v>
      </c>
    </row>
    <row r="23" customFormat="false" ht="229.85" hidden="false" customHeight="false" outlineLevel="0" collapsed="false">
      <c r="A23" s="4" t="n">
        <v>22</v>
      </c>
      <c r="B23" s="4" t="s">
        <v>952</v>
      </c>
      <c r="C23" s="4" t="s">
        <v>452</v>
      </c>
      <c r="D23" s="4" t="n">
        <v>46</v>
      </c>
      <c r="E23" s="4" t="s">
        <v>3810</v>
      </c>
      <c r="F23" s="4" t="s">
        <v>3811</v>
      </c>
    </row>
    <row r="24" customFormat="false" ht="202.95" hidden="false" customHeight="false" outlineLevel="0" collapsed="false">
      <c r="A24" s="4" t="n">
        <v>23</v>
      </c>
      <c r="B24" s="4" t="s">
        <v>990</v>
      </c>
      <c r="C24" s="4" t="s">
        <v>452</v>
      </c>
      <c r="D24" s="4" t="n">
        <v>19</v>
      </c>
      <c r="E24" s="4" t="s">
        <v>3812</v>
      </c>
      <c r="F24" s="4" t="s">
        <v>3813</v>
      </c>
    </row>
    <row r="25" customFormat="false" ht="122.35" hidden="false" customHeight="false" outlineLevel="0" collapsed="false">
      <c r="A25" s="4" t="n">
        <v>24</v>
      </c>
      <c r="B25" s="4" t="s">
        <v>121</v>
      </c>
      <c r="C25" s="4" t="s">
        <v>452</v>
      </c>
      <c r="D25" s="4" t="n">
        <v>10</v>
      </c>
      <c r="E25" s="4" t="s">
        <v>3814</v>
      </c>
      <c r="F25" s="4" t="s">
        <v>3815</v>
      </c>
    </row>
    <row r="26" customFormat="false" ht="15" hidden="false" customHeight="false" outlineLevel="0" collapsed="false">
      <c r="A26" s="4" t="n">
        <v>25</v>
      </c>
      <c r="B26" s="4" t="s">
        <v>1044</v>
      </c>
      <c r="C26" s="4" t="s">
        <v>452</v>
      </c>
      <c r="D26" s="4" t="n">
        <v>9</v>
      </c>
      <c r="E26" s="4"/>
      <c r="F26" s="4"/>
    </row>
    <row r="27" customFormat="false" ht="15" hidden="false" customHeight="false" outlineLevel="0" collapsed="false">
      <c r="A27" s="4" t="n">
        <v>26</v>
      </c>
      <c r="B27" s="4" t="s">
        <v>1065</v>
      </c>
      <c r="C27" s="4" t="s">
        <v>452</v>
      </c>
      <c r="D27" s="4" t="n">
        <v>7</v>
      </c>
      <c r="E27" s="4"/>
      <c r="F27" s="4"/>
    </row>
    <row r="28" customFormat="false" ht="108.95" hidden="false" customHeight="false" outlineLevel="0" collapsed="false">
      <c r="A28" s="4" t="n">
        <v>27</v>
      </c>
      <c r="B28" s="4" t="s">
        <v>1082</v>
      </c>
      <c r="C28" s="4" t="s">
        <v>452</v>
      </c>
      <c r="D28" s="4" t="n">
        <v>9</v>
      </c>
      <c r="E28" s="4" t="s">
        <v>3816</v>
      </c>
      <c r="F28" s="4" t="s">
        <v>3817</v>
      </c>
    </row>
    <row r="29" customFormat="false" ht="162.65" hidden="false" customHeight="false" outlineLevel="0" collapsed="false">
      <c r="A29" s="4" t="n">
        <v>28</v>
      </c>
      <c r="B29" s="4" t="s">
        <v>1106</v>
      </c>
      <c r="C29" s="4" t="s">
        <v>452</v>
      </c>
      <c r="D29" s="4" t="n">
        <v>16</v>
      </c>
      <c r="E29" s="4" t="s">
        <v>3818</v>
      </c>
      <c r="F29" s="4" t="s">
        <v>3819</v>
      </c>
    </row>
    <row r="30" customFormat="false" ht="82.05" hidden="false" customHeight="false" outlineLevel="0" collapsed="false">
      <c r="A30" s="4" t="n">
        <v>29</v>
      </c>
      <c r="B30" s="4" t="s">
        <v>1128</v>
      </c>
      <c r="C30" s="4" t="s">
        <v>452</v>
      </c>
      <c r="D30" s="4" t="n">
        <v>18</v>
      </c>
      <c r="E30" s="4" t="s">
        <v>3820</v>
      </c>
      <c r="F30" s="4" t="s">
        <v>3821</v>
      </c>
    </row>
    <row r="31" customFormat="false" ht="162.65" hidden="false" customHeight="false" outlineLevel="0" collapsed="false">
      <c r="A31" s="4" t="n">
        <v>30</v>
      </c>
      <c r="B31" s="4" t="s">
        <v>1146</v>
      </c>
      <c r="C31" s="4" t="s">
        <v>452</v>
      </c>
      <c r="D31" s="4" t="n">
        <v>25</v>
      </c>
      <c r="E31" s="4" t="s">
        <v>3822</v>
      </c>
      <c r="F31" s="4" t="s">
        <v>3823</v>
      </c>
    </row>
    <row r="32" customFormat="false" ht="122.35" hidden="false" customHeight="false" outlineLevel="0" collapsed="false">
      <c r="A32" s="4" t="n">
        <v>31</v>
      </c>
      <c r="B32" s="4" t="s">
        <v>258</v>
      </c>
      <c r="C32" s="4" t="s">
        <v>452</v>
      </c>
      <c r="D32" s="4" t="n">
        <v>11</v>
      </c>
      <c r="E32" s="4" t="s">
        <v>3824</v>
      </c>
      <c r="F32" s="4" t="s">
        <v>3825</v>
      </c>
    </row>
    <row r="33" customFormat="false" ht="162.65" hidden="false" customHeight="false" outlineLevel="0" collapsed="false">
      <c r="A33" s="4" t="n">
        <v>32</v>
      </c>
      <c r="B33" s="4" t="s">
        <v>1192</v>
      </c>
      <c r="C33" s="4" t="s">
        <v>452</v>
      </c>
      <c r="D33" s="4" t="n">
        <v>17</v>
      </c>
      <c r="E33" s="4" t="s">
        <v>3826</v>
      </c>
      <c r="F33" s="4" t="s">
        <v>3827</v>
      </c>
    </row>
    <row r="34" customFormat="false" ht="189.55" hidden="false" customHeight="false" outlineLevel="0" collapsed="false">
      <c r="A34" s="4" t="n">
        <v>33</v>
      </c>
      <c r="B34" s="4" t="s">
        <v>1210</v>
      </c>
      <c r="C34" s="4" t="s">
        <v>452</v>
      </c>
      <c r="D34" s="4" t="n">
        <v>24</v>
      </c>
      <c r="E34" s="4" t="s">
        <v>3828</v>
      </c>
      <c r="F34" s="4" t="s">
        <v>3829</v>
      </c>
    </row>
    <row r="35" customFormat="false" ht="162.65" hidden="false" customHeight="false" outlineLevel="0" collapsed="false">
      <c r="A35" s="4" t="n">
        <v>34</v>
      </c>
      <c r="B35" s="4" t="s">
        <v>1229</v>
      </c>
      <c r="C35" s="4" t="s">
        <v>452</v>
      </c>
      <c r="D35" s="4" t="n">
        <v>19</v>
      </c>
      <c r="E35" s="4" t="s">
        <v>3830</v>
      </c>
      <c r="F35" s="4" t="s">
        <v>3831</v>
      </c>
    </row>
    <row r="36" customFormat="false" ht="135.8" hidden="false" customHeight="false" outlineLevel="0" collapsed="false">
      <c r="A36" s="4" t="n">
        <v>35</v>
      </c>
      <c r="B36" s="4" t="s">
        <v>1247</v>
      </c>
      <c r="C36" s="4" t="s">
        <v>452</v>
      </c>
      <c r="D36" s="4" t="n">
        <v>25</v>
      </c>
      <c r="E36" s="4" t="s">
        <v>3832</v>
      </c>
      <c r="F36" s="4" t="s">
        <v>3833</v>
      </c>
    </row>
    <row r="37" customFormat="false" ht="95.5" hidden="false" customHeight="false" outlineLevel="0" collapsed="false">
      <c r="A37" s="4" t="n">
        <v>36</v>
      </c>
      <c r="B37" s="4" t="s">
        <v>1267</v>
      </c>
      <c r="C37" s="4" t="s">
        <v>452</v>
      </c>
      <c r="D37" s="4" t="n">
        <v>9</v>
      </c>
      <c r="E37" s="4" t="s">
        <v>3834</v>
      </c>
      <c r="F37" s="4" t="s">
        <v>3835</v>
      </c>
    </row>
    <row r="38" customFormat="false" ht="122.35" hidden="false" customHeight="false" outlineLevel="0" collapsed="false">
      <c r="A38" s="4" t="n">
        <v>37</v>
      </c>
      <c r="B38" s="4" t="s">
        <v>1286</v>
      </c>
      <c r="C38" s="4" t="s">
        <v>452</v>
      </c>
      <c r="D38" s="4" t="n">
        <v>16</v>
      </c>
      <c r="E38" s="4" t="s">
        <v>3836</v>
      </c>
      <c r="F38" s="4" t="s">
        <v>3837</v>
      </c>
    </row>
    <row r="39" customFormat="false" ht="108.95" hidden="false" customHeight="false" outlineLevel="0" collapsed="false">
      <c r="A39" s="4" t="n">
        <v>38</v>
      </c>
      <c r="B39" s="4" t="s">
        <v>1309</v>
      </c>
      <c r="C39" s="4" t="s">
        <v>452</v>
      </c>
      <c r="D39" s="4" t="n">
        <v>16</v>
      </c>
      <c r="E39" s="4" t="s">
        <v>3838</v>
      </c>
      <c r="F39" s="4" t="s">
        <v>3839</v>
      </c>
    </row>
    <row r="40" customFormat="false" ht="108.95" hidden="false" customHeight="false" outlineLevel="0" collapsed="false">
      <c r="A40" s="4" t="n">
        <v>39</v>
      </c>
      <c r="B40" s="4" t="s">
        <v>1314</v>
      </c>
      <c r="C40" s="4" t="s">
        <v>452</v>
      </c>
      <c r="D40" s="4" t="n">
        <v>15</v>
      </c>
      <c r="E40" s="4" t="s">
        <v>3840</v>
      </c>
      <c r="F40" s="4" t="s">
        <v>3841</v>
      </c>
    </row>
    <row r="41" customFormat="false" ht="122.35" hidden="false" customHeight="false" outlineLevel="0" collapsed="false">
      <c r="A41" s="4" t="n">
        <v>40</v>
      </c>
      <c r="B41" s="4" t="s">
        <v>1334</v>
      </c>
      <c r="C41" s="4" t="s">
        <v>452</v>
      </c>
      <c r="D41" s="4" t="n">
        <v>16</v>
      </c>
      <c r="E41" s="4" t="s">
        <v>3842</v>
      </c>
      <c r="F41" s="4" t="s">
        <v>3843</v>
      </c>
    </row>
    <row r="42" customFormat="false" ht="256.7" hidden="false" customHeight="false" outlineLevel="0" collapsed="false">
      <c r="A42" s="4" t="n">
        <v>41</v>
      </c>
      <c r="B42" s="4" t="s">
        <v>1357</v>
      </c>
      <c r="C42" s="4" t="s">
        <v>452</v>
      </c>
      <c r="D42" s="4" t="n">
        <v>21</v>
      </c>
      <c r="E42" s="4" t="s">
        <v>3844</v>
      </c>
      <c r="F42" s="4" t="s">
        <v>3845</v>
      </c>
    </row>
    <row r="43" customFormat="false" ht="310.4" hidden="false" customHeight="false" outlineLevel="0" collapsed="false">
      <c r="A43" s="4" t="n">
        <v>42</v>
      </c>
      <c r="B43" s="4" t="s">
        <v>202</v>
      </c>
      <c r="C43" s="4" t="s">
        <v>452</v>
      </c>
      <c r="D43" s="4" t="n">
        <v>20</v>
      </c>
      <c r="E43" s="4" t="s">
        <v>3846</v>
      </c>
      <c r="F43" s="4" t="s">
        <v>3847</v>
      </c>
    </row>
    <row r="44" customFormat="false" ht="256.7" hidden="false" customHeight="false" outlineLevel="0" collapsed="false">
      <c r="A44" s="4" t="n">
        <v>43</v>
      </c>
      <c r="B44" s="4" t="s">
        <v>1398</v>
      </c>
      <c r="C44" s="4" t="s">
        <v>452</v>
      </c>
      <c r="D44" s="4" t="n">
        <v>34</v>
      </c>
      <c r="E44" s="4" t="s">
        <v>3848</v>
      </c>
      <c r="F44" s="4" t="s">
        <v>3849</v>
      </c>
    </row>
    <row r="45" customFormat="false" ht="189.55" hidden="false" customHeight="false" outlineLevel="0" collapsed="false">
      <c r="A45" s="4" t="n">
        <v>44</v>
      </c>
      <c r="B45" s="4" t="s">
        <v>1429</v>
      </c>
      <c r="C45" s="4" t="s">
        <v>452</v>
      </c>
      <c r="D45" s="4" t="n">
        <v>12</v>
      </c>
      <c r="E45" s="4" t="s">
        <v>3850</v>
      </c>
      <c r="F45" s="4" t="s">
        <v>3851</v>
      </c>
    </row>
    <row r="46" customFormat="false" ht="149.25" hidden="false" customHeight="false" outlineLevel="0" collapsed="false">
      <c r="A46" s="4" t="n">
        <v>45</v>
      </c>
      <c r="B46" s="4" t="s">
        <v>165</v>
      </c>
      <c r="C46" s="4" t="s">
        <v>452</v>
      </c>
      <c r="D46" s="4" t="n">
        <v>14</v>
      </c>
      <c r="E46" s="4" t="s">
        <v>3852</v>
      </c>
      <c r="F46" s="4" t="s">
        <v>3853</v>
      </c>
    </row>
    <row r="47" customFormat="false" ht="135.8" hidden="false" customHeight="false" outlineLevel="0" collapsed="false">
      <c r="A47" s="4" t="n">
        <v>46</v>
      </c>
      <c r="B47" s="4" t="s">
        <v>249</v>
      </c>
      <c r="C47" s="4" t="s">
        <v>452</v>
      </c>
      <c r="D47" s="4" t="n">
        <v>14</v>
      </c>
      <c r="E47" s="4" t="s">
        <v>3854</v>
      </c>
      <c r="F47" s="4" t="s">
        <v>3855</v>
      </c>
    </row>
    <row r="48" customFormat="false" ht="122.35" hidden="false" customHeight="false" outlineLevel="0" collapsed="false">
      <c r="A48" s="4" t="n">
        <v>47</v>
      </c>
      <c r="B48" s="4" t="s">
        <v>1484</v>
      </c>
      <c r="C48" s="4" t="s">
        <v>452</v>
      </c>
      <c r="D48" s="4" t="n">
        <v>18</v>
      </c>
      <c r="E48" s="4" t="s">
        <v>3856</v>
      </c>
      <c r="F48" s="4" t="s">
        <v>3857</v>
      </c>
    </row>
    <row r="49" customFormat="false" ht="41.75" hidden="false" customHeight="false" outlineLevel="0" collapsed="false">
      <c r="A49" s="4" t="n">
        <v>48</v>
      </c>
      <c r="B49" s="4" t="s">
        <v>1507</v>
      </c>
      <c r="C49" s="4" t="s">
        <v>452</v>
      </c>
      <c r="D49" s="4" t="n">
        <v>18</v>
      </c>
      <c r="E49" s="4" t="s">
        <v>3858</v>
      </c>
      <c r="F49" s="4" t="s">
        <v>3859</v>
      </c>
    </row>
    <row r="50" customFormat="false" ht="41.75" hidden="false" customHeight="false" outlineLevel="0" collapsed="false">
      <c r="A50" s="4" t="n">
        <v>49</v>
      </c>
      <c r="B50" s="4" t="s">
        <v>1527</v>
      </c>
      <c r="C50" s="4" t="s">
        <v>452</v>
      </c>
      <c r="D50" s="4" t="n">
        <v>18</v>
      </c>
      <c r="E50" s="4" t="s">
        <v>3860</v>
      </c>
      <c r="F50" s="4" t="s">
        <v>3861</v>
      </c>
    </row>
    <row r="51" customFormat="false" ht="68.65" hidden="false" customHeight="false" outlineLevel="0" collapsed="false">
      <c r="A51" s="4" t="n">
        <v>50</v>
      </c>
      <c r="B51" s="4" t="s">
        <v>1546</v>
      </c>
      <c r="C51" s="4" t="s">
        <v>452</v>
      </c>
      <c r="D51" s="4" t="n">
        <v>18</v>
      </c>
      <c r="E51" s="4" t="s">
        <v>3862</v>
      </c>
      <c r="F51" s="4" t="s">
        <v>3863</v>
      </c>
    </row>
    <row r="52" customFormat="false" ht="55.2" hidden="false" customHeight="false" outlineLevel="0" collapsed="false">
      <c r="A52" s="4" t="n">
        <v>51</v>
      </c>
      <c r="B52" s="4" t="s">
        <v>1567</v>
      </c>
      <c r="C52" s="4" t="s">
        <v>452</v>
      </c>
      <c r="D52" s="4" t="n">
        <v>18</v>
      </c>
      <c r="E52" s="4" t="s">
        <v>3864</v>
      </c>
      <c r="F52" s="4" t="s">
        <v>3865</v>
      </c>
    </row>
    <row r="53" customFormat="false" ht="41.75" hidden="false" customHeight="false" outlineLevel="0" collapsed="false">
      <c r="A53" s="4" t="n">
        <v>52</v>
      </c>
      <c r="B53" s="4" t="s">
        <v>1586</v>
      </c>
      <c r="C53" s="4" t="s">
        <v>452</v>
      </c>
      <c r="D53" s="4" t="n">
        <v>18</v>
      </c>
      <c r="E53" s="4" t="s">
        <v>3866</v>
      </c>
      <c r="F53" s="4" t="s">
        <v>3867</v>
      </c>
    </row>
    <row r="54" customFormat="false" ht="41.75" hidden="false" customHeight="false" outlineLevel="0" collapsed="false">
      <c r="A54" s="4" t="n">
        <v>53</v>
      </c>
      <c r="B54" s="4" t="s">
        <v>1609</v>
      </c>
      <c r="C54" s="4" t="s">
        <v>452</v>
      </c>
      <c r="D54" s="4" t="n">
        <v>18</v>
      </c>
      <c r="E54" s="4" t="s">
        <v>3866</v>
      </c>
      <c r="F54" s="4" t="s">
        <v>3867</v>
      </c>
    </row>
    <row r="55" customFormat="false" ht="28.35" hidden="false" customHeight="false" outlineLevel="0" collapsed="false">
      <c r="A55" s="4" t="n">
        <v>54</v>
      </c>
      <c r="B55" s="4" t="s">
        <v>1623</v>
      </c>
      <c r="C55" s="4" t="s">
        <v>452</v>
      </c>
      <c r="D55" s="4" t="n">
        <v>18</v>
      </c>
      <c r="E55" s="4" t="s">
        <v>3868</v>
      </c>
      <c r="F55" s="4" t="s">
        <v>3869</v>
      </c>
    </row>
    <row r="56" customFormat="false" ht="149.25" hidden="false" customHeight="false" outlineLevel="0" collapsed="false">
      <c r="A56" s="4" t="n">
        <v>55</v>
      </c>
      <c r="B56" s="4" t="s">
        <v>1642</v>
      </c>
      <c r="C56" s="4" t="s">
        <v>452</v>
      </c>
      <c r="D56" s="4" t="n">
        <v>14</v>
      </c>
      <c r="E56" s="4" t="s">
        <v>3870</v>
      </c>
      <c r="F56" s="4" t="s">
        <v>3871</v>
      </c>
    </row>
    <row r="57" customFormat="false" ht="108.95" hidden="false" customHeight="false" outlineLevel="0" collapsed="false">
      <c r="A57" s="4" t="n">
        <v>56</v>
      </c>
      <c r="B57" s="4" t="s">
        <v>1659</v>
      </c>
      <c r="C57" s="4" t="s">
        <v>452</v>
      </c>
      <c r="D57" s="4" t="n">
        <v>17</v>
      </c>
      <c r="E57" s="4" t="s">
        <v>3872</v>
      </c>
      <c r="F57" s="4" t="s">
        <v>3873</v>
      </c>
    </row>
    <row r="58" customFormat="false" ht="28.35" hidden="false" customHeight="false" outlineLevel="0" collapsed="false">
      <c r="A58" s="4" t="n">
        <v>57</v>
      </c>
      <c r="B58" s="4" t="s">
        <v>1679</v>
      </c>
      <c r="C58" s="4" t="s">
        <v>452</v>
      </c>
      <c r="D58" s="4" t="n">
        <v>18</v>
      </c>
      <c r="E58" s="4" t="s">
        <v>3874</v>
      </c>
      <c r="F58" s="4" t="s">
        <v>3875</v>
      </c>
    </row>
    <row r="59" customFormat="false" ht="55.2" hidden="false" customHeight="false" outlineLevel="0" collapsed="false">
      <c r="A59" s="4" t="n">
        <v>58</v>
      </c>
      <c r="B59" s="4" t="s">
        <v>1698</v>
      </c>
      <c r="C59" s="4" t="s">
        <v>452</v>
      </c>
      <c r="D59" s="4" t="n">
        <v>18</v>
      </c>
      <c r="E59" s="4" t="s">
        <v>3876</v>
      </c>
      <c r="F59" s="4" t="s">
        <v>3877</v>
      </c>
    </row>
    <row r="60" customFormat="false" ht="162.65" hidden="false" customHeight="false" outlineLevel="0" collapsed="false">
      <c r="A60" s="4" t="n">
        <v>59</v>
      </c>
      <c r="B60" s="4" t="s">
        <v>1717</v>
      </c>
      <c r="C60" s="4" t="s">
        <v>452</v>
      </c>
      <c r="D60" s="4" t="n">
        <v>22</v>
      </c>
      <c r="E60" s="4" t="s">
        <v>3878</v>
      </c>
      <c r="F60" s="4" t="s">
        <v>3879</v>
      </c>
    </row>
    <row r="61" customFormat="false" ht="149.25" hidden="false" customHeight="false" outlineLevel="0" collapsed="false">
      <c r="A61" s="4" t="n">
        <v>60</v>
      </c>
      <c r="B61" s="4" t="s">
        <v>1738</v>
      </c>
      <c r="C61" s="4" t="s">
        <v>452</v>
      </c>
      <c r="D61" s="4" t="n">
        <v>20</v>
      </c>
      <c r="E61" s="4" t="s">
        <v>3880</v>
      </c>
      <c r="F61" s="4" t="s">
        <v>3881</v>
      </c>
    </row>
    <row r="62" customFormat="false" ht="55.2" hidden="false" customHeight="false" outlineLevel="0" collapsed="false">
      <c r="A62" s="4" t="n">
        <v>61</v>
      </c>
      <c r="B62" s="4" t="s">
        <v>1757</v>
      </c>
      <c r="C62" s="4" t="s">
        <v>452</v>
      </c>
      <c r="D62" s="4" t="n">
        <v>18</v>
      </c>
      <c r="E62" s="4" t="s">
        <v>3882</v>
      </c>
      <c r="F62" s="4" t="s">
        <v>3883</v>
      </c>
    </row>
    <row r="63" customFormat="false" ht="28.35" hidden="false" customHeight="false" outlineLevel="0" collapsed="false">
      <c r="A63" s="4" t="n">
        <v>62</v>
      </c>
      <c r="B63" s="4" t="s">
        <v>1776</v>
      </c>
      <c r="C63" s="4" t="s">
        <v>452</v>
      </c>
      <c r="D63" s="4" t="n">
        <v>18</v>
      </c>
      <c r="E63" s="4" t="s">
        <v>3884</v>
      </c>
      <c r="F63" s="4" t="s">
        <v>3885</v>
      </c>
    </row>
    <row r="64" customFormat="false" ht="28.35" hidden="false" customHeight="false" outlineLevel="0" collapsed="false">
      <c r="A64" s="4" t="n">
        <v>63</v>
      </c>
      <c r="B64" s="4" t="s">
        <v>1794</v>
      </c>
      <c r="C64" s="4" t="s">
        <v>452</v>
      </c>
      <c r="D64" s="4" t="n">
        <v>18</v>
      </c>
      <c r="E64" s="4" t="s">
        <v>3886</v>
      </c>
      <c r="F64" s="4" t="s">
        <v>3887</v>
      </c>
    </row>
    <row r="65" customFormat="false" ht="162.65" hidden="false" customHeight="false" outlineLevel="0" collapsed="false">
      <c r="A65" s="4" t="n">
        <v>64</v>
      </c>
      <c r="B65" s="4" t="s">
        <v>1816</v>
      </c>
      <c r="C65" s="4" t="s">
        <v>452</v>
      </c>
      <c r="D65" s="4" t="n">
        <v>18</v>
      </c>
      <c r="E65" s="4" t="s">
        <v>3888</v>
      </c>
      <c r="F65" s="4" t="s">
        <v>3889</v>
      </c>
    </row>
    <row r="66" customFormat="false" ht="176.1" hidden="false" customHeight="false" outlineLevel="0" collapsed="false">
      <c r="A66" s="4" t="n">
        <v>65</v>
      </c>
      <c r="B66" s="4" t="s">
        <v>1836</v>
      </c>
      <c r="C66" s="4" t="s">
        <v>452</v>
      </c>
      <c r="D66" s="4" t="n">
        <v>13</v>
      </c>
      <c r="E66" s="4" t="s">
        <v>3890</v>
      </c>
      <c r="F66" s="4" t="s">
        <v>3891</v>
      </c>
    </row>
    <row r="67" customFormat="false" ht="297" hidden="false" customHeight="false" outlineLevel="0" collapsed="false">
      <c r="A67" s="4" t="n">
        <v>66</v>
      </c>
      <c r="B67" s="4" t="s">
        <v>1855</v>
      </c>
      <c r="C67" s="4" t="s">
        <v>452</v>
      </c>
      <c r="D67" s="4" t="n">
        <v>42</v>
      </c>
      <c r="E67" s="4" t="s">
        <v>3892</v>
      </c>
      <c r="F67" s="4" t="s">
        <v>3893</v>
      </c>
    </row>
    <row r="68" customFormat="false" ht="122.35" hidden="false" customHeight="false" outlineLevel="0" collapsed="false">
      <c r="A68" s="4" t="n">
        <v>67</v>
      </c>
      <c r="B68" s="4" t="s">
        <v>1889</v>
      </c>
      <c r="C68" s="4" t="s">
        <v>452</v>
      </c>
      <c r="D68" s="4" t="n">
        <v>18</v>
      </c>
      <c r="E68" s="4" t="s">
        <v>3894</v>
      </c>
      <c r="F68" s="4" t="s">
        <v>3895</v>
      </c>
    </row>
    <row r="69" customFormat="false" ht="162.65" hidden="false" customHeight="false" outlineLevel="0" collapsed="false">
      <c r="A69" s="4" t="n">
        <v>68</v>
      </c>
      <c r="B69" s="4" t="s">
        <v>1909</v>
      </c>
      <c r="C69" s="4" t="s">
        <v>452</v>
      </c>
      <c r="D69" s="4" t="n">
        <v>23</v>
      </c>
      <c r="E69" s="4" t="s">
        <v>3896</v>
      </c>
      <c r="F69" s="4" t="s">
        <v>3897</v>
      </c>
    </row>
    <row r="70" customFormat="false" ht="122.35" hidden="false" customHeight="false" outlineLevel="0" collapsed="false">
      <c r="A70" s="4" t="n">
        <v>69</v>
      </c>
      <c r="B70" s="4" t="s">
        <v>1932</v>
      </c>
      <c r="C70" s="4" t="s">
        <v>452</v>
      </c>
      <c r="D70" s="4" t="n">
        <v>18</v>
      </c>
      <c r="E70" s="4" t="s">
        <v>3898</v>
      </c>
      <c r="F70" s="4" t="s">
        <v>3899</v>
      </c>
    </row>
    <row r="71" customFormat="false" ht="28.35" hidden="false" customHeight="false" outlineLevel="0" collapsed="false">
      <c r="A71" s="4" t="n">
        <v>70</v>
      </c>
      <c r="B71" s="4" t="s">
        <v>1954</v>
      </c>
      <c r="C71" s="4" t="s">
        <v>452</v>
      </c>
      <c r="D71" s="4" t="n">
        <v>9</v>
      </c>
      <c r="E71" s="4"/>
      <c r="F71" s="4"/>
    </row>
    <row r="72" customFormat="false" ht="15" hidden="false" customHeight="false" outlineLevel="0" collapsed="false">
      <c r="A72" s="4" t="n">
        <v>71</v>
      </c>
      <c r="B72" s="4" t="s">
        <v>1976</v>
      </c>
      <c r="C72" s="4" t="s">
        <v>452</v>
      </c>
      <c r="D72" s="4" t="n">
        <v>7</v>
      </c>
      <c r="E72" s="4"/>
      <c r="F72" s="4"/>
    </row>
    <row r="73" customFormat="false" ht="28.35" hidden="false" customHeight="false" outlineLevel="0" collapsed="false">
      <c r="A73" s="4" t="n">
        <v>72</v>
      </c>
      <c r="B73" s="4" t="s">
        <v>1994</v>
      </c>
      <c r="C73" s="4" t="s">
        <v>452</v>
      </c>
      <c r="D73" s="4" t="n">
        <v>7</v>
      </c>
      <c r="E73" s="4"/>
      <c r="F73" s="4"/>
    </row>
    <row r="74" customFormat="false" ht="216.4" hidden="false" customHeight="false" outlineLevel="0" collapsed="false">
      <c r="A74" s="4" t="n">
        <v>73</v>
      </c>
      <c r="B74" s="4" t="s">
        <v>2012</v>
      </c>
      <c r="C74" s="4" t="s">
        <v>55</v>
      </c>
      <c r="D74" s="4" t="n">
        <v>52</v>
      </c>
      <c r="E74" s="4" t="s">
        <v>3900</v>
      </c>
      <c r="F74" s="4" t="s">
        <v>3901</v>
      </c>
    </row>
    <row r="75" customFormat="false" ht="229.85" hidden="false" customHeight="false" outlineLevel="0" collapsed="false">
      <c r="A75" s="4" t="n">
        <v>74</v>
      </c>
      <c r="B75" s="4" t="s">
        <v>2055</v>
      </c>
      <c r="C75" s="4" t="s">
        <v>55</v>
      </c>
      <c r="D75" s="4" t="n">
        <v>41</v>
      </c>
      <c r="E75" s="4" t="s">
        <v>3902</v>
      </c>
      <c r="F75" s="4" t="s">
        <v>3903</v>
      </c>
    </row>
    <row r="76" customFormat="false" ht="256.7" hidden="false" customHeight="false" outlineLevel="0" collapsed="false">
      <c r="A76" s="4" t="n">
        <v>75</v>
      </c>
      <c r="B76" s="4" t="s">
        <v>2084</v>
      </c>
      <c r="C76" s="4" t="s">
        <v>55</v>
      </c>
      <c r="D76" s="4" t="n">
        <v>46</v>
      </c>
      <c r="E76" s="4" t="s">
        <v>3904</v>
      </c>
      <c r="F76" s="4" t="s">
        <v>3905</v>
      </c>
    </row>
    <row r="77" customFormat="false" ht="243.25" hidden="false" customHeight="false" outlineLevel="0" collapsed="false">
      <c r="A77" s="4" t="n">
        <v>76</v>
      </c>
      <c r="B77" s="4" t="s">
        <v>2117</v>
      </c>
      <c r="C77" s="4" t="s">
        <v>55</v>
      </c>
      <c r="D77" s="4" t="n">
        <v>50</v>
      </c>
      <c r="E77" s="4" t="s">
        <v>3906</v>
      </c>
      <c r="F77" s="4" t="s">
        <v>3907</v>
      </c>
    </row>
    <row r="78" customFormat="false" ht="135.8" hidden="false" customHeight="false" outlineLevel="0" collapsed="false">
      <c r="A78" s="4" t="n">
        <v>77</v>
      </c>
      <c r="B78" s="4" t="s">
        <v>2148</v>
      </c>
      <c r="C78" s="4" t="s">
        <v>55</v>
      </c>
      <c r="D78" s="4" t="n">
        <v>18</v>
      </c>
      <c r="E78" s="4" t="s">
        <v>3908</v>
      </c>
      <c r="F78" s="4" t="s">
        <v>3909</v>
      </c>
    </row>
    <row r="79" customFormat="false" ht="256.7" hidden="false" customHeight="false" outlineLevel="0" collapsed="false">
      <c r="A79" s="4" t="n">
        <v>78</v>
      </c>
      <c r="B79" s="4" t="s">
        <v>2168</v>
      </c>
      <c r="C79" s="4" t="s">
        <v>56</v>
      </c>
      <c r="D79" s="4" t="n">
        <v>31</v>
      </c>
      <c r="E79" s="4" t="s">
        <v>3910</v>
      </c>
      <c r="F79" s="4" t="s">
        <v>3911</v>
      </c>
    </row>
    <row r="80" customFormat="false" ht="404.45" hidden="false" customHeight="false" outlineLevel="0" collapsed="false">
      <c r="A80" s="4" t="n">
        <v>79</v>
      </c>
      <c r="B80" s="4" t="s">
        <v>2192</v>
      </c>
      <c r="C80" s="4" t="s">
        <v>57</v>
      </c>
      <c r="D80" s="4" t="n">
        <v>14</v>
      </c>
      <c r="E80" s="4" t="s">
        <v>3912</v>
      </c>
      <c r="F80" s="4" t="s">
        <v>3913</v>
      </c>
    </row>
    <row r="81" customFormat="false" ht="337.3" hidden="false" customHeight="false" outlineLevel="0" collapsed="false">
      <c r="A81" s="4" t="n">
        <v>80</v>
      </c>
      <c r="B81" s="4" t="s">
        <v>2210</v>
      </c>
      <c r="C81" s="4" t="s">
        <v>58</v>
      </c>
      <c r="D81" s="4" t="n">
        <v>20</v>
      </c>
      <c r="E81" s="4" t="s">
        <v>3914</v>
      </c>
      <c r="F81" s="4" t="s">
        <v>3915</v>
      </c>
    </row>
    <row r="82" customFormat="false" ht="364.15" hidden="false" customHeight="false" outlineLevel="0" collapsed="false">
      <c r="A82" s="4" t="n">
        <v>81</v>
      </c>
      <c r="B82" s="4" t="s">
        <v>2230</v>
      </c>
      <c r="C82" s="4" t="s">
        <v>59</v>
      </c>
      <c r="D82" s="4" t="n">
        <v>43</v>
      </c>
      <c r="E82" s="4" t="s">
        <v>3916</v>
      </c>
      <c r="F82" s="4" t="s">
        <v>3917</v>
      </c>
    </row>
    <row r="83" customFormat="false" ht="216.4" hidden="false" customHeight="false" outlineLevel="0" collapsed="false">
      <c r="A83" s="4" t="n">
        <v>82</v>
      </c>
      <c r="B83" s="4" t="s">
        <v>2257</v>
      </c>
      <c r="C83" s="4" t="s">
        <v>60</v>
      </c>
      <c r="D83" s="4" t="n">
        <v>12</v>
      </c>
      <c r="E83" s="4" t="s">
        <v>3918</v>
      </c>
      <c r="F83" s="4" t="s">
        <v>3919</v>
      </c>
    </row>
    <row r="84" customFormat="false" ht="256.7" hidden="false" customHeight="false" outlineLevel="0" collapsed="false">
      <c r="A84" s="4" t="n">
        <v>83</v>
      </c>
      <c r="B84" s="4" t="s">
        <v>2276</v>
      </c>
      <c r="C84" s="4" t="s">
        <v>60</v>
      </c>
      <c r="D84" s="4" t="n">
        <v>15</v>
      </c>
      <c r="E84" s="4" t="s">
        <v>3920</v>
      </c>
      <c r="F84" s="4" t="s">
        <v>3921</v>
      </c>
    </row>
    <row r="85" customFormat="false" ht="122.35" hidden="false" customHeight="false" outlineLevel="0" collapsed="false">
      <c r="A85" s="4" t="n">
        <v>84</v>
      </c>
      <c r="B85" s="4" t="s">
        <v>2295</v>
      </c>
      <c r="C85" s="4" t="s">
        <v>61</v>
      </c>
      <c r="D85" s="4" t="n">
        <v>19</v>
      </c>
      <c r="E85" s="4" t="s">
        <v>3922</v>
      </c>
      <c r="F85" s="4" t="s">
        <v>3923</v>
      </c>
    </row>
    <row r="86" customFormat="false" ht="122.35" hidden="false" customHeight="false" outlineLevel="0" collapsed="false">
      <c r="A86" s="4" t="n">
        <v>85</v>
      </c>
      <c r="B86" s="4" t="s">
        <v>2318</v>
      </c>
      <c r="C86" s="4" t="s">
        <v>62</v>
      </c>
      <c r="D86" s="4" t="n">
        <v>21</v>
      </c>
      <c r="E86" s="4" t="s">
        <v>3924</v>
      </c>
      <c r="F86" s="4" t="s">
        <v>3925</v>
      </c>
    </row>
    <row r="87" customFormat="false" ht="176.1" hidden="false" customHeight="false" outlineLevel="0" collapsed="false">
      <c r="A87" s="4" t="n">
        <v>86</v>
      </c>
      <c r="B87" s="4" t="s">
        <v>2339</v>
      </c>
      <c r="C87" s="4" t="s">
        <v>63</v>
      </c>
      <c r="D87" s="4" t="n">
        <v>34</v>
      </c>
      <c r="E87" s="4" t="s">
        <v>3926</v>
      </c>
      <c r="F87" s="4" t="s">
        <v>3927</v>
      </c>
    </row>
    <row r="88" customFormat="false" ht="243.25" hidden="false" customHeight="false" outlineLevel="0" collapsed="false">
      <c r="A88" s="4" t="n">
        <v>87</v>
      </c>
      <c r="B88" s="4" t="s">
        <v>2363</v>
      </c>
      <c r="C88" s="4" t="s">
        <v>63</v>
      </c>
      <c r="D88" s="4" t="n">
        <v>28</v>
      </c>
      <c r="E88" s="4" t="s">
        <v>3928</v>
      </c>
      <c r="F88" s="4" t="s">
        <v>3929</v>
      </c>
    </row>
    <row r="89" customFormat="false" ht="149.25" hidden="false" customHeight="false" outlineLevel="0" collapsed="false">
      <c r="A89" s="4" t="n">
        <v>88</v>
      </c>
      <c r="B89" s="4" t="s">
        <v>2318</v>
      </c>
      <c r="C89" s="4" t="s">
        <v>65</v>
      </c>
      <c r="D89" s="4" t="n">
        <v>15</v>
      </c>
      <c r="E89" s="4" t="s">
        <v>3930</v>
      </c>
      <c r="F89" s="4" t="s">
        <v>3931</v>
      </c>
    </row>
    <row r="90" customFormat="false" ht="243.25" hidden="false" customHeight="false" outlineLevel="0" collapsed="false">
      <c r="A90" s="4" t="n">
        <v>89</v>
      </c>
      <c r="B90" s="4" t="s">
        <v>2399</v>
      </c>
      <c r="C90" s="4" t="s">
        <v>66</v>
      </c>
      <c r="D90" s="4" t="n">
        <v>20</v>
      </c>
      <c r="E90" s="4" t="s">
        <v>3932</v>
      </c>
      <c r="F90" s="4" t="s">
        <v>3933</v>
      </c>
    </row>
    <row r="91" customFormat="false" ht="108.95" hidden="false" customHeight="false" outlineLevel="0" collapsed="false">
      <c r="A91" s="4" t="n">
        <v>90</v>
      </c>
      <c r="B91" s="4" t="s">
        <v>2419</v>
      </c>
      <c r="C91" s="4" t="s">
        <v>2418</v>
      </c>
      <c r="D91" s="4" t="n">
        <v>18</v>
      </c>
      <c r="E91" s="4" t="s">
        <v>3934</v>
      </c>
      <c r="F91" s="4" t="s">
        <v>3935</v>
      </c>
    </row>
    <row r="92" customFormat="false" ht="243.25" hidden="false" customHeight="false" outlineLevel="0" collapsed="false">
      <c r="A92" s="4" t="n">
        <v>91</v>
      </c>
      <c r="B92" s="4" t="s">
        <v>2441</v>
      </c>
      <c r="C92" s="4" t="s">
        <v>2440</v>
      </c>
      <c r="D92" s="4" t="n">
        <v>25</v>
      </c>
      <c r="E92" s="4" t="s">
        <v>3936</v>
      </c>
      <c r="F92" s="4" t="s">
        <v>3937</v>
      </c>
    </row>
    <row r="93" customFormat="false" ht="162.65" hidden="false" customHeight="false" outlineLevel="0" collapsed="false">
      <c r="A93" s="4" t="n">
        <v>92</v>
      </c>
      <c r="B93" s="4" t="s">
        <v>2466</v>
      </c>
      <c r="C93" s="4" t="s">
        <v>69</v>
      </c>
      <c r="D93" s="4" t="n">
        <v>47</v>
      </c>
      <c r="E93" s="4" t="s">
        <v>3938</v>
      </c>
      <c r="F93" s="4" t="s">
        <v>3939</v>
      </c>
    </row>
    <row r="94" customFormat="false" ht="135.8" hidden="false" customHeight="false" outlineLevel="0" collapsed="false">
      <c r="A94" s="4" t="n">
        <v>93</v>
      </c>
      <c r="B94" s="4" t="s">
        <v>2491</v>
      </c>
      <c r="C94" s="4" t="s">
        <v>70</v>
      </c>
      <c r="D94" s="4" t="n">
        <v>51</v>
      </c>
      <c r="E94" s="4" t="s">
        <v>3940</v>
      </c>
      <c r="F94" s="4" t="s">
        <v>3941</v>
      </c>
    </row>
    <row r="95" customFormat="false" ht="68.65" hidden="false" customHeight="false" outlineLevel="0" collapsed="false">
      <c r="A95" s="4" t="n">
        <v>94</v>
      </c>
      <c r="B95" s="4" t="s">
        <v>2525</v>
      </c>
      <c r="C95" s="4" t="s">
        <v>71</v>
      </c>
      <c r="D95" s="4" t="n">
        <v>10</v>
      </c>
      <c r="E95" s="4" t="s">
        <v>3942</v>
      </c>
      <c r="F95" s="4" t="s">
        <v>3943</v>
      </c>
    </row>
    <row r="96" customFormat="false" ht="202.95" hidden="false" customHeight="false" outlineLevel="0" collapsed="false">
      <c r="A96" s="4" t="n">
        <v>95</v>
      </c>
      <c r="B96" s="4" t="s">
        <v>2543</v>
      </c>
      <c r="C96" s="4" t="s">
        <v>64</v>
      </c>
      <c r="D96" s="4" t="n">
        <v>20</v>
      </c>
      <c r="E96" s="4" t="s">
        <v>3944</v>
      </c>
      <c r="F96" s="4" t="s">
        <v>3945</v>
      </c>
    </row>
    <row r="97" customFormat="false" ht="216.4" hidden="false" customHeight="false" outlineLevel="0" collapsed="false">
      <c r="A97" s="4" t="n">
        <v>96</v>
      </c>
      <c r="B97" s="4" t="s">
        <v>2558</v>
      </c>
      <c r="C97" s="4" t="s">
        <v>67</v>
      </c>
      <c r="D97" s="4" t="n">
        <v>34</v>
      </c>
      <c r="E97" s="4" t="s">
        <v>3946</v>
      </c>
      <c r="F97" s="4" t="s">
        <v>3947</v>
      </c>
    </row>
    <row r="98" customFormat="false" ht="202.95" hidden="false" customHeight="false" outlineLevel="0" collapsed="false">
      <c r="A98" s="4" t="n">
        <v>97</v>
      </c>
      <c r="B98" s="4" t="s">
        <v>2588</v>
      </c>
      <c r="C98" s="4" t="s">
        <v>55</v>
      </c>
      <c r="D98" s="4" t="n">
        <v>49</v>
      </c>
      <c r="E98" s="4" t="s">
        <v>3948</v>
      </c>
      <c r="F98" s="4" t="s">
        <v>3949</v>
      </c>
    </row>
    <row r="99" customFormat="false" ht="202.95" hidden="false" customHeight="false" outlineLevel="0" collapsed="false">
      <c r="A99" s="4" t="n">
        <v>98</v>
      </c>
      <c r="B99" s="4" t="s">
        <v>2623</v>
      </c>
      <c r="C99" s="4" t="s">
        <v>55</v>
      </c>
      <c r="D99" s="4" t="n">
        <v>52</v>
      </c>
      <c r="E99" s="4" t="s">
        <v>3950</v>
      </c>
      <c r="F99" s="4" t="s">
        <v>3951</v>
      </c>
    </row>
    <row r="100" customFormat="false" ht="176.1" hidden="false" customHeight="false" outlineLevel="0" collapsed="false">
      <c r="A100" s="4" t="n">
        <v>99</v>
      </c>
      <c r="B100" s="4" t="s">
        <v>2653</v>
      </c>
      <c r="C100" s="4" t="s">
        <v>55</v>
      </c>
      <c r="D100" s="4" t="n">
        <v>41</v>
      </c>
      <c r="E100" s="4" t="s">
        <v>3952</v>
      </c>
      <c r="F100" s="4" t="s">
        <v>3953</v>
      </c>
    </row>
    <row r="101" customFormat="false" ht="176.1" hidden="false" customHeight="false" outlineLevel="0" collapsed="false">
      <c r="A101" s="4" t="n">
        <v>100</v>
      </c>
      <c r="B101" s="4" t="s">
        <v>2678</v>
      </c>
      <c r="C101" s="4" t="s">
        <v>55</v>
      </c>
      <c r="D101" s="4" t="n">
        <v>44</v>
      </c>
      <c r="E101" s="4" t="s">
        <v>3954</v>
      </c>
      <c r="F101" s="4" t="s">
        <v>3955</v>
      </c>
    </row>
    <row r="102" customFormat="false" ht="256.7" hidden="false" customHeight="false" outlineLevel="0" collapsed="false">
      <c r="A102" s="4" t="n">
        <v>101</v>
      </c>
      <c r="B102" s="4" t="s">
        <v>2711</v>
      </c>
      <c r="C102" s="4" t="s">
        <v>55</v>
      </c>
      <c r="D102" s="4" t="n">
        <v>39</v>
      </c>
      <c r="E102" s="4" t="s">
        <v>3956</v>
      </c>
      <c r="F102" s="4" t="s">
        <v>3957</v>
      </c>
    </row>
    <row r="103" customFormat="false" ht="82.05" hidden="false" customHeight="false" outlineLevel="0" collapsed="false">
      <c r="A103" s="4" t="n">
        <v>102</v>
      </c>
      <c r="B103" s="4" t="s">
        <v>2738</v>
      </c>
      <c r="C103" s="4" t="s">
        <v>63</v>
      </c>
      <c r="D103" s="4" t="n">
        <v>12</v>
      </c>
      <c r="E103" s="4" t="s">
        <v>3958</v>
      </c>
      <c r="F103" s="4" t="s">
        <v>3959</v>
      </c>
    </row>
    <row r="104" customFormat="false" ht="256.7" hidden="false" customHeight="false" outlineLevel="0" collapsed="false">
      <c r="A104" s="4" t="n">
        <v>103</v>
      </c>
      <c r="B104" s="4" t="s">
        <v>2758</v>
      </c>
      <c r="C104" s="4" t="s">
        <v>64</v>
      </c>
      <c r="D104" s="4" t="n">
        <v>19</v>
      </c>
      <c r="E104" s="4" t="s">
        <v>3960</v>
      </c>
      <c r="F104" s="4" t="s">
        <v>3961</v>
      </c>
    </row>
    <row r="105" customFormat="false" ht="202.95" hidden="false" customHeight="false" outlineLevel="0" collapsed="false">
      <c r="A105" s="4" t="n">
        <v>104</v>
      </c>
      <c r="B105" s="4" t="s">
        <v>2778</v>
      </c>
      <c r="C105" s="4" t="s">
        <v>64</v>
      </c>
      <c r="D105" s="4" t="n">
        <v>22</v>
      </c>
      <c r="E105" s="4" t="s">
        <v>3962</v>
      </c>
      <c r="F105" s="4" t="s">
        <v>3963</v>
      </c>
    </row>
    <row r="106" customFormat="false" ht="82.05" hidden="false" customHeight="false" outlineLevel="0" collapsed="false">
      <c r="A106" s="4" t="n">
        <v>105</v>
      </c>
      <c r="B106" s="4" t="s">
        <v>2794</v>
      </c>
      <c r="C106" s="4" t="s">
        <v>64</v>
      </c>
      <c r="D106" s="4" t="n">
        <v>11</v>
      </c>
      <c r="E106" s="4" t="s">
        <v>3964</v>
      </c>
      <c r="F106" s="4" t="s">
        <v>3965</v>
      </c>
    </row>
    <row r="107" customFormat="false" ht="189.55" hidden="false" customHeight="false" outlineLevel="0" collapsed="false">
      <c r="A107" s="4" t="n">
        <v>106</v>
      </c>
      <c r="B107" s="4" t="s">
        <v>2811</v>
      </c>
      <c r="C107" s="4" t="s">
        <v>64</v>
      </c>
      <c r="D107" s="4" t="n">
        <v>18</v>
      </c>
      <c r="E107" s="4" t="s">
        <v>3966</v>
      </c>
      <c r="F107" s="4" t="s">
        <v>3967</v>
      </c>
    </row>
    <row r="108" customFormat="false" ht="256.7" hidden="false" customHeight="false" outlineLevel="0" collapsed="false">
      <c r="A108" s="4" t="n">
        <v>107</v>
      </c>
      <c r="B108" s="4" t="s">
        <v>2830</v>
      </c>
      <c r="C108" s="4" t="s">
        <v>70</v>
      </c>
      <c r="D108" s="4" t="n">
        <v>37</v>
      </c>
      <c r="E108" s="4" t="s">
        <v>3968</v>
      </c>
      <c r="F108" s="4" t="s">
        <v>3969</v>
      </c>
    </row>
    <row r="109" customFormat="false" ht="216.4" hidden="false" customHeight="false" outlineLevel="0" collapsed="false">
      <c r="A109" s="4" t="n">
        <v>108</v>
      </c>
      <c r="B109" s="4" t="s">
        <v>2856</v>
      </c>
      <c r="C109" s="4" t="s">
        <v>70</v>
      </c>
      <c r="D109" s="4" t="n">
        <v>32</v>
      </c>
      <c r="E109" s="4" t="s">
        <v>3970</v>
      </c>
      <c r="F109" s="4" t="s">
        <v>3971</v>
      </c>
    </row>
    <row r="110" customFormat="false" ht="243.25" hidden="false" customHeight="false" outlineLevel="0" collapsed="false">
      <c r="A110" s="4" t="n">
        <v>109</v>
      </c>
      <c r="B110" s="4" t="s">
        <v>2881</v>
      </c>
      <c r="C110" s="4" t="s">
        <v>70</v>
      </c>
      <c r="D110" s="4" t="n">
        <v>31</v>
      </c>
      <c r="E110" s="4" t="s">
        <v>3972</v>
      </c>
      <c r="F110" s="4" t="s">
        <v>3973</v>
      </c>
    </row>
    <row r="111" customFormat="false" ht="162.65" hidden="false" customHeight="false" outlineLevel="0" collapsed="false">
      <c r="A111" s="4" t="n">
        <v>110</v>
      </c>
      <c r="B111" s="4" t="s">
        <v>2902</v>
      </c>
      <c r="C111" s="4" t="s">
        <v>63</v>
      </c>
      <c r="D111" s="4" t="n">
        <v>41</v>
      </c>
      <c r="E111" s="4" t="s">
        <v>3974</v>
      </c>
      <c r="F111" s="4" t="s">
        <v>3975</v>
      </c>
    </row>
    <row r="112" customFormat="false" ht="310.4" hidden="false" customHeight="false" outlineLevel="0" collapsed="false">
      <c r="A112" s="4" t="n">
        <v>111</v>
      </c>
      <c r="B112" s="4" t="s">
        <v>2926</v>
      </c>
      <c r="C112" s="4" t="s">
        <v>58</v>
      </c>
      <c r="D112" s="4" t="n">
        <v>17</v>
      </c>
      <c r="E112" s="4" t="s">
        <v>3976</v>
      </c>
      <c r="F112" s="4" t="s">
        <v>3977</v>
      </c>
    </row>
    <row r="113" customFormat="false" ht="391" hidden="false" customHeight="false" outlineLevel="0" collapsed="false">
      <c r="A113" s="4" t="n">
        <v>112</v>
      </c>
      <c r="B113" s="4" t="s">
        <v>2944</v>
      </c>
      <c r="C113" s="4" t="s">
        <v>57</v>
      </c>
      <c r="D113" s="4" t="n">
        <v>23</v>
      </c>
      <c r="E113" s="4" t="s">
        <v>3978</v>
      </c>
      <c r="F113" s="4" t="s">
        <v>3979</v>
      </c>
    </row>
    <row r="114" customFormat="false" ht="350.7" hidden="false" customHeight="false" outlineLevel="0" collapsed="false">
      <c r="A114" s="4" t="n">
        <v>113</v>
      </c>
      <c r="B114" s="4" t="s">
        <v>2964</v>
      </c>
      <c r="C114" s="4" t="s">
        <v>57</v>
      </c>
      <c r="D114" s="4" t="n">
        <v>22</v>
      </c>
      <c r="E114" s="4" t="s">
        <v>3980</v>
      </c>
      <c r="F114" s="4" t="s">
        <v>3981</v>
      </c>
    </row>
    <row r="115" customFormat="false" ht="270.1" hidden="false" customHeight="false" outlineLevel="0" collapsed="false">
      <c r="A115" s="4" t="n">
        <v>114</v>
      </c>
      <c r="B115" s="4" t="s">
        <v>2981</v>
      </c>
      <c r="C115" s="4" t="s">
        <v>60</v>
      </c>
      <c r="D115" s="4" t="n">
        <v>21</v>
      </c>
      <c r="E115" s="4" t="s">
        <v>3982</v>
      </c>
      <c r="F115" s="4" t="s">
        <v>3983</v>
      </c>
    </row>
    <row r="116" customFormat="false" ht="243.25" hidden="false" customHeight="false" outlineLevel="0" collapsed="false">
      <c r="A116" s="4" t="n">
        <v>115</v>
      </c>
      <c r="B116" s="4" t="s">
        <v>2995</v>
      </c>
      <c r="C116" s="4" t="s">
        <v>60</v>
      </c>
      <c r="D116" s="4" t="n">
        <v>14</v>
      </c>
      <c r="E116" s="4" t="s">
        <v>3984</v>
      </c>
      <c r="F116" s="4" t="s">
        <v>3985</v>
      </c>
    </row>
    <row r="117" customFormat="false" ht="270.1" hidden="false" customHeight="false" outlineLevel="0" collapsed="false">
      <c r="A117" s="4" t="n">
        <v>116</v>
      </c>
      <c r="B117" s="4" t="s">
        <v>3012</v>
      </c>
      <c r="C117" s="4" t="s">
        <v>60</v>
      </c>
      <c r="D117" s="4" t="n">
        <v>23</v>
      </c>
      <c r="E117" s="4" t="s">
        <v>3986</v>
      </c>
      <c r="F117" s="4" t="s">
        <v>3987</v>
      </c>
    </row>
    <row r="118" customFormat="false" ht="162.65" hidden="false" customHeight="false" outlineLevel="0" collapsed="false">
      <c r="A118" s="4" t="n">
        <v>117</v>
      </c>
      <c r="B118" s="4" t="s">
        <v>3029</v>
      </c>
      <c r="C118" s="4" t="s">
        <v>61</v>
      </c>
      <c r="D118" s="4" t="n">
        <v>15</v>
      </c>
      <c r="E118" s="4" t="s">
        <v>3988</v>
      </c>
      <c r="F118" s="4" t="s">
        <v>3989</v>
      </c>
    </row>
    <row r="119" customFormat="false" ht="149.25" hidden="false" customHeight="false" outlineLevel="0" collapsed="false">
      <c r="A119" s="4" t="n">
        <v>118</v>
      </c>
      <c r="B119" s="4" t="s">
        <v>3044</v>
      </c>
      <c r="C119" s="4" t="s">
        <v>61</v>
      </c>
      <c r="D119" s="4" t="n">
        <v>16</v>
      </c>
      <c r="E119" s="4" t="s">
        <v>3990</v>
      </c>
      <c r="F119" s="4" t="s">
        <v>3991</v>
      </c>
    </row>
    <row r="120" customFormat="false" ht="55.2" hidden="false" customHeight="false" outlineLevel="0" collapsed="false">
      <c r="A120" s="4" t="n">
        <v>119</v>
      </c>
      <c r="B120" s="4" t="s">
        <v>3057</v>
      </c>
      <c r="C120" s="4" t="s">
        <v>71</v>
      </c>
      <c r="D120" s="4" t="n">
        <v>13</v>
      </c>
      <c r="E120" s="4" t="s">
        <v>3992</v>
      </c>
      <c r="F120" s="4" t="s">
        <v>3993</v>
      </c>
    </row>
    <row r="121" customFormat="false" ht="95.5" hidden="false" customHeight="false" outlineLevel="0" collapsed="false">
      <c r="A121" s="4" t="n">
        <v>120</v>
      </c>
      <c r="B121" s="4" t="s">
        <v>3073</v>
      </c>
      <c r="C121" s="4" t="s">
        <v>68</v>
      </c>
      <c r="D121" s="4" t="n">
        <v>16</v>
      </c>
      <c r="E121" s="4" t="s">
        <v>3994</v>
      </c>
      <c r="F121" s="4" t="s">
        <v>3995</v>
      </c>
    </row>
    <row r="122" customFormat="false" ht="176.1" hidden="false" customHeight="false" outlineLevel="0" collapsed="false">
      <c r="A122" s="4" t="n">
        <v>121</v>
      </c>
      <c r="B122" s="4" t="s">
        <v>3088</v>
      </c>
      <c r="C122" s="4" t="s">
        <v>66</v>
      </c>
      <c r="D122" s="4" t="n">
        <v>25</v>
      </c>
      <c r="E122" s="4" t="s">
        <v>3996</v>
      </c>
      <c r="F122" s="4" t="s">
        <v>3997</v>
      </c>
    </row>
    <row r="123" customFormat="false" ht="162.65" hidden="false" customHeight="false" outlineLevel="0" collapsed="false">
      <c r="A123" s="4" t="n">
        <v>122</v>
      </c>
      <c r="B123" s="4" t="s">
        <v>3107</v>
      </c>
      <c r="C123" s="4" t="s">
        <v>65</v>
      </c>
      <c r="D123" s="4" t="n">
        <v>16</v>
      </c>
      <c r="E123" s="4" t="s">
        <v>3998</v>
      </c>
      <c r="F123" s="4" t="s">
        <v>3999</v>
      </c>
    </row>
    <row r="124" customFormat="false" ht="55.2" hidden="false" customHeight="false" outlineLevel="0" collapsed="false">
      <c r="A124" s="4" t="n">
        <v>123</v>
      </c>
      <c r="B124" s="4" t="s">
        <v>3127</v>
      </c>
      <c r="C124" s="4" t="s">
        <v>60</v>
      </c>
      <c r="D124" s="4" t="n">
        <v>20</v>
      </c>
      <c r="E124" s="4" t="s">
        <v>4000</v>
      </c>
      <c r="F124" s="4" t="s">
        <v>4001</v>
      </c>
    </row>
    <row r="125" customFormat="false" ht="323.85" hidden="false" customHeight="false" outlineLevel="0" collapsed="false">
      <c r="A125" s="4" t="n">
        <v>124</v>
      </c>
      <c r="B125" s="4" t="s">
        <v>3149</v>
      </c>
      <c r="C125" s="4" t="s">
        <v>58</v>
      </c>
      <c r="D125" s="4" t="n">
        <v>17</v>
      </c>
      <c r="E125" s="4" t="s">
        <v>4002</v>
      </c>
      <c r="F125" s="4" t="s">
        <v>4003</v>
      </c>
    </row>
    <row r="126" customFormat="false" ht="297" hidden="false" customHeight="false" outlineLevel="0" collapsed="false">
      <c r="A126" s="4" t="n">
        <v>125</v>
      </c>
      <c r="B126" s="4" t="s">
        <v>3173</v>
      </c>
      <c r="C126" s="4" t="s">
        <v>58</v>
      </c>
      <c r="D126" s="4" t="n">
        <v>28</v>
      </c>
      <c r="E126" s="4" t="s">
        <v>4004</v>
      </c>
      <c r="F126" s="4" t="s">
        <v>4005</v>
      </c>
    </row>
    <row r="127" customFormat="false" ht="256.7" hidden="false" customHeight="false" outlineLevel="0" collapsed="false">
      <c r="A127" s="4" t="n">
        <v>126</v>
      </c>
      <c r="B127" s="4" t="s">
        <v>3200</v>
      </c>
      <c r="C127" s="4" t="s">
        <v>452</v>
      </c>
      <c r="D127" s="4" t="n">
        <v>9</v>
      </c>
      <c r="E127" s="4" t="s">
        <v>4006</v>
      </c>
      <c r="F127" s="4" t="s">
        <v>4007</v>
      </c>
    </row>
    <row r="128" customFormat="false" ht="391" hidden="false" customHeight="false" outlineLevel="0" collapsed="false">
      <c r="A128" s="4" t="n">
        <v>127</v>
      </c>
      <c r="B128" s="4" t="s">
        <v>3227</v>
      </c>
      <c r="C128" s="4" t="s">
        <v>452</v>
      </c>
      <c r="D128" s="4" t="n">
        <v>10</v>
      </c>
      <c r="E128" s="4" t="s">
        <v>4008</v>
      </c>
      <c r="F128" s="4" t="s">
        <v>4009</v>
      </c>
    </row>
    <row r="129" customFormat="false" ht="471.6" hidden="false" customHeight="false" outlineLevel="0" collapsed="false">
      <c r="A129" s="4" t="n">
        <v>128</v>
      </c>
      <c r="B129" s="4" t="s">
        <v>3253</v>
      </c>
      <c r="C129" s="4" t="s">
        <v>452</v>
      </c>
      <c r="D129" s="4" t="n">
        <v>10</v>
      </c>
      <c r="E129" s="4" t="s">
        <v>4010</v>
      </c>
      <c r="F129" s="4" t="s">
        <v>4011</v>
      </c>
    </row>
    <row r="130" customFormat="false" ht="350.7" hidden="false" customHeight="false" outlineLevel="0" collapsed="false">
      <c r="A130" s="4" t="n">
        <v>129</v>
      </c>
      <c r="B130" s="4" t="s">
        <v>3280</v>
      </c>
      <c r="C130" s="4" t="s">
        <v>452</v>
      </c>
      <c r="D130" s="4" t="n">
        <v>10</v>
      </c>
      <c r="E130" s="4" t="s">
        <v>4012</v>
      </c>
      <c r="F130" s="4" t="s">
        <v>4013</v>
      </c>
    </row>
    <row r="131" customFormat="false" ht="337.3" hidden="false" customHeight="false" outlineLevel="0" collapsed="false">
      <c r="A131" s="4" t="n">
        <v>130</v>
      </c>
      <c r="B131" s="4" t="s">
        <v>3308</v>
      </c>
      <c r="C131" s="4" t="s">
        <v>452</v>
      </c>
      <c r="D131" s="4" t="n">
        <v>10</v>
      </c>
      <c r="E131" s="4" t="s">
        <v>4014</v>
      </c>
      <c r="F131" s="4" t="s">
        <v>4015</v>
      </c>
    </row>
    <row r="132" customFormat="false" ht="337.3" hidden="false" customHeight="false" outlineLevel="0" collapsed="false">
      <c r="A132" s="4" t="n">
        <v>131</v>
      </c>
      <c r="B132" s="4" t="s">
        <v>3330</v>
      </c>
      <c r="C132" s="4" t="s">
        <v>452</v>
      </c>
      <c r="D132" s="4" t="n">
        <v>10</v>
      </c>
      <c r="E132" s="4" t="s">
        <v>4016</v>
      </c>
      <c r="F132" s="4" t="s">
        <v>4017</v>
      </c>
    </row>
    <row r="133" customFormat="false" ht="337.3" hidden="false" customHeight="false" outlineLevel="0" collapsed="false">
      <c r="A133" s="4" t="n">
        <v>132</v>
      </c>
      <c r="B133" s="4" t="s">
        <v>3354</v>
      </c>
      <c r="C133" s="4" t="s">
        <v>452</v>
      </c>
      <c r="D133" s="4" t="n">
        <v>10</v>
      </c>
      <c r="E133" s="4" t="s">
        <v>4018</v>
      </c>
      <c r="F133" s="4" t="s">
        <v>4019</v>
      </c>
    </row>
    <row r="134" customFormat="false" ht="350.7" hidden="false" customHeight="false" outlineLevel="0" collapsed="false">
      <c r="A134" s="4" t="n">
        <v>133</v>
      </c>
      <c r="B134" s="4" t="s">
        <v>3378</v>
      </c>
      <c r="C134" s="4" t="s">
        <v>452</v>
      </c>
      <c r="D134" s="4" t="n">
        <v>9</v>
      </c>
      <c r="E134" s="4" t="s">
        <v>4020</v>
      </c>
      <c r="F134" s="4" t="s">
        <v>4021</v>
      </c>
    </row>
    <row r="135" customFormat="false" ht="377.6" hidden="false" customHeight="false" outlineLevel="0" collapsed="false">
      <c r="A135" s="4" t="n">
        <v>134</v>
      </c>
      <c r="B135" s="4" t="s">
        <v>3404</v>
      </c>
      <c r="C135" s="4" t="s">
        <v>452</v>
      </c>
      <c r="D135" s="4" t="n">
        <v>9</v>
      </c>
      <c r="E135" s="4" t="s">
        <v>4022</v>
      </c>
      <c r="F135" s="4" t="s">
        <v>4023</v>
      </c>
    </row>
    <row r="136" customFormat="false" ht="377.6" hidden="false" customHeight="false" outlineLevel="0" collapsed="false">
      <c r="A136" s="4" t="n">
        <v>135</v>
      </c>
      <c r="B136" s="4" t="s">
        <v>3430</v>
      </c>
      <c r="C136" s="4" t="s">
        <v>452</v>
      </c>
      <c r="D136" s="4" t="n">
        <v>9</v>
      </c>
      <c r="E136" s="4" t="s">
        <v>4024</v>
      </c>
      <c r="F136" s="4" t="s">
        <v>4025</v>
      </c>
    </row>
  </sheetData>
  <autoFilter ref="A1:F1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18"/>
    <col collapsed="false" customWidth="true" hidden="false" outlineLevel="0" max="5" min="5" style="0" width="70"/>
    <col collapsed="false" customWidth="true" hidden="false" outlineLevel="0" max="6" min="6" style="0" width="18"/>
  </cols>
  <sheetData>
    <row r="1" customFormat="false" ht="55.2" hidden="false" customHeight="false" outlineLevel="0" collapsed="false">
      <c r="A1" s="12" t="s">
        <v>4026</v>
      </c>
      <c r="B1" s="12" t="s">
        <v>4027</v>
      </c>
      <c r="C1" s="12" t="s">
        <v>4028</v>
      </c>
      <c r="D1" s="12" t="s">
        <v>4029</v>
      </c>
      <c r="E1" s="12" t="s">
        <v>4030</v>
      </c>
      <c r="F1" s="12" t="s">
        <v>4031</v>
      </c>
    </row>
    <row r="2" customFormat="false" ht="41.75" hidden="false" customHeight="false" outlineLevel="0" collapsed="false">
      <c r="A2" s="4" t="s">
        <v>1210</v>
      </c>
      <c r="B2" s="4" t="s">
        <v>4032</v>
      </c>
      <c r="C2" s="30"/>
      <c r="D2" s="30" t="n">
        <v>614.97</v>
      </c>
      <c r="E2" s="4" t="s">
        <v>4033</v>
      </c>
      <c r="F2" s="4" t="s">
        <v>4034</v>
      </c>
    </row>
    <row r="3" customFormat="false" ht="41.75" hidden="false" customHeight="false" outlineLevel="0" collapsed="false">
      <c r="A3" s="4" t="s">
        <v>1210</v>
      </c>
      <c r="B3" s="4" t="s">
        <v>4035</v>
      </c>
      <c r="C3" s="30"/>
      <c r="D3" s="30" t="n">
        <v>928.784</v>
      </c>
      <c r="E3" s="4" t="s">
        <v>4036</v>
      </c>
      <c r="F3" s="4" t="s">
        <v>4037</v>
      </c>
    </row>
    <row r="4" customFormat="false" ht="41.75" hidden="false" customHeight="false" outlineLevel="0" collapsed="false">
      <c r="A4" s="4" t="s">
        <v>121</v>
      </c>
      <c r="B4" s="4" t="s">
        <v>4032</v>
      </c>
      <c r="C4" s="30" t="n">
        <v>35.947</v>
      </c>
      <c r="D4" s="30" t="n">
        <v>47.618</v>
      </c>
      <c r="E4" s="4" t="s">
        <v>4038</v>
      </c>
      <c r="F4" s="4" t="s">
        <v>4034</v>
      </c>
    </row>
    <row r="5" customFormat="false" ht="55.2" hidden="false" customHeight="false" outlineLevel="0" collapsed="false">
      <c r="A5" s="4" t="s">
        <v>121</v>
      </c>
      <c r="B5" s="4" t="s">
        <v>4039</v>
      </c>
      <c r="C5" s="30" t="n">
        <v>21.216</v>
      </c>
      <c r="D5" s="30" t="n">
        <v>25.567</v>
      </c>
      <c r="E5" s="4" t="s">
        <v>4040</v>
      </c>
      <c r="F5" s="4" t="s">
        <v>4034</v>
      </c>
    </row>
    <row r="6" customFormat="false" ht="41.75" hidden="false" customHeight="false" outlineLevel="0" collapsed="false">
      <c r="A6" s="4" t="s">
        <v>121</v>
      </c>
      <c r="B6" s="4" t="s">
        <v>4041</v>
      </c>
      <c r="C6" s="30" t="n">
        <v>0.299</v>
      </c>
      <c r="D6" s="30"/>
      <c r="E6" s="4" t="s">
        <v>4042</v>
      </c>
      <c r="F6" s="4" t="s">
        <v>4034</v>
      </c>
    </row>
    <row r="7" customFormat="false" ht="68.65" hidden="false" customHeight="false" outlineLevel="0" collapsed="false">
      <c r="A7" s="4" t="s">
        <v>121</v>
      </c>
      <c r="B7" s="4" t="s">
        <v>4043</v>
      </c>
      <c r="C7" s="30" t="n">
        <v>110.69</v>
      </c>
      <c r="D7" s="30"/>
      <c r="E7" s="4" t="s">
        <v>4044</v>
      </c>
      <c r="F7" s="4" t="s">
        <v>4045</v>
      </c>
    </row>
    <row r="8" customFormat="false" ht="41.75" hidden="false" customHeight="false" outlineLevel="0" collapsed="false">
      <c r="A8" s="4" t="s">
        <v>121</v>
      </c>
      <c r="B8" s="4" t="s">
        <v>4046</v>
      </c>
      <c r="C8" s="30" t="n">
        <v>4.08</v>
      </c>
      <c r="D8" s="30"/>
      <c r="E8" s="4" t="s">
        <v>4047</v>
      </c>
      <c r="F8" s="4" t="s">
        <v>4034</v>
      </c>
    </row>
    <row r="9" customFormat="false" ht="41.75" hidden="false" customHeight="false" outlineLevel="0" collapsed="false">
      <c r="A9" s="4" t="s">
        <v>121</v>
      </c>
      <c r="B9" s="4" t="s">
        <v>4048</v>
      </c>
      <c r="C9" s="30" t="n">
        <v>3514.142</v>
      </c>
      <c r="D9" s="30" t="n">
        <v>4656.642</v>
      </c>
      <c r="E9" s="4" t="s">
        <v>4049</v>
      </c>
      <c r="F9" s="4" t="s">
        <v>4045</v>
      </c>
    </row>
    <row r="10" customFormat="false" ht="41.75" hidden="false" customHeight="false" outlineLevel="0" collapsed="false">
      <c r="A10" s="4" t="s">
        <v>121</v>
      </c>
      <c r="B10" s="4" t="s">
        <v>4050</v>
      </c>
      <c r="C10" s="30" t="n">
        <v>0.06</v>
      </c>
      <c r="D10" s="30"/>
      <c r="E10" s="4" t="s">
        <v>4051</v>
      </c>
      <c r="F10" s="4" t="s">
        <v>4034</v>
      </c>
    </row>
    <row r="11" customFormat="false" ht="41.75" hidden="false" customHeight="false" outlineLevel="0" collapsed="false">
      <c r="A11" s="4" t="s">
        <v>121</v>
      </c>
      <c r="B11" s="4" t="s">
        <v>4052</v>
      </c>
      <c r="C11" s="30" t="n">
        <v>115.129</v>
      </c>
      <c r="D11" s="30" t="n">
        <v>116.526</v>
      </c>
      <c r="E11" s="4" t="s">
        <v>4053</v>
      </c>
      <c r="F11" s="4" t="s">
        <v>4037</v>
      </c>
    </row>
    <row r="13" customFormat="false" ht="69.75" hidden="false" customHeight="true" outlineLevel="0" collapsed="false">
      <c r="A13" s="2" t="s">
        <v>4054</v>
      </c>
      <c r="B13" s="2"/>
      <c r="C13" s="2"/>
      <c r="D13" s="2"/>
      <c r="E13" s="2"/>
      <c r="F13" s="2"/>
    </row>
  </sheetData>
  <mergeCells count="1">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2026-10-11T18:27:32Z</dcterms:created>
  <dc:creator>openpyxl</dc:creator>
  <dc:description/>
  <dc:language>en-US</dc:language>
  <cp:lastModifiedBy/>
  <dcterms:modified xsi:type="dcterms:W3CDTF">2026-10-14T16:05:58Z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